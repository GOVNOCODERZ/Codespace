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space\C_codespace\2 kurs\3-rd senester\Algorithms and data structure\2-nd lab\Vlad\"/>
    </mc:Choice>
  </mc:AlternateContent>
  <xr:revisionPtr revIDLastSave="0" documentId="13_ncr:1_{A5626FC5-A7E8-43EA-937A-3DE61A0FF6FE}" xr6:coauthVersionLast="47" xr6:coauthVersionMax="47" xr10:uidLastSave="{00000000-0000-0000-0000-000000000000}"/>
  <bookViews>
    <workbookView xWindow="-120" yWindow="330" windowWidth="29040" windowHeight="15990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5" i="1" l="1"/>
  <c r="E26" i="1"/>
  <c r="G32" i="1"/>
  <c r="B32" i="1"/>
  <c r="D33" i="1" s="1"/>
  <c r="D30" i="1"/>
  <c r="G30" i="1"/>
  <c r="B30" i="1"/>
  <c r="C26" i="1"/>
  <c r="D26" i="1"/>
  <c r="B26" i="1"/>
  <c r="I24" i="1"/>
  <c r="H24" i="1"/>
  <c r="G24" i="1"/>
  <c r="C24" i="1"/>
  <c r="D24" i="1"/>
  <c r="B24" i="1"/>
</calcChain>
</file>

<file path=xl/sharedStrings.xml><?xml version="1.0" encoding="utf-8"?>
<sst xmlns="http://schemas.openxmlformats.org/spreadsheetml/2006/main" count="10" uniqueCount="6">
  <si>
    <t>Размер</t>
  </si>
  <si>
    <t>Случайные значения</t>
  </si>
  <si>
    <t>Упорядоченная последовательность</t>
  </si>
  <si>
    <t>Обратная упорядоченная последовательность</t>
  </si>
  <si>
    <t>Прямое слияние</t>
  </si>
  <si>
    <t>Сбалансированное многопутевое слияние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</si>
</sst>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" fontId="0" fillId="0" borderId="1" xfId="0" applyNumberFormat="1" applyBorder="1"/>
    <xf numFmtId="0" fontId="0" fillId="0" borderId="1" xfId="0" applyBorder="1"/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left"/>
    </xf>
    <xf numFmtId="165" fontId="0" fillId="0" borderId="1" xfId="0" applyNumberFormat="1" applyBorder="1" applyAlignment="1">
      <alignment horizontal="left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Font="1"/>
    <xf numFmtId="3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Прямое слияние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Лист1!$B$2</c:f>
              <c:strCache>
                <c:ptCount val="1"/>
                <c:pt idx="0">
                  <c:v>Случайные значения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Лист1!$B$3:$B$22</c:f>
              <c:numCache>
                <c:formatCode>0.000</c:formatCode>
                <c:ptCount val="20"/>
                <c:pt idx="0">
                  <c:v>292</c:v>
                </c:pt>
                <c:pt idx="1">
                  <c:v>312</c:v>
                </c:pt>
                <c:pt idx="2">
                  <c:v>364</c:v>
                </c:pt>
                <c:pt idx="3">
                  <c:v>460</c:v>
                </c:pt>
                <c:pt idx="4">
                  <c:v>472</c:v>
                </c:pt>
                <c:pt idx="5">
                  <c:v>494</c:v>
                </c:pt>
                <c:pt idx="6">
                  <c:v>498</c:v>
                </c:pt>
                <c:pt idx="7">
                  <c:v>478</c:v>
                </c:pt>
                <c:pt idx="8">
                  <c:v>568</c:v>
                </c:pt>
                <c:pt idx="9">
                  <c:v>506</c:v>
                </c:pt>
                <c:pt idx="10">
                  <c:v>568</c:v>
                </c:pt>
                <c:pt idx="11">
                  <c:v>602</c:v>
                </c:pt>
                <c:pt idx="12">
                  <c:v>576</c:v>
                </c:pt>
                <c:pt idx="13">
                  <c:v>567</c:v>
                </c:pt>
                <c:pt idx="14">
                  <c:v>600</c:v>
                </c:pt>
                <c:pt idx="15">
                  <c:v>533</c:v>
                </c:pt>
                <c:pt idx="16">
                  <c:v>676</c:v>
                </c:pt>
                <c:pt idx="17">
                  <c:v>1106</c:v>
                </c:pt>
                <c:pt idx="18">
                  <c:v>877</c:v>
                </c:pt>
                <c:pt idx="19">
                  <c:v>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C8-4FCF-A635-2A8284EB9F31}"/>
            </c:ext>
          </c:extLst>
        </c:ser>
        <c:ser>
          <c:idx val="0"/>
          <c:order val="1"/>
          <c:tx>
            <c:strRef>
              <c:f>Лист1!$C$2</c:f>
              <c:strCache>
                <c:ptCount val="1"/>
                <c:pt idx="0">
                  <c:v>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Лист1!$C$3:$C$22</c:f>
              <c:numCache>
                <c:formatCode>0.000</c:formatCode>
                <c:ptCount val="20"/>
                <c:pt idx="0">
                  <c:v>190</c:v>
                </c:pt>
                <c:pt idx="1">
                  <c:v>537</c:v>
                </c:pt>
                <c:pt idx="2">
                  <c:v>590</c:v>
                </c:pt>
                <c:pt idx="3">
                  <c:v>600</c:v>
                </c:pt>
                <c:pt idx="4">
                  <c:v>649</c:v>
                </c:pt>
                <c:pt idx="5">
                  <c:v>658</c:v>
                </c:pt>
                <c:pt idx="6">
                  <c:v>666</c:v>
                </c:pt>
                <c:pt idx="7">
                  <c:v>685</c:v>
                </c:pt>
                <c:pt idx="8">
                  <c:v>752</c:v>
                </c:pt>
                <c:pt idx="9">
                  <c:v>727</c:v>
                </c:pt>
                <c:pt idx="10">
                  <c:v>739</c:v>
                </c:pt>
                <c:pt idx="11">
                  <c:v>750</c:v>
                </c:pt>
                <c:pt idx="12">
                  <c:v>753</c:v>
                </c:pt>
                <c:pt idx="13">
                  <c:v>765</c:v>
                </c:pt>
                <c:pt idx="14">
                  <c:v>771</c:v>
                </c:pt>
                <c:pt idx="15">
                  <c:v>798</c:v>
                </c:pt>
                <c:pt idx="16">
                  <c:v>876</c:v>
                </c:pt>
                <c:pt idx="17">
                  <c:v>864</c:v>
                </c:pt>
                <c:pt idx="18">
                  <c:v>851</c:v>
                </c:pt>
                <c:pt idx="19">
                  <c:v>857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C8-4FCF-A635-2A8284EB9F31}"/>
            </c:ext>
          </c:extLst>
        </c:ser>
        <c:ser>
          <c:idx val="1"/>
          <c:order val="2"/>
          <c:tx>
            <c:strRef>
              <c:f>Лист1!$D$2</c:f>
              <c:strCache>
                <c:ptCount val="1"/>
                <c:pt idx="0">
                  <c:v>Обратная 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Лист1!$D$3:$D$22</c:f>
              <c:numCache>
                <c:formatCode>0.000</c:formatCode>
                <c:ptCount val="20"/>
                <c:pt idx="0">
                  <c:v>260</c:v>
                </c:pt>
                <c:pt idx="1">
                  <c:v>344</c:v>
                </c:pt>
                <c:pt idx="2">
                  <c:v>489</c:v>
                </c:pt>
                <c:pt idx="3">
                  <c:v>537</c:v>
                </c:pt>
                <c:pt idx="4">
                  <c:v>698</c:v>
                </c:pt>
                <c:pt idx="5">
                  <c:v>716</c:v>
                </c:pt>
                <c:pt idx="6">
                  <c:v>449</c:v>
                </c:pt>
                <c:pt idx="7">
                  <c:v>491</c:v>
                </c:pt>
                <c:pt idx="8">
                  <c:v>480</c:v>
                </c:pt>
                <c:pt idx="9">
                  <c:v>658</c:v>
                </c:pt>
                <c:pt idx="10">
                  <c:v>584</c:v>
                </c:pt>
                <c:pt idx="11">
                  <c:v>490</c:v>
                </c:pt>
                <c:pt idx="12">
                  <c:v>488</c:v>
                </c:pt>
                <c:pt idx="13">
                  <c:v>511</c:v>
                </c:pt>
                <c:pt idx="14">
                  <c:v>547</c:v>
                </c:pt>
                <c:pt idx="15">
                  <c:v>635</c:v>
                </c:pt>
                <c:pt idx="16">
                  <c:v>614</c:v>
                </c:pt>
                <c:pt idx="17">
                  <c:v>638</c:v>
                </c:pt>
                <c:pt idx="18">
                  <c:v>629</c:v>
                </c:pt>
                <c:pt idx="19">
                  <c:v>657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C8-4FCF-A635-2A8284EB9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14304"/>
        <c:axId val="428205056"/>
      </c:lineChart>
      <c:catAx>
        <c:axId val="4282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последовательности (тыс.</a:t>
                </a:r>
                <a:r>
                  <a:rPr lang="ru-RU" baseline="0"/>
                  <a:t> элементов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05056"/>
        <c:crosses val="autoZero"/>
        <c:auto val="1"/>
        <c:lblAlgn val="ctr"/>
        <c:lblOffset val="100"/>
        <c:noMultiLvlLbl val="0"/>
      </c:catAx>
      <c:valAx>
        <c:axId val="4282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14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Сбалансированное многопутевое слияние</a:t>
            </a:r>
            <a:endParaRPr lang="ru-RU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Лист1!$G$2</c:f>
              <c:strCache>
                <c:ptCount val="1"/>
                <c:pt idx="0">
                  <c:v>Случайные значения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Лист1!$G$3:$G$22</c:f>
              <c:numCache>
                <c:formatCode>0.0000</c:formatCode>
                <c:ptCount val="20"/>
                <c:pt idx="0">
                  <c:v>133</c:v>
                </c:pt>
                <c:pt idx="1">
                  <c:v>165</c:v>
                </c:pt>
                <c:pt idx="2">
                  <c:v>165</c:v>
                </c:pt>
                <c:pt idx="3">
                  <c:v>214</c:v>
                </c:pt>
                <c:pt idx="4">
                  <c:v>197</c:v>
                </c:pt>
                <c:pt idx="5">
                  <c:v>276</c:v>
                </c:pt>
                <c:pt idx="6">
                  <c:v>243</c:v>
                </c:pt>
                <c:pt idx="7">
                  <c:v>332</c:v>
                </c:pt>
                <c:pt idx="8">
                  <c:v>259</c:v>
                </c:pt>
                <c:pt idx="9">
                  <c:v>228</c:v>
                </c:pt>
                <c:pt idx="10">
                  <c:v>227</c:v>
                </c:pt>
                <c:pt idx="11">
                  <c:v>374</c:v>
                </c:pt>
                <c:pt idx="12">
                  <c:v>431</c:v>
                </c:pt>
                <c:pt idx="13">
                  <c:v>306</c:v>
                </c:pt>
                <c:pt idx="14">
                  <c:v>260</c:v>
                </c:pt>
                <c:pt idx="15">
                  <c:v>296</c:v>
                </c:pt>
                <c:pt idx="16">
                  <c:v>316</c:v>
                </c:pt>
                <c:pt idx="17">
                  <c:v>340</c:v>
                </c:pt>
                <c:pt idx="18">
                  <c:v>338</c:v>
                </c:pt>
                <c:pt idx="19">
                  <c:v>520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8E-400B-B1C2-1095BE0B7240}"/>
            </c:ext>
          </c:extLst>
        </c:ser>
        <c:ser>
          <c:idx val="0"/>
          <c:order val="1"/>
          <c:tx>
            <c:strRef>
              <c:f>Лист1!$H$2</c:f>
              <c:strCache>
                <c:ptCount val="1"/>
                <c:pt idx="0">
                  <c:v>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Лист1!$H$3:$H$22</c:f>
              <c:numCache>
                <c:formatCode>0.0000</c:formatCode>
                <c:ptCount val="20"/>
                <c:pt idx="0">
                  <c:v>22</c:v>
                </c:pt>
                <c:pt idx="1">
                  <c:v>69</c:v>
                </c:pt>
                <c:pt idx="2">
                  <c:v>96</c:v>
                </c:pt>
                <c:pt idx="3">
                  <c:v>127</c:v>
                </c:pt>
                <c:pt idx="4">
                  <c:v>139</c:v>
                </c:pt>
                <c:pt idx="5">
                  <c:v>464</c:v>
                </c:pt>
                <c:pt idx="6">
                  <c:v>468</c:v>
                </c:pt>
                <c:pt idx="7">
                  <c:v>468</c:v>
                </c:pt>
                <c:pt idx="8">
                  <c:v>466</c:v>
                </c:pt>
                <c:pt idx="9">
                  <c:v>475</c:v>
                </c:pt>
                <c:pt idx="10">
                  <c:v>478</c:v>
                </c:pt>
                <c:pt idx="11">
                  <c:v>482</c:v>
                </c:pt>
                <c:pt idx="12">
                  <c:v>488</c:v>
                </c:pt>
                <c:pt idx="13">
                  <c:v>494</c:v>
                </c:pt>
                <c:pt idx="14">
                  <c:v>498</c:v>
                </c:pt>
                <c:pt idx="15">
                  <c:v>505</c:v>
                </c:pt>
                <c:pt idx="16">
                  <c:v>509</c:v>
                </c:pt>
                <c:pt idx="17">
                  <c:v>510</c:v>
                </c:pt>
                <c:pt idx="18">
                  <c:v>532</c:v>
                </c:pt>
                <c:pt idx="19">
                  <c:v>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8E-400B-B1C2-1095BE0B7240}"/>
            </c:ext>
          </c:extLst>
        </c:ser>
        <c:ser>
          <c:idx val="1"/>
          <c:order val="2"/>
          <c:tx>
            <c:strRef>
              <c:f>Лист1!$I$2</c:f>
              <c:strCache>
                <c:ptCount val="1"/>
                <c:pt idx="0">
                  <c:v>Обратная упорядоченная последовательность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Лист1!$I$3:$I$22</c:f>
              <c:numCache>
                <c:formatCode>0.0000</c:formatCode>
                <c:ptCount val="20"/>
                <c:pt idx="0">
                  <c:v>114</c:v>
                </c:pt>
                <c:pt idx="1">
                  <c:v>182</c:v>
                </c:pt>
                <c:pt idx="2">
                  <c:v>183</c:v>
                </c:pt>
                <c:pt idx="3">
                  <c:v>285</c:v>
                </c:pt>
                <c:pt idx="4">
                  <c:v>240</c:v>
                </c:pt>
                <c:pt idx="5">
                  <c:v>262</c:v>
                </c:pt>
                <c:pt idx="6">
                  <c:v>223</c:v>
                </c:pt>
                <c:pt idx="7">
                  <c:v>297</c:v>
                </c:pt>
                <c:pt idx="8">
                  <c:v>273</c:v>
                </c:pt>
                <c:pt idx="9">
                  <c:v>396</c:v>
                </c:pt>
                <c:pt idx="10">
                  <c:v>278</c:v>
                </c:pt>
                <c:pt idx="11">
                  <c:v>258</c:v>
                </c:pt>
                <c:pt idx="12">
                  <c:v>255</c:v>
                </c:pt>
                <c:pt idx="13">
                  <c:v>288</c:v>
                </c:pt>
                <c:pt idx="14">
                  <c:v>267</c:v>
                </c:pt>
                <c:pt idx="15">
                  <c:v>278</c:v>
                </c:pt>
                <c:pt idx="16">
                  <c:v>284</c:v>
                </c:pt>
                <c:pt idx="17">
                  <c:v>380</c:v>
                </c:pt>
                <c:pt idx="18">
                  <c:v>296</c:v>
                </c:pt>
                <c:pt idx="19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8E-400B-B1C2-1095BE0B7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8214304"/>
        <c:axId val="428205056"/>
      </c:lineChart>
      <c:catAx>
        <c:axId val="428214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Размер последовательности (тыс.</a:t>
                </a:r>
                <a:r>
                  <a:rPr lang="ru-RU" baseline="0"/>
                  <a:t> элементов</a:t>
                </a:r>
                <a:r>
                  <a:rPr lang="ru-RU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05056"/>
        <c:crosses val="autoZero"/>
        <c:auto val="1"/>
        <c:lblAlgn val="ctr"/>
        <c:lblOffset val="100"/>
        <c:noMultiLvlLbl val="0"/>
      </c:catAx>
      <c:valAx>
        <c:axId val="428205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сортировки</a:t>
                </a:r>
                <a:r>
                  <a:rPr lang="ru-RU" baseline="0"/>
                  <a:t> (мс)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2821430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573882</xdr:colOff>
      <xdr:row>1</xdr:row>
      <xdr:rowOff>214311</xdr:rowOff>
    </xdr:from>
    <xdr:to>
      <xdr:col>25</xdr:col>
      <xdr:colOff>31486</xdr:colOff>
      <xdr:row>21</xdr:row>
      <xdr:rowOff>142874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520777</xdr:colOff>
      <xdr:row>24</xdr:row>
      <xdr:rowOff>41049</xdr:rowOff>
    </xdr:from>
    <xdr:to>
      <xdr:col>28</xdr:col>
      <xdr:colOff>508000</xdr:colOff>
      <xdr:row>55</xdr:row>
      <xdr:rowOff>74083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7623832A-CC5B-4352-A484-133E74FC9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zoomScale="90" zoomScaleNormal="90" workbookViewId="0">
      <selection activeCell="E25" sqref="E25"/>
    </sheetView>
  </sheetViews>
  <sheetFormatPr defaultRowHeight="15" x14ac:dyDescent="0.25"/>
  <cols>
    <col min="1" max="1" width="9.5703125" style="2" bestFit="1" customWidth="1"/>
    <col min="2" max="3" width="38.140625" style="2" bestFit="1" customWidth="1"/>
    <col min="4" max="4" width="27.42578125" style="2" customWidth="1"/>
    <col min="5" max="5" width="9.140625" style="9"/>
    <col min="6" max="6" width="9.5703125" style="2" bestFit="1" customWidth="1"/>
    <col min="7" max="8" width="38.140625" style="2" bestFit="1" customWidth="1"/>
    <col min="9" max="9" width="27.42578125" style="2" customWidth="1"/>
    <col min="10" max="10" width="9.140625" style="9"/>
    <col min="11" max="11" width="13.7109375" style="9" bestFit="1" customWidth="1"/>
    <col min="12" max="13" width="9.140625" style="9"/>
  </cols>
  <sheetData>
    <row r="1" spans="1:12" ht="15" customHeight="1" x14ac:dyDescent="0.25">
      <c r="A1" s="7" t="s">
        <v>0</v>
      </c>
      <c r="B1" s="8" t="s">
        <v>4</v>
      </c>
      <c r="C1" s="8"/>
      <c r="D1" s="8"/>
      <c r="E1" s="11"/>
      <c r="F1" s="7" t="s">
        <v>0</v>
      </c>
      <c r="G1" s="8" t="s">
        <v>5</v>
      </c>
      <c r="H1" s="8"/>
      <c r="I1" s="8"/>
      <c r="K1" s="10">
        <v>1000</v>
      </c>
      <c r="L1" s="9">
        <v>114</v>
      </c>
    </row>
    <row r="2" spans="1:12" ht="30" x14ac:dyDescent="0.25">
      <c r="A2" s="7"/>
      <c r="B2" s="3" t="s">
        <v>1</v>
      </c>
      <c r="C2" s="3" t="s">
        <v>2</v>
      </c>
      <c r="D2" s="4" t="s">
        <v>3</v>
      </c>
      <c r="E2" s="11"/>
      <c r="F2" s="7"/>
      <c r="G2" s="3" t="s">
        <v>1</v>
      </c>
      <c r="H2" s="3" t="s">
        <v>2</v>
      </c>
      <c r="I2" s="4" t="s">
        <v>3</v>
      </c>
      <c r="K2" s="10">
        <v>2000</v>
      </c>
      <c r="L2" s="9">
        <v>182</v>
      </c>
    </row>
    <row r="3" spans="1:12" x14ac:dyDescent="0.25">
      <c r="A3" s="1">
        <v>1000</v>
      </c>
      <c r="B3" s="5">
        <v>292</v>
      </c>
      <c r="C3" s="5">
        <v>190</v>
      </c>
      <c r="D3" s="5">
        <v>260</v>
      </c>
      <c r="E3" s="11"/>
      <c r="F3" s="1">
        <v>1000</v>
      </c>
      <c r="G3" s="6">
        <v>133</v>
      </c>
      <c r="H3" s="6">
        <v>22</v>
      </c>
      <c r="I3" s="6">
        <v>114</v>
      </c>
      <c r="K3" s="10">
        <v>3000</v>
      </c>
      <c r="L3" s="9">
        <v>183</v>
      </c>
    </row>
    <row r="4" spans="1:12" x14ac:dyDescent="0.25">
      <c r="A4" s="1">
        <v>2000</v>
      </c>
      <c r="B4" s="5">
        <v>312</v>
      </c>
      <c r="C4" s="5">
        <v>537</v>
      </c>
      <c r="D4" s="5">
        <v>344</v>
      </c>
      <c r="E4" s="11"/>
      <c r="F4" s="1">
        <v>2000</v>
      </c>
      <c r="G4" s="6">
        <v>165</v>
      </c>
      <c r="H4" s="6">
        <v>69</v>
      </c>
      <c r="I4" s="6">
        <v>182</v>
      </c>
      <c r="K4" s="10">
        <v>4000</v>
      </c>
      <c r="L4" s="9">
        <v>285</v>
      </c>
    </row>
    <row r="5" spans="1:12" x14ac:dyDescent="0.25">
      <c r="A5" s="1">
        <v>3000</v>
      </c>
      <c r="B5" s="5">
        <v>364</v>
      </c>
      <c r="C5" s="5">
        <v>590</v>
      </c>
      <c r="D5" s="5">
        <v>489</v>
      </c>
      <c r="E5" s="11"/>
      <c r="F5" s="1">
        <v>3000</v>
      </c>
      <c r="G5" s="6">
        <v>165</v>
      </c>
      <c r="H5" s="6">
        <v>96</v>
      </c>
      <c r="I5" s="6">
        <v>183</v>
      </c>
      <c r="K5" s="10">
        <v>5000</v>
      </c>
      <c r="L5" s="9">
        <v>240</v>
      </c>
    </row>
    <row r="6" spans="1:12" x14ac:dyDescent="0.25">
      <c r="A6" s="1">
        <v>4000</v>
      </c>
      <c r="B6" s="5">
        <v>460</v>
      </c>
      <c r="C6" s="5">
        <v>600</v>
      </c>
      <c r="D6" s="5">
        <v>537</v>
      </c>
      <c r="E6" s="11"/>
      <c r="F6" s="1">
        <v>4000</v>
      </c>
      <c r="G6" s="6">
        <v>214</v>
      </c>
      <c r="H6" s="6">
        <v>127</v>
      </c>
      <c r="I6" s="6">
        <v>285</v>
      </c>
      <c r="K6" s="10">
        <v>6000</v>
      </c>
      <c r="L6" s="9">
        <v>262</v>
      </c>
    </row>
    <row r="7" spans="1:12" x14ac:dyDescent="0.25">
      <c r="A7" s="1">
        <v>5000</v>
      </c>
      <c r="B7" s="5">
        <v>472</v>
      </c>
      <c r="C7" s="5">
        <v>649</v>
      </c>
      <c r="D7" s="5">
        <v>698</v>
      </c>
      <c r="E7" s="11"/>
      <c r="F7" s="1">
        <v>5000</v>
      </c>
      <c r="G7" s="6">
        <v>197</v>
      </c>
      <c r="H7" s="6">
        <v>139</v>
      </c>
      <c r="I7" s="6">
        <v>240</v>
      </c>
      <c r="K7" s="10">
        <v>7000</v>
      </c>
      <c r="L7" s="9">
        <v>223</v>
      </c>
    </row>
    <row r="8" spans="1:12" x14ac:dyDescent="0.25">
      <c r="A8" s="1">
        <v>6000</v>
      </c>
      <c r="B8" s="5">
        <v>494</v>
      </c>
      <c r="C8" s="5">
        <v>658</v>
      </c>
      <c r="D8" s="5">
        <v>716</v>
      </c>
      <c r="E8" s="11"/>
      <c r="F8" s="1">
        <v>6000</v>
      </c>
      <c r="G8" s="6">
        <v>276</v>
      </c>
      <c r="H8" s="6">
        <v>464</v>
      </c>
      <c r="I8" s="6">
        <v>262</v>
      </c>
      <c r="K8" s="10">
        <v>8000</v>
      </c>
      <c r="L8" s="9">
        <v>297</v>
      </c>
    </row>
    <row r="9" spans="1:12" x14ac:dyDescent="0.25">
      <c r="A9" s="1">
        <v>7000</v>
      </c>
      <c r="B9" s="5">
        <v>498</v>
      </c>
      <c r="C9" s="5">
        <v>666</v>
      </c>
      <c r="D9" s="5">
        <v>449</v>
      </c>
      <c r="E9" s="11"/>
      <c r="F9" s="1">
        <v>7000</v>
      </c>
      <c r="G9" s="6">
        <v>243</v>
      </c>
      <c r="H9" s="6">
        <v>468</v>
      </c>
      <c r="I9" s="6">
        <v>223</v>
      </c>
      <c r="K9" s="10">
        <v>9000</v>
      </c>
      <c r="L9" s="9">
        <v>273</v>
      </c>
    </row>
    <row r="10" spans="1:12" x14ac:dyDescent="0.25">
      <c r="A10" s="1">
        <v>8000</v>
      </c>
      <c r="B10" s="5">
        <v>478</v>
      </c>
      <c r="C10" s="5">
        <v>685</v>
      </c>
      <c r="D10" s="5">
        <v>491</v>
      </c>
      <c r="E10" s="11"/>
      <c r="F10" s="1">
        <v>8000</v>
      </c>
      <c r="G10" s="6">
        <v>332</v>
      </c>
      <c r="H10" s="6">
        <v>468</v>
      </c>
      <c r="I10" s="6">
        <v>297</v>
      </c>
      <c r="K10" s="10">
        <v>10000</v>
      </c>
      <c r="L10" s="9">
        <v>396</v>
      </c>
    </row>
    <row r="11" spans="1:12" x14ac:dyDescent="0.25">
      <c r="A11" s="1">
        <v>9000</v>
      </c>
      <c r="B11" s="5">
        <v>568</v>
      </c>
      <c r="C11" s="5">
        <v>752</v>
      </c>
      <c r="D11" s="5">
        <v>480</v>
      </c>
      <c r="E11" s="11"/>
      <c r="F11" s="1">
        <v>9000</v>
      </c>
      <c r="G11" s="6">
        <v>259</v>
      </c>
      <c r="H11" s="6">
        <v>466</v>
      </c>
      <c r="I11" s="6">
        <v>273</v>
      </c>
      <c r="K11" s="10">
        <v>11000</v>
      </c>
      <c r="L11" s="9">
        <v>278</v>
      </c>
    </row>
    <row r="12" spans="1:12" x14ac:dyDescent="0.25">
      <c r="A12" s="1">
        <v>10000</v>
      </c>
      <c r="B12" s="5">
        <v>506</v>
      </c>
      <c r="C12" s="5">
        <v>727</v>
      </c>
      <c r="D12" s="5">
        <v>658</v>
      </c>
      <c r="E12" s="11"/>
      <c r="F12" s="1">
        <v>10000</v>
      </c>
      <c r="G12" s="6">
        <v>228</v>
      </c>
      <c r="H12" s="6">
        <v>475</v>
      </c>
      <c r="I12" s="6">
        <v>396</v>
      </c>
      <c r="K12" s="10">
        <v>12000</v>
      </c>
      <c r="L12" s="9">
        <v>258</v>
      </c>
    </row>
    <row r="13" spans="1:12" x14ac:dyDescent="0.25">
      <c r="A13" s="1">
        <v>11000</v>
      </c>
      <c r="B13" s="5">
        <v>568</v>
      </c>
      <c r="C13" s="5">
        <v>739</v>
      </c>
      <c r="D13" s="5">
        <v>584</v>
      </c>
      <c r="E13" s="11"/>
      <c r="F13" s="1">
        <v>11000</v>
      </c>
      <c r="G13" s="6">
        <v>227</v>
      </c>
      <c r="H13" s="6">
        <v>478</v>
      </c>
      <c r="I13" s="6">
        <v>278</v>
      </c>
      <c r="K13" s="10">
        <v>13000</v>
      </c>
      <c r="L13" s="9">
        <v>255</v>
      </c>
    </row>
    <row r="14" spans="1:12" x14ac:dyDescent="0.25">
      <c r="A14" s="1">
        <v>12000</v>
      </c>
      <c r="B14" s="5">
        <v>602</v>
      </c>
      <c r="C14" s="5">
        <v>750</v>
      </c>
      <c r="D14" s="5">
        <v>490</v>
      </c>
      <c r="E14" s="11"/>
      <c r="F14" s="1">
        <v>12000</v>
      </c>
      <c r="G14" s="6">
        <v>374</v>
      </c>
      <c r="H14" s="6">
        <v>482</v>
      </c>
      <c r="I14" s="6">
        <v>258</v>
      </c>
      <c r="K14" s="10">
        <v>14000</v>
      </c>
      <c r="L14" s="9">
        <v>288</v>
      </c>
    </row>
    <row r="15" spans="1:12" x14ac:dyDescent="0.25">
      <c r="A15" s="1">
        <v>13000</v>
      </c>
      <c r="B15" s="5">
        <v>576</v>
      </c>
      <c r="C15" s="5">
        <v>753</v>
      </c>
      <c r="D15" s="5">
        <v>488</v>
      </c>
      <c r="E15" s="11"/>
      <c r="F15" s="1">
        <v>13000</v>
      </c>
      <c r="G15" s="6">
        <v>431</v>
      </c>
      <c r="H15" s="6">
        <v>488</v>
      </c>
      <c r="I15" s="6">
        <v>255</v>
      </c>
      <c r="K15" s="10">
        <v>15000</v>
      </c>
      <c r="L15" s="9">
        <v>267</v>
      </c>
    </row>
    <row r="16" spans="1:12" x14ac:dyDescent="0.25">
      <c r="A16" s="1">
        <v>14000</v>
      </c>
      <c r="B16" s="5">
        <v>567</v>
      </c>
      <c r="C16" s="5">
        <v>765</v>
      </c>
      <c r="D16" s="5">
        <v>511</v>
      </c>
      <c r="E16" s="11"/>
      <c r="F16" s="1">
        <v>14000</v>
      </c>
      <c r="G16" s="6">
        <v>306</v>
      </c>
      <c r="H16" s="6">
        <v>494</v>
      </c>
      <c r="I16" s="6">
        <v>288</v>
      </c>
      <c r="K16" s="10">
        <v>16000</v>
      </c>
      <c r="L16" s="9">
        <v>278</v>
      </c>
    </row>
    <row r="17" spans="1:12" x14ac:dyDescent="0.25">
      <c r="A17" s="1">
        <v>15000</v>
      </c>
      <c r="B17" s="5">
        <v>600</v>
      </c>
      <c r="C17" s="5">
        <v>771</v>
      </c>
      <c r="D17" s="5">
        <v>547</v>
      </c>
      <c r="E17" s="11"/>
      <c r="F17" s="1">
        <v>15000</v>
      </c>
      <c r="G17" s="6">
        <v>260</v>
      </c>
      <c r="H17" s="6">
        <v>498</v>
      </c>
      <c r="I17" s="6">
        <v>267</v>
      </c>
      <c r="K17" s="10">
        <v>17000</v>
      </c>
      <c r="L17" s="9">
        <v>284</v>
      </c>
    </row>
    <row r="18" spans="1:12" x14ac:dyDescent="0.25">
      <c r="A18" s="1">
        <v>16000</v>
      </c>
      <c r="B18" s="5">
        <v>533</v>
      </c>
      <c r="C18" s="5">
        <v>798</v>
      </c>
      <c r="D18" s="5">
        <v>635</v>
      </c>
      <c r="E18" s="11"/>
      <c r="F18" s="1">
        <v>16000</v>
      </c>
      <c r="G18" s="6">
        <v>296</v>
      </c>
      <c r="H18" s="6">
        <v>505</v>
      </c>
      <c r="I18" s="6">
        <v>278</v>
      </c>
      <c r="K18" s="10">
        <v>18000</v>
      </c>
      <c r="L18" s="9">
        <v>380</v>
      </c>
    </row>
    <row r="19" spans="1:12" x14ac:dyDescent="0.25">
      <c r="A19" s="1">
        <v>17000</v>
      </c>
      <c r="B19" s="5">
        <v>676</v>
      </c>
      <c r="C19" s="5">
        <v>876</v>
      </c>
      <c r="D19" s="5">
        <v>614</v>
      </c>
      <c r="E19" s="11"/>
      <c r="F19" s="1">
        <v>17000</v>
      </c>
      <c r="G19" s="6">
        <v>316</v>
      </c>
      <c r="H19" s="6">
        <v>509</v>
      </c>
      <c r="I19" s="6">
        <v>284</v>
      </c>
      <c r="K19" s="10">
        <v>19000</v>
      </c>
      <c r="L19" s="9">
        <v>296</v>
      </c>
    </row>
    <row r="20" spans="1:12" x14ac:dyDescent="0.25">
      <c r="A20" s="1">
        <v>18000</v>
      </c>
      <c r="B20" s="5">
        <v>1106</v>
      </c>
      <c r="C20" s="5">
        <v>864</v>
      </c>
      <c r="D20" s="5">
        <v>638</v>
      </c>
      <c r="E20" s="11"/>
      <c r="F20" s="1">
        <v>18000</v>
      </c>
      <c r="G20" s="6">
        <v>340</v>
      </c>
      <c r="H20" s="6">
        <v>510</v>
      </c>
      <c r="I20" s="6">
        <v>380</v>
      </c>
      <c r="K20" s="10">
        <v>20000</v>
      </c>
      <c r="L20" s="9">
        <v>320</v>
      </c>
    </row>
    <row r="21" spans="1:12" x14ac:dyDescent="0.25">
      <c r="A21" s="1">
        <v>19000</v>
      </c>
      <c r="B21" s="5">
        <v>877</v>
      </c>
      <c r="C21" s="5">
        <v>851</v>
      </c>
      <c r="D21" s="5">
        <v>629</v>
      </c>
      <c r="E21" s="11"/>
      <c r="F21" s="1">
        <v>19000</v>
      </c>
      <c r="G21" s="6">
        <v>338</v>
      </c>
      <c r="H21" s="6">
        <v>532</v>
      </c>
      <c r="I21" s="6">
        <v>296</v>
      </c>
      <c r="K21" s="11"/>
    </row>
    <row r="22" spans="1:12" x14ac:dyDescent="0.25">
      <c r="A22" s="1">
        <v>20000</v>
      </c>
      <c r="B22" s="5">
        <v>721</v>
      </c>
      <c r="C22" s="5">
        <v>857</v>
      </c>
      <c r="D22" s="5">
        <v>657</v>
      </c>
      <c r="E22" s="11"/>
      <c r="F22" s="1">
        <v>20000</v>
      </c>
      <c r="G22" s="6">
        <v>520</v>
      </c>
      <c r="H22" s="6">
        <v>560</v>
      </c>
      <c r="I22" s="6">
        <v>320</v>
      </c>
      <c r="K22" s="11"/>
    </row>
    <row r="23" spans="1:12" x14ac:dyDescent="0.25">
      <c r="A23" s="1"/>
      <c r="B23" s="5"/>
      <c r="C23" s="5"/>
      <c r="D23" s="5"/>
      <c r="E23" s="11"/>
      <c r="F23" s="1"/>
      <c r="G23" s="6"/>
      <c r="H23" s="6"/>
      <c r="I23" s="6"/>
      <c r="K23" s="11"/>
    </row>
    <row r="24" spans="1:12" x14ac:dyDescent="0.25">
      <c r="A24" s="1"/>
      <c r="B24" s="5">
        <f>AVERAGE(B3:B22)</f>
        <v>563.5</v>
      </c>
      <c r="C24" s="5">
        <f t="shared" ref="C24:D24" si="0">AVERAGE(C3:C22)</f>
        <v>703.9</v>
      </c>
      <c r="D24" s="5">
        <f t="shared" si="0"/>
        <v>545.75</v>
      </c>
      <c r="E24" s="11"/>
      <c r="F24" s="1"/>
      <c r="G24" s="5">
        <f>AVERAGE(G3:G22)</f>
        <v>281</v>
      </c>
      <c r="H24" s="5">
        <f t="shared" ref="H24:I24" si="1">AVERAGE(H3:H22)</f>
        <v>392.5</v>
      </c>
      <c r="I24" s="5">
        <f t="shared" si="1"/>
        <v>267.95</v>
      </c>
      <c r="K24" s="11"/>
    </row>
    <row r="25" spans="1:12" x14ac:dyDescent="0.25">
      <c r="A25" s="1"/>
      <c r="B25" s="5"/>
      <c r="C25" s="5"/>
      <c r="D25" s="5"/>
      <c r="E25" s="11">
        <f>1/E26</f>
        <v>1.9389209285072742</v>
      </c>
      <c r="F25" s="1"/>
      <c r="G25" s="6"/>
      <c r="H25" s="6"/>
      <c r="I25" s="6"/>
      <c r="K25" s="11"/>
    </row>
    <row r="26" spans="1:12" x14ac:dyDescent="0.25">
      <c r="A26" s="1"/>
      <c r="B26" s="5">
        <f>G24/B24</f>
        <v>0.4986690328305235</v>
      </c>
      <c r="C26" s="5">
        <f t="shared" ref="C26:D26" si="2">H24/C24</f>
        <v>0.55760761471799969</v>
      </c>
      <c r="D26" s="5">
        <f t="shared" si="2"/>
        <v>0.49097572148419605</v>
      </c>
      <c r="E26" s="12">
        <f>AVERAGE(B26:D26)</f>
        <v>0.51575078967757315</v>
      </c>
      <c r="F26" s="1"/>
      <c r="G26" s="6"/>
      <c r="H26" s="6"/>
      <c r="I26" s="6"/>
      <c r="K26" s="11"/>
    </row>
    <row r="27" spans="1:12" x14ac:dyDescent="0.25">
      <c r="A27" s="1"/>
      <c r="B27" s="5"/>
      <c r="C27" s="5"/>
      <c r="D27" s="5"/>
      <c r="E27" s="11"/>
      <c r="F27" s="1"/>
      <c r="G27" s="6"/>
      <c r="H27" s="6"/>
      <c r="I27" s="6"/>
      <c r="K27" s="11"/>
    </row>
    <row r="28" spans="1:12" x14ac:dyDescent="0.25">
      <c r="A28" s="1"/>
      <c r="B28" s="5"/>
      <c r="C28" s="5"/>
      <c r="D28" s="5"/>
      <c r="E28" s="11"/>
      <c r="F28" s="1"/>
      <c r="G28" s="6"/>
      <c r="H28" s="6"/>
      <c r="I28" s="6"/>
      <c r="K28" s="11"/>
    </row>
    <row r="29" spans="1:12" x14ac:dyDescent="0.25">
      <c r="A29" s="1"/>
      <c r="B29" s="5"/>
      <c r="C29" s="5"/>
      <c r="D29" s="5"/>
      <c r="E29" s="11"/>
      <c r="F29" s="1"/>
      <c r="G29" s="6"/>
      <c r="H29" s="6"/>
      <c r="I29" s="6"/>
      <c r="K29" s="11"/>
    </row>
    <row r="30" spans="1:12" x14ac:dyDescent="0.25">
      <c r="A30" s="1"/>
      <c r="B30" s="5">
        <f>D24/C24</f>
        <v>0.77532319931808502</v>
      </c>
      <c r="C30" s="5"/>
      <c r="D30" s="5">
        <f>AVERAGE(G30,B30)</f>
        <v>0.72899917927687685</v>
      </c>
      <c r="E30" s="11"/>
      <c r="F30" s="1"/>
      <c r="G30" s="5">
        <f>I24/H24</f>
        <v>0.68267515923566879</v>
      </c>
      <c r="H30" s="6"/>
      <c r="I30" s="6"/>
      <c r="K30" s="11"/>
    </row>
    <row r="31" spans="1:12" x14ac:dyDescent="0.25">
      <c r="A31" s="1"/>
      <c r="B31" s="5"/>
      <c r="C31" s="5"/>
      <c r="D31" s="5"/>
      <c r="E31" s="11"/>
      <c r="F31" s="1"/>
      <c r="G31" s="6"/>
      <c r="H31" s="6"/>
      <c r="I31" s="6"/>
      <c r="K31" s="11"/>
    </row>
    <row r="32" spans="1:12" x14ac:dyDescent="0.25">
      <c r="A32" s="1"/>
      <c r="B32" s="5">
        <f>D24/B24</f>
        <v>0.96850044365572319</v>
      </c>
      <c r="C32" s="5"/>
      <c r="D32" s="5"/>
      <c r="E32" s="11"/>
      <c r="F32" s="1"/>
      <c r="G32" s="5">
        <f>I24/G24</f>
        <v>0.95355871886120991</v>
      </c>
      <c r="H32" s="6"/>
      <c r="I32" s="6"/>
      <c r="K32" s="11"/>
    </row>
    <row r="33" spans="1:11" x14ac:dyDescent="0.25">
      <c r="A33" s="1"/>
      <c r="B33" s="5"/>
      <c r="C33" s="5"/>
      <c r="D33" s="5">
        <f>AVERAGE(G32,B32)</f>
        <v>0.9610295812584666</v>
      </c>
      <c r="E33" s="11"/>
      <c r="F33" s="1"/>
      <c r="G33" s="6"/>
      <c r="H33" s="6"/>
      <c r="I33" s="6"/>
      <c r="K33" s="11"/>
    </row>
    <row r="34" spans="1:11" x14ac:dyDescent="0.25">
      <c r="A34" s="1"/>
      <c r="B34" s="5"/>
      <c r="C34" s="5"/>
      <c r="D34" s="5"/>
      <c r="E34" s="11"/>
      <c r="F34" s="1"/>
      <c r="G34" s="6"/>
      <c r="H34" s="6"/>
      <c r="I34" s="6"/>
      <c r="K34" s="11"/>
    </row>
    <row r="35" spans="1:11" x14ac:dyDescent="0.25">
      <c r="A35" s="1"/>
      <c r="B35" s="5"/>
      <c r="C35" s="5"/>
      <c r="D35" s="5"/>
      <c r="E35" s="11"/>
      <c r="F35" s="1"/>
      <c r="G35" s="6"/>
      <c r="H35" s="6"/>
      <c r="I35" s="6"/>
      <c r="K35" s="11"/>
    </row>
    <row r="36" spans="1:11" x14ac:dyDescent="0.25">
      <c r="A36" s="1"/>
      <c r="B36" s="5"/>
      <c r="C36" s="5"/>
      <c r="D36" s="5"/>
      <c r="E36" s="11"/>
      <c r="F36" s="1"/>
      <c r="G36" s="6"/>
      <c r="H36" s="6"/>
      <c r="I36" s="6"/>
      <c r="K36" s="11"/>
    </row>
    <row r="37" spans="1:11" x14ac:dyDescent="0.25">
      <c r="A37" s="1"/>
      <c r="B37" s="5"/>
      <c r="C37" s="5"/>
      <c r="D37" s="5"/>
      <c r="E37" s="11"/>
      <c r="F37" s="1"/>
      <c r="G37" s="6"/>
      <c r="H37" s="6"/>
      <c r="I37" s="6"/>
      <c r="K37" s="11"/>
    </row>
    <row r="38" spans="1:11" x14ac:dyDescent="0.25">
      <c r="A38" s="1"/>
      <c r="B38" s="5"/>
      <c r="C38" s="5"/>
      <c r="D38" s="5"/>
      <c r="E38" s="11"/>
      <c r="F38" s="1"/>
      <c r="G38" s="6"/>
      <c r="H38" s="6"/>
      <c r="I38" s="6"/>
      <c r="K38" s="11"/>
    </row>
    <row r="39" spans="1:11" x14ac:dyDescent="0.25">
      <c r="A39" s="1"/>
      <c r="B39" s="5"/>
      <c r="C39" s="5"/>
      <c r="D39" s="5"/>
      <c r="E39" s="11"/>
      <c r="F39" s="1"/>
      <c r="G39" s="6"/>
      <c r="H39" s="6"/>
      <c r="I39" s="6"/>
      <c r="K39" s="11"/>
    </row>
    <row r="40" spans="1:11" x14ac:dyDescent="0.25">
      <c r="A40" s="1"/>
      <c r="B40" s="5"/>
      <c r="C40" s="5"/>
      <c r="D40" s="5"/>
      <c r="E40" s="11"/>
      <c r="F40" s="1"/>
      <c r="G40" s="6"/>
      <c r="H40" s="6"/>
      <c r="I40" s="6"/>
      <c r="K40" s="11"/>
    </row>
    <row r="41" spans="1:11" x14ac:dyDescent="0.25">
      <c r="A41" s="1"/>
      <c r="B41" s="5"/>
      <c r="C41" s="5"/>
      <c r="D41" s="5"/>
      <c r="E41" s="11"/>
      <c r="F41" s="1"/>
      <c r="G41" s="6"/>
      <c r="H41" s="6"/>
      <c r="I41" s="6"/>
      <c r="K41" s="11"/>
    </row>
    <row r="42" spans="1:11" x14ac:dyDescent="0.25">
      <c r="A42" s="1"/>
      <c r="B42" s="5"/>
      <c r="C42" s="5"/>
      <c r="D42" s="5"/>
      <c r="E42" s="11"/>
      <c r="F42" s="1"/>
      <c r="G42" s="6"/>
      <c r="H42" s="6"/>
      <c r="I42" s="6"/>
      <c r="K42" s="11"/>
    </row>
    <row r="43" spans="1:11" x14ac:dyDescent="0.25">
      <c r="A43" s="1"/>
      <c r="B43" s="5"/>
      <c r="C43" s="5"/>
      <c r="D43" s="5"/>
      <c r="E43" s="11"/>
      <c r="F43" s="1"/>
      <c r="G43" s="6"/>
      <c r="H43" s="6"/>
      <c r="I43" s="6"/>
      <c r="K43" s="11"/>
    </row>
    <row r="44" spans="1:11" x14ac:dyDescent="0.25">
      <c r="A44" s="1"/>
      <c r="B44" s="5"/>
      <c r="C44" s="5"/>
      <c r="D44" s="5"/>
      <c r="E44" s="11"/>
      <c r="F44" s="1"/>
      <c r="G44" s="6"/>
      <c r="H44" s="6"/>
      <c r="I44" s="6"/>
      <c r="K44" s="11"/>
    </row>
    <row r="45" spans="1:11" x14ac:dyDescent="0.25">
      <c r="A45" s="1"/>
      <c r="B45" s="5"/>
      <c r="C45" s="5"/>
      <c r="D45" s="5"/>
      <c r="E45" s="11"/>
      <c r="F45" s="1"/>
      <c r="G45" s="6"/>
      <c r="H45" s="6"/>
      <c r="I45" s="6"/>
      <c r="K45" s="11"/>
    </row>
    <row r="46" spans="1:11" x14ac:dyDescent="0.25">
      <c r="A46" s="1"/>
      <c r="B46" s="5"/>
      <c r="C46" s="5"/>
      <c r="D46" s="5"/>
      <c r="E46" s="11"/>
      <c r="F46" s="1"/>
      <c r="G46" s="6"/>
      <c r="H46" s="6"/>
      <c r="I46" s="6"/>
      <c r="K46" s="11"/>
    </row>
    <row r="47" spans="1:11" x14ac:dyDescent="0.25">
      <c r="A47" s="1"/>
      <c r="B47" s="5"/>
      <c r="C47" s="5"/>
      <c r="D47" s="5"/>
      <c r="E47" s="11"/>
      <c r="F47" s="1"/>
      <c r="G47" s="6"/>
      <c r="H47" s="6"/>
      <c r="I47" s="6"/>
      <c r="K47" s="11"/>
    </row>
    <row r="48" spans="1:11" x14ac:dyDescent="0.25">
      <c r="A48" s="1"/>
      <c r="B48" s="5"/>
      <c r="C48" s="5"/>
      <c r="D48" s="5"/>
      <c r="E48" s="11"/>
      <c r="F48" s="1"/>
      <c r="G48" s="6"/>
      <c r="H48" s="6"/>
      <c r="I48" s="6"/>
      <c r="K48" s="11"/>
    </row>
    <row r="49" spans="1:11" x14ac:dyDescent="0.25">
      <c r="A49" s="1"/>
      <c r="B49" s="5"/>
      <c r="C49" s="5"/>
      <c r="D49" s="5"/>
      <c r="E49" s="11"/>
      <c r="F49" s="1"/>
      <c r="G49" s="6"/>
      <c r="H49" s="6"/>
      <c r="I49" s="6"/>
      <c r="K49" s="11"/>
    </row>
    <row r="50" spans="1:11" x14ac:dyDescent="0.25">
      <c r="A50" s="1"/>
      <c r="B50" s="5"/>
      <c r="C50" s="5"/>
      <c r="D50" s="5"/>
      <c r="E50" s="11"/>
      <c r="F50" s="1"/>
      <c r="G50" s="6"/>
      <c r="H50" s="6"/>
      <c r="I50" s="6"/>
      <c r="K50" s="11"/>
    </row>
    <row r="51" spans="1:11" x14ac:dyDescent="0.25">
      <c r="A51" s="1"/>
      <c r="B51" s="5"/>
      <c r="C51" s="5"/>
      <c r="D51" s="5"/>
      <c r="E51" s="11"/>
      <c r="F51" s="1"/>
      <c r="G51" s="6"/>
      <c r="H51" s="6"/>
      <c r="I51" s="6"/>
      <c r="K51" s="11"/>
    </row>
    <row r="52" spans="1:11" x14ac:dyDescent="0.25">
      <c r="A52" s="1"/>
      <c r="B52" s="5"/>
      <c r="C52" s="5"/>
      <c r="D52" s="5"/>
      <c r="F52" s="1"/>
      <c r="G52" s="6"/>
      <c r="H52" s="6"/>
      <c r="I52" s="6"/>
    </row>
  </sheetData>
  <mergeCells count="4">
    <mergeCell ref="A1:A2"/>
    <mergeCell ref="B1:D1"/>
    <mergeCell ref="F1:F2"/>
    <mergeCell ref="G1:I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11AF-8229-45EF-BB3E-6BBFA1A0C147}">
  <dimension ref="A1"/>
  <sheetViews>
    <sheetView workbookViewId="0">
      <selection activeCell="I9" sqref="I9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Vlad G</cp:lastModifiedBy>
  <dcterms:created xsi:type="dcterms:W3CDTF">2025-10-11T07:19:13Z</dcterms:created>
  <dcterms:modified xsi:type="dcterms:W3CDTF">2025-11-07T09:25:22Z</dcterms:modified>
</cp:coreProperties>
</file>