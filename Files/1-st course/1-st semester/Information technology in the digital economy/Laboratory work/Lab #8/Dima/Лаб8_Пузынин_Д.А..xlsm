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luvid\OneDrive\Desktop\git\Codespace\Файлы\1 курс\Информационные технологии в цифровой экономике\1 семестр\Лабораторные работы\Дима\"/>
    </mc:Choice>
  </mc:AlternateContent>
  <xr:revisionPtr revIDLastSave="0" documentId="13_ncr:1_{78586099-FF3B-464F-BE99-7548F51DAC6C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Месяц" sheetId="1" r:id="rId1"/>
    <sheet name="Автозаполнение" sheetId="2" r:id="rId2"/>
    <sheet name="Лист2" sheetId="3" r:id="rId3"/>
    <sheet name="Задача 10" sheetId="4" r:id="rId4"/>
    <sheet name="Задачи 11-13" sheetId="5" r:id="rId5"/>
    <sheet name="НДС" sheetId="6" r:id="rId6"/>
    <sheet name="Заказ пиццы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" i="7" l="1"/>
  <c r="L30" i="7"/>
  <c r="L31" i="7"/>
  <c r="L29" i="7"/>
  <c r="G19" i="7"/>
  <c r="S29" i="7"/>
  <c r="S28" i="7"/>
  <c r="B8" i="6"/>
  <c r="G20" i="5" a="1"/>
  <c r="H20" i="5" a="1"/>
  <c r="F20" i="5" a="1"/>
  <c r="O39" i="5" a="1"/>
  <c r="F2" i="5" a="1"/>
  <c r="E2" i="5" a="1"/>
  <c r="H2" i="4"/>
  <c r="O2" i="4"/>
  <c r="L20" i="5" a="1"/>
  <c r="D39" i="5" a="1"/>
  <c r="C2" i="5" a="1"/>
  <c r="N20" i="5" a="1"/>
  <c r="C3" i="6" a="1"/>
  <c r="B2" i="4"/>
  <c r="C5" i="6" a="1"/>
  <c r="C8" i="6" a="1"/>
  <c r="C6" i="6" a="1"/>
  <c r="J39" i="5" a="1"/>
  <c r="R2" i="5" a="1"/>
  <c r="J2" i="5" a="1"/>
  <c r="H39" i="5" a="1"/>
  <c r="L39" i="5" a="1"/>
  <c r="C4" i="6" a="1"/>
  <c r="T2" i="5" a="1"/>
  <c r="J20" i="5" a="1"/>
  <c r="M20" i="5" a="1"/>
  <c r="Q2" i="4"/>
  <c r="C39" i="5" a="1"/>
  <c r="I20" i="5" a="1"/>
  <c r="D20" i="5" a="1"/>
  <c r="C2" i="6" a="1"/>
  <c r="T39" i="5" a="1"/>
  <c r="P39" i="5" a="1"/>
  <c r="K2" i="4"/>
  <c r="G39" i="5" a="1"/>
  <c r="R39" i="5" a="1"/>
  <c r="E39" i="5" a="1"/>
  <c r="Q39" i="5" a="1"/>
  <c r="P20" i="5" a="1"/>
  <c r="T20" i="5" a="1"/>
  <c r="M2" i="5" a="1"/>
  <c r="I39" i="5" a="1"/>
  <c r="G2" i="5" a="1"/>
  <c r="R20" i="5" a="1"/>
  <c r="Q2" i="5" a="1"/>
  <c r="J2" i="4"/>
  <c r="O20" i="5" a="1"/>
  <c r="H2" i="5" a="1"/>
  <c r="O2" i="5" a="1"/>
  <c r="M39" i="5" a="1"/>
  <c r="S2" i="5" a="1"/>
  <c r="P2" i="5" a="1"/>
  <c r="N2" i="5" a="1"/>
  <c r="D2" i="5" a="1"/>
  <c r="K2" i="5" a="1"/>
  <c r="K39" i="5" a="1"/>
  <c r="B2" i="5" a="1"/>
  <c r="S39" i="5" a="1"/>
  <c r="F39" i="5" a="1"/>
  <c r="M2" i="4"/>
  <c r="C7" i="6" a="1"/>
  <c r="B39" i="5" a="1"/>
  <c r="E20" i="5" a="1"/>
  <c r="K20" i="5" a="1"/>
  <c r="S20" i="5" a="1"/>
  <c r="C20" i="5" a="1"/>
  <c r="L2" i="5" a="1"/>
  <c r="B20" i="5" a="1"/>
  <c r="Q20" i="5" a="1"/>
  <c r="C2" i="3"/>
  <c r="N39" i="5" a="1"/>
  <c r="I2" i="5" a="1"/>
  <c r="G15" i="7" l="1"/>
  <c r="C4" i="6"/>
  <c r="C8" i="6"/>
  <c r="C7" i="6"/>
  <c r="C5" i="6"/>
  <c r="C6" i="6"/>
  <c r="C3" i="6"/>
  <c r="C2" i="6"/>
  <c r="R39" i="5"/>
  <c r="O39" i="5"/>
  <c r="L39" i="5"/>
  <c r="I39" i="5"/>
  <c r="F39" i="5"/>
  <c r="C39" i="5"/>
  <c r="N39" i="5"/>
  <c r="E39" i="5"/>
  <c r="T39" i="5"/>
  <c r="Q39" i="5"/>
  <c r="K39" i="5"/>
  <c r="S39" i="5"/>
  <c r="P39" i="5"/>
  <c r="M39" i="5"/>
  <c r="J39" i="5"/>
  <c r="G39" i="5"/>
  <c r="D39" i="5"/>
  <c r="H39" i="5"/>
  <c r="B39" i="5"/>
  <c r="R20" i="5"/>
  <c r="O20" i="5"/>
  <c r="L20" i="5"/>
  <c r="I20" i="5"/>
  <c r="F20" i="5"/>
  <c r="C20" i="5"/>
  <c r="T20" i="5"/>
  <c r="Q20" i="5"/>
  <c r="N20" i="5"/>
  <c r="K20" i="5"/>
  <c r="H20" i="5"/>
  <c r="E20" i="5"/>
  <c r="S20" i="5"/>
  <c r="P20" i="5"/>
  <c r="M20" i="5"/>
  <c r="J20" i="5"/>
  <c r="G20" i="5"/>
  <c r="D20" i="5"/>
  <c r="B20" i="5"/>
  <c r="N2" i="5"/>
  <c r="E2" i="5"/>
  <c r="S2" i="5"/>
  <c r="M2" i="5"/>
  <c r="G2" i="5"/>
  <c r="R2" i="5"/>
  <c r="O2" i="5"/>
  <c r="I2" i="5"/>
  <c r="F2" i="5"/>
  <c r="T2" i="5"/>
  <c r="K2" i="5"/>
  <c r="D2" i="5"/>
  <c r="Q2" i="5"/>
  <c r="H2" i="5"/>
  <c r="P2" i="5"/>
  <c r="J2" i="5"/>
  <c r="L2" i="5"/>
  <c r="C2" i="5"/>
  <c r="B2" i="5"/>
  <c r="I2" i="4"/>
  <c r="L2" i="4"/>
  <c r="P2" i="4"/>
  <c r="T2" i="4"/>
  <c r="G2" i="4"/>
  <c r="N2" i="4"/>
  <c r="R2" i="4"/>
  <c r="S2" i="4"/>
  <c r="D2" i="4"/>
  <c r="F2" i="4"/>
  <c r="E2" i="4"/>
  <c r="C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<sst xmlns="http://schemas.openxmlformats.org/spreadsheetml/2006/main" count="96" uniqueCount="55">
  <si>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</si>
  <si>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</si>
  <si>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</si>
  <si>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</si>
  <si>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</si>
  <si>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</si>
  <si>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</si>
  <si>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</si>
  <si>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</si>
  <si>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</si>
  <si>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</si>
  <si>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</si>
  <si>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</si>
  <si>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</si>
  <si>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</si>
  <si>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</si>
  <si>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</si>
  <si>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</si>
  <si>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</si>
  <si>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Выработанная электроэнергия, ГДж</t>
  </si>
  <si>
    <t>Потери, %</t>
  </si>
  <si>
    <t>Получаемая электроэнергия, ГДж</t>
  </si>
  <si>
    <t>X</t>
  </si>
  <si>
    <t>Y</t>
  </si>
  <si>
    <t>Стоимость</t>
  </si>
  <si>
    <t>Стоимость с НДС</t>
  </si>
  <si>
    <t>Видеокарта</t>
  </si>
  <si>
    <t>Блок питания</t>
  </si>
  <si>
    <t>Процессор</t>
  </si>
  <si>
    <t>Клавиатура</t>
  </si>
  <si>
    <t>Монитор</t>
  </si>
  <si>
    <t>Системный блок</t>
  </si>
  <si>
    <t>Итого</t>
  </si>
  <si>
    <t>Сумма НДС</t>
  </si>
  <si>
    <t>Вид пиццы</t>
  </si>
  <si>
    <t>Четыре сыра</t>
  </si>
  <si>
    <t>Американо</t>
  </si>
  <si>
    <t>Гавайская</t>
  </si>
  <si>
    <t>С ананасами</t>
  </si>
  <si>
    <t xml:space="preserve">Фирменная </t>
  </si>
  <si>
    <t>Количество товаров</t>
  </si>
  <si>
    <t>Скидки</t>
  </si>
  <si>
    <t>День рождения</t>
  </si>
  <si>
    <t>Постоянный клиент</t>
  </si>
  <si>
    <t>Тихий час</t>
  </si>
  <si>
    <t>Приготовление</t>
  </si>
  <si>
    <t>В зале</t>
  </si>
  <si>
    <t>С доставкой</t>
  </si>
  <si>
    <t>На вынос</t>
  </si>
  <si>
    <t>Кассир</t>
  </si>
  <si>
    <t>Семенова К.А.</t>
  </si>
  <si>
    <t>Иванов. И.М.</t>
  </si>
  <si>
    <t>Абакумова Н.И.</t>
  </si>
  <si>
    <t>Итоговая стоимость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</si>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</sst>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₽&quot;"/>
  </numFmts>
  <fonts count="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4"/>
      <color rgb="FF00000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8"/>
      <color rgb="FF000000"/>
      <name val="Segoe UI"/>
      <family val="2"/>
      <charset val="204"/>
    </font>
    <font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0" fillId="0" borderId="1" xfId="0" applyBorder="1"/>
    <xf numFmtId="0" fontId="0" fillId="0" borderId="1" xfId="1" applyNumberFormat="1" applyFont="1" applyBorder="1"/>
    <xf numFmtId="2" fontId="4" fillId="0" borderId="1" xfId="0" applyNumberFormat="1" applyFont="1" applyBorder="1"/>
    <xf numFmtId="2" fontId="5" fillId="0" borderId="1" xfId="0" applyNumberFormat="1" applyFont="1" applyBorder="1"/>
    <xf numFmtId="0" fontId="5" fillId="0" borderId="1" xfId="0" applyFont="1" applyBorder="1"/>
    <xf numFmtId="10" fontId="0" fillId="0" borderId="1" xfId="1" applyNumberFormat="1" applyFont="1" applyBorder="1"/>
    <xf numFmtId="164" fontId="0" fillId="0" borderId="1" xfId="0" applyNumberFormat="1" applyBorder="1"/>
    <xf numFmtId="0" fontId="3" fillId="0" borderId="2" xfId="0" applyFont="1" applyBorder="1"/>
    <xf numFmtId="0" fontId="3" fillId="0" borderId="6" xfId="0" applyFont="1" applyBorder="1"/>
    <xf numFmtId="0" fontId="3" fillId="0" borderId="7" xfId="0" applyFont="1" applyBorder="1"/>
    <xf numFmtId="0" fontId="0" fillId="0" borderId="7" xfId="0" applyBorder="1"/>
    <xf numFmtId="0" fontId="0" fillId="0" borderId="4" xfId="0" applyBorder="1"/>
    <xf numFmtId="0" fontId="0" fillId="0" borderId="8" xfId="0" applyBorder="1"/>
    <xf numFmtId="0" fontId="0" fillId="0" borderId="3" xfId="0" applyBorder="1"/>
    <xf numFmtId="0" fontId="0" fillId="0" borderId="0" xfId="0" applyBorder="1"/>
    <xf numFmtId="0" fontId="0" fillId="0" borderId="5" xfId="0" applyBorder="1"/>
    <xf numFmtId="0" fontId="0" fillId="0" borderId="9" xfId="0" applyBorder="1"/>
    <xf numFmtId="0" fontId="3" fillId="0" borderId="4" xfId="0" applyFont="1" applyBorder="1"/>
    <xf numFmtId="0" fontId="3" fillId="0" borderId="10" xfId="0" applyFont="1" applyBorder="1"/>
    <xf numFmtId="164" fontId="0" fillId="0" borderId="11" xfId="0" applyNumberFormat="1" applyBorder="1"/>
    <xf numFmtId="0" fontId="3" fillId="0" borderId="12" xfId="0" applyFont="1" applyBorder="1"/>
    <xf numFmtId="164" fontId="0" fillId="0" borderId="13" xfId="0" applyNumberFormat="1" applyBorder="1"/>
    <xf numFmtId="0" fontId="3" fillId="0" borderId="14" xfId="0" applyFont="1" applyBorder="1"/>
    <xf numFmtId="164" fontId="0" fillId="0" borderId="15" xfId="0" applyNumberFormat="1" applyBorder="1"/>
    <xf numFmtId="9" fontId="0" fillId="0" borderId="11" xfId="0" applyNumberFormat="1" applyBorder="1"/>
    <xf numFmtId="9" fontId="0" fillId="0" borderId="13" xfId="0" applyNumberFormat="1" applyBorder="1"/>
    <xf numFmtId="9" fontId="0" fillId="0" borderId="15" xfId="0" applyNumberFormat="1" applyBorder="1"/>
    <xf numFmtId="0" fontId="3" fillId="0" borderId="16" xfId="0" applyFont="1" applyBorder="1"/>
    <xf numFmtId="0" fontId="3" fillId="0" borderId="11" xfId="0" applyFont="1" applyBorder="1"/>
    <xf numFmtId="0" fontId="0" fillId="0" borderId="13" xfId="0" applyBorder="1"/>
    <xf numFmtId="0" fontId="7" fillId="0" borderId="0" xfId="0" applyFont="1"/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10" xfId="0" applyFont="1" applyBorder="1" applyAlignment="1">
      <alignment horizontal="left"/>
    </xf>
    <xf numFmtId="0" fontId="3" fillId="0" borderId="11" xfId="0" applyFont="1" applyBorder="1" applyAlignment="1">
      <alignment horizontal="left"/>
    </xf>
    <xf numFmtId="0" fontId="3" fillId="0" borderId="12" xfId="0" applyFont="1" applyBorder="1" applyAlignment="1">
      <alignment horizontal="left"/>
    </xf>
    <xf numFmtId="0" fontId="3" fillId="0" borderId="13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164" fontId="3" fillId="2" borderId="17" xfId="0" applyNumberFormat="1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'Задача 10'!$A$2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'Задача 10'!$B$1:$T$1</c:f>
              <c:numCache>
                <c:formatCode>General</c:formatCode>
                <c:ptCount val="19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</c:numCache>
            </c:numRef>
          </c:cat>
          <c:val>
            <c:numRef>
              <c:f>'Задача 10'!$B$2:$T$2</c:f>
              <c:numCache>
                <c:formatCode>0.00</c:formatCode>
                <c:ptCount val="19"/>
                <c:pt idx="0">
                  <c:v>2.7207838339876953</c:v>
                </c:pt>
                <c:pt idx="1">
                  <c:v>2.6772019524632742</c:v>
                </c:pt>
                <c:pt idx="2">
                  <c:v>2.6260084209237311</c:v>
                </c:pt>
                <c:pt idx="3">
                  <c:v>2.6462583855186956</c:v>
                </c:pt>
                <c:pt idx="4">
                  <c:v>2.6540260153847948</c:v>
                </c:pt>
                <c:pt idx="5">
                  <c:v>2.6497952081688978</c:v>
                </c:pt>
                <c:pt idx="6">
                  <c:v>2.6335903755541339</c:v>
                </c:pt>
                <c:pt idx="7">
                  <c:v>2.605161570216314</c:v>
                </c:pt>
                <c:pt idx="8">
                  <c:v>2.5640657024726337</c:v>
                </c:pt>
                <c:pt idx="9">
                  <c:v>2.5096817734512769</c:v>
                </c:pt>
                <c:pt idx="10">
                  <c:v>2.4411641746973007</c:v>
                </c:pt>
                <c:pt idx="11">
                  <c:v>2.3573177182719114</c:v>
                </c:pt>
                <c:pt idx="12">
                  <c:v>2.2563545152423012</c:v>
                </c:pt>
                <c:pt idx="13">
                  <c:v>2.1354500383470527</c:v>
                </c:pt>
                <c:pt idx="14">
                  <c:v>1.989920882460636</c:v>
                </c:pt>
                <c:pt idx="15">
                  <c:v>1.8116116174564025</c:v>
                </c:pt>
                <c:pt idx="16">
                  <c:v>1.5854265710466069</c:v>
                </c:pt>
                <c:pt idx="17">
                  <c:v>1.28086011890406</c:v>
                </c:pt>
                <c:pt idx="18">
                  <c:v>0.82725943565131344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FB-45A1-B05E-6A20FB99A91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5164824"/>
        <c:axId val="585165904"/>
      </c:lineChart>
      <c:catAx>
        <c:axId val="585164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5904"/>
        <c:crosses val="autoZero"/>
        <c:auto val="1"/>
        <c:lblAlgn val="ctr"/>
        <c:lblOffset val="100"/>
        <c:noMultiLvlLbl val="0"/>
      </c:catAx>
      <c:valAx>
        <c:axId val="58516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64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Задача 11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'Задачи 11-13'!$A$2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'Задачи 11-13'!$B$1:$T$1</c:f>
              <c:numCache>
                <c:formatCode>0.00</c:formatCode>
                <c:ptCount val="19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</c:numCache>
            </c:numRef>
          </c:cat>
          <c:val>
            <c:numRef>
              <c:f>'Задачи 11-13'!$B$2:$T$2</c:f>
              <c:numCache>
                <c:formatCode>0.00</c:formatCode>
                <c:ptCount val="19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BC-4209-AA9E-E0EE41434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514096"/>
        <c:axId val="672508336"/>
      </c:lineChart>
      <c:catAx>
        <c:axId val="672514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2508336"/>
        <c:crosses val="autoZero"/>
        <c:auto val="1"/>
        <c:lblAlgn val="ctr"/>
        <c:lblOffset val="100"/>
        <c:noMultiLvlLbl val="0"/>
      </c:catAx>
      <c:valAx>
        <c:axId val="67250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251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Задача 12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'Задачи 11-13'!$B$19:$T$19</c:f>
              <c:numCache>
                <c:formatCode>0.00</c:formatCode>
                <c:ptCount val="19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</c:numCache>
            </c:numRef>
          </c:cat>
          <c:val>
            <c:numRef>
              <c:f>'Задачи 11-13'!$B$20:$O$20</c:f>
              <c:numCache>
                <c:formatCode>0.00</c:formatCode>
                <c:ptCount val="14"/>
                <c:pt idx="0">
                  <c:v>8.0670802349205051</c:v>
                </c:pt>
                <c:pt idx="1">
                  <c:v>8.4342447970558236</c:v>
                </c:pt>
                <c:pt idx="2">
                  <c:v>8.6878520520572273</c:v>
                </c:pt>
                <c:pt idx="3">
                  <c:v>8.8808637176590732</c:v>
                </c:pt>
                <c:pt idx="4">
                  <c:v>9.0366909460644411</c:v>
                </c:pt>
                <c:pt idx="5">
                  <c:v>9.1676493806708983</c:v>
                </c:pt>
                <c:pt idx="6">
                  <c:v>9.2809160493876828</c:v>
                </c:pt>
                <c:pt idx="7">
                  <c:v>9.3809372381656502</c:v>
                </c:pt>
                <c:pt idx="8">
                  <c:v>9.4705503295962643</c:v>
                </c:pt>
                <c:pt idx="9">
                  <c:v>9.5515577859562448</c:v>
                </c:pt>
                <c:pt idx="10">
                  <c:v>9.625037567892317</c:v>
                </c:pt>
                <c:pt idx="11">
                  <c:v>9.6915126847738691</c:v>
                </c:pt>
                <c:pt idx="12">
                  <c:v>9.7510366755981881</c:v>
                </c:pt>
                <c:pt idx="13">
                  <c:v>9.8032214676041463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0D-4B55-948B-FC1AEDD17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475072"/>
        <c:axId val="676477232"/>
      </c:lineChart>
      <c:catAx>
        <c:axId val="676475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6477232"/>
        <c:crosses val="autoZero"/>
        <c:auto val="1"/>
        <c:lblAlgn val="ctr"/>
        <c:lblOffset val="100"/>
        <c:noMultiLvlLbl val="0"/>
      </c:catAx>
      <c:valAx>
        <c:axId val="67647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647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Задача 13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'Задачи 11-13'!$B$38:$T$38</c:f>
              <c:numCache>
                <c:formatCode>0.00</c:formatCode>
                <c:ptCount val="19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0.4</c:v>
                </c:pt>
                <c:pt idx="7">
                  <c:v>0.45</c:v>
                </c:pt>
                <c:pt idx="8">
                  <c:v>0.5</c:v>
                </c:pt>
                <c:pt idx="9">
                  <c:v>0.55000000000000004</c:v>
                </c:pt>
                <c:pt idx="10">
                  <c:v>0.6</c:v>
                </c:pt>
                <c:pt idx="11">
                  <c:v>0.65</c:v>
                </c:pt>
                <c:pt idx="12">
                  <c:v>0.7</c:v>
                </c:pt>
                <c:pt idx="13">
                  <c:v>0.75</c:v>
                </c:pt>
                <c:pt idx="14">
                  <c:v>0.8</c:v>
                </c:pt>
                <c:pt idx="15">
                  <c:v>0.85</c:v>
                </c:pt>
                <c:pt idx="16">
                  <c:v>0.9</c:v>
                </c:pt>
                <c:pt idx="17">
                  <c:v>0.95</c:v>
                </c:pt>
                <c:pt idx="18">
                  <c:v>1</c:v>
                </c:pt>
              </c:numCache>
            </c:numRef>
          </c:cat>
          <c:val>
            <c:numRef>
              <c:f>'Задачи 11-13'!$B$39:$T$39</c:f>
              <c:numCache>
                <c:formatCode>0.00</c:formatCode>
                <c:ptCount val="19"/>
                <c:pt idx="0">
                  <c:v>2.2567386061926649</c:v>
                </c:pt>
                <c:pt idx="1">
                  <c:v>2.210661734567597</c:v>
                </c:pt>
                <c:pt idx="2">
                  <c:v>2.1637883832290257</c:v>
                </c:pt>
                <c:pt idx="3">
                  <c:v>2.1158359632386219</c:v>
                </c:pt>
                <c:pt idx="4">
                  <c:v>2.0664993051241001</c:v>
                </c:pt>
                <c:pt idx="5">
                  <c:v>2.0154431368246888</c:v>
                </c:pt>
                <c:pt idx="6">
                  <c:v>1.9622930958802178</c:v>
                </c:pt>
                <c:pt idx="7">
                  <c:v>1.9066247363679036</c:v>
                </c:pt>
                <c:pt idx="8">
                  <c:v>1.8479498214784014</c:v>
                </c:pt>
                <c:pt idx="9">
                  <c:v>1.7856990603458529</c:v>
                </c:pt>
                <c:pt idx="10">
                  <c:v>1.7192010307812997</c:v>
                </c:pt>
                <c:pt idx="11">
                  <c:v>1.6476622342584788</c:v>
                </c:pt>
                <c:pt idx="12">
                  <c:v>1.5701816833520521</c:v>
                </c:pt>
                <c:pt idx="13">
                  <c:v>1.4859623205981611</c:v>
                </c:pt>
                <c:pt idx="14">
                  <c:v>1.395395958847476</c:v>
                </c:pt>
                <c:pt idx="15">
                  <c:v>1.3045523867517976</c:v>
                </c:pt>
                <c:pt idx="16">
                  <c:v>1.2417299945118512</c:v>
                </c:pt>
                <c:pt idx="17">
                  <c:v>1.3134971477081192</c:v>
                </c:pt>
                <c:pt idx="18">
                  <c:v>1.881454986631691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73-47A2-BE62-AFB2EC50E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488752"/>
        <c:axId val="676485512"/>
      </c:lineChart>
      <c:catAx>
        <c:axId val="676488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6485512"/>
        <c:crosses val="autoZero"/>
        <c:auto val="1"/>
        <c:lblAlgn val="ctr"/>
        <c:lblOffset val="100"/>
        <c:noMultiLvlLbl val="0"/>
      </c:catAx>
      <c:valAx>
        <c:axId val="67648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7648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List" dx="22" fmlaLink="$B$30" fmlaRange="$A$2:$A$6" noThreeD="1" sel="5" val="0"/>
</file>

<file path=xl/ctrlProps/ctrlProp4.xml><?xml version="1.0" encoding="utf-8"?>
<formControlPr xmlns="http://schemas.microsoft.com/office/spreadsheetml/2009/9/main" objectType="List" dx="22" fmlaLink="$C$30" fmlaRange="$A$22:$B$24" noThreeD="1" sel="2" val="0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CheckBox" checked="Checked" fmlaLink="$K$29" lockText="1" noThreeD="1"/>
</file>

<file path=xl/ctrlProps/ctrlProp7.xml><?xml version="1.0" encoding="utf-8"?>
<formControlPr xmlns="http://schemas.microsoft.com/office/spreadsheetml/2009/9/main" objectType="CheckBox" fmlaLink="$K$31" lockText="1" noThreeD="1"/>
</file>

<file path=xl/ctrlProps/ctrlProp8.xml><?xml version="1.0" encoding="utf-8"?>
<formControlPr xmlns="http://schemas.microsoft.com/office/spreadsheetml/2009/9/main" objectType="CheckBox" checked="Checked" fmlaLink="$K$30" lockText="1" noThreeD="1"/>
</file>

<file path=xl/ctrlProps/ctrlProp9.xml><?xml version="1.0" encoding="utf-8"?>
<formControlPr xmlns="http://schemas.microsoft.com/office/spreadsheetml/2009/9/main" objectType="Radio" firstButton="1" fmlaLink="$D$30" lockText="1" noThreeD="1"/>
</file>

<file path=xl/ctrlProps/ctrlProp10.xml><?xml version="1.0" encoding="utf-8"?>
<formControlPr xmlns="http://schemas.microsoft.com/office/spreadsheetml/2009/9/main" objectType="Radio" checked="Checked" lockText="1" noThreeD="1"/>
</file>

<file path=xl/ctrlProps/ctrlProp11.xml><?xml version="1.0" encoding="utf-8"?>
<formControlPr xmlns="http://schemas.microsoft.com/office/spreadsheetml/2009/9/main" objectType="Radio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4</xdr:row>
          <xdr:rowOff>47625</xdr:rowOff>
        </xdr:from>
        <xdr:to>
          <xdr:col>9</xdr:col>
          <xdr:colOff>76200</xdr:colOff>
          <xdr:row>7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Заголовок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495300</xdr:colOff>
      <xdr:row>2</xdr:row>
      <xdr:rowOff>133350</xdr:rowOff>
    </xdr:from>
    <xdr:to>
      <xdr:col>5</xdr:col>
      <xdr:colOff>142875</xdr:colOff>
      <xdr:row>10</xdr:row>
      <xdr:rowOff>76200</xdr:rowOff>
    </xdr:to>
    <xdr:sp macro="[0]!Месяц_с_абсолютными_адресами" textlink="">
      <xdr:nvSpPr>
        <xdr:cNvPr id="2" name="Овал 1">
          <a:extLst>
            <a:ext uri="{FF2B5EF4-FFF2-40B4-BE49-F238E27FC236}">
              <a16:creationId xmlns:a16="http://schemas.microsoft.com/office/drawing/2014/main" id="{1553F462-22AB-2CB1-0D48-106A798EB40B}"/>
            </a:ext>
          </a:extLst>
        </xdr:cNvPr>
        <xdr:cNvSpPr/>
      </xdr:nvSpPr>
      <xdr:spPr>
        <a:xfrm>
          <a:off x="1714500" y="514350"/>
          <a:ext cx="1476375" cy="14668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Месяц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4</xdr:row>
      <xdr:rowOff>90487</xdr:rowOff>
    </xdr:from>
    <xdr:to>
      <xdr:col>13</xdr:col>
      <xdr:colOff>314325</xdr:colOff>
      <xdr:row>18</xdr:row>
      <xdr:rowOff>166687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D2F15FA-F0EB-A62E-DBEF-BDC8AF4690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3</xdr:row>
      <xdr:rowOff>23812</xdr:rowOff>
    </xdr:from>
    <xdr:to>
      <xdr:col>7</xdr:col>
      <xdr:colOff>11906</xdr:colOff>
      <xdr:row>17</xdr:row>
      <xdr:rowOff>100012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5AA6294-8398-4847-9A77-3E80767E86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109537</xdr:colOff>
      <xdr:row>21</xdr:row>
      <xdr:rowOff>147637</xdr:rowOff>
    </xdr:from>
    <xdr:to>
      <xdr:col>7</xdr:col>
      <xdr:colOff>0</xdr:colOff>
      <xdr:row>36</xdr:row>
      <xdr:rowOff>33337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77549CFF-7E89-F25C-E3BC-4B7D3F2783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178594</xdr:colOff>
      <xdr:row>42</xdr:row>
      <xdr:rowOff>146446</xdr:rowOff>
    </xdr:from>
    <xdr:to>
      <xdr:col>7</xdr:col>
      <xdr:colOff>35719</xdr:colOff>
      <xdr:row>57</xdr:row>
      <xdr:rowOff>32146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690E7F56-6E6D-8A9C-F8B0-923D538C31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9525</xdr:rowOff>
        </xdr:from>
        <xdr:to>
          <xdr:col>5</xdr:col>
          <xdr:colOff>190500</xdr:colOff>
          <xdr:row>18</xdr:row>
          <xdr:rowOff>76200</xdr:rowOff>
        </xdr:to>
        <xdr:sp macro="" textlink="">
          <xdr:nvSpPr>
            <xdr:cNvPr id="7170" name="Group Box 2" descr="Приготовление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Приготовление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38099</xdr:colOff>
          <xdr:row>2</xdr:row>
          <xdr:rowOff>0</xdr:rowOff>
        </xdr:from>
        <xdr:to>
          <xdr:col>5</xdr:col>
          <xdr:colOff>219074</xdr:colOff>
          <xdr:row>7</xdr:row>
          <xdr:rowOff>57150</xdr:rowOff>
        </xdr:to>
        <xdr:sp macro="" textlink="">
          <xdr:nvSpPr>
            <xdr:cNvPr id="7173" name="List Box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</xdr:colOff>
          <xdr:row>5</xdr:row>
          <xdr:rowOff>28575</xdr:rowOff>
        </xdr:from>
        <xdr:to>
          <xdr:col>6</xdr:col>
          <xdr:colOff>1276351</xdr:colOff>
          <xdr:row>10</xdr:row>
          <xdr:rowOff>171450</xdr:rowOff>
        </xdr:to>
        <xdr:sp macro="" textlink="">
          <xdr:nvSpPr>
            <xdr:cNvPr id="7175" name="List Box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6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7</xdr:row>
          <xdr:rowOff>133350</xdr:rowOff>
        </xdr:from>
        <xdr:to>
          <xdr:col>5</xdr:col>
          <xdr:colOff>209550</xdr:colOff>
          <xdr:row>12</xdr:row>
          <xdr:rowOff>28575</xdr:rowOff>
        </xdr:to>
        <xdr:sp macro="" textlink="">
          <xdr:nvSpPr>
            <xdr:cNvPr id="7176" name="Group Box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6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Скидки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8</xdr:row>
          <xdr:rowOff>57150</xdr:rowOff>
        </xdr:from>
        <xdr:to>
          <xdr:col>4</xdr:col>
          <xdr:colOff>552450</xdr:colOff>
          <xdr:row>9</xdr:row>
          <xdr:rowOff>85725</xdr:rowOff>
        </xdr:to>
        <xdr:sp macro="" textlink="">
          <xdr:nvSpPr>
            <xdr:cNvPr id="7177" name="Check Box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6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День рождения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10</xdr:row>
          <xdr:rowOff>142875</xdr:rowOff>
        </xdr:from>
        <xdr:to>
          <xdr:col>4</xdr:col>
          <xdr:colOff>552450</xdr:colOff>
          <xdr:row>11</xdr:row>
          <xdr:rowOff>161925</xdr:rowOff>
        </xdr:to>
        <xdr:sp macro="" textlink="">
          <xdr:nvSpPr>
            <xdr:cNvPr id="7178" name="Check Box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6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Тихий час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9</xdr:row>
          <xdr:rowOff>133350</xdr:rowOff>
        </xdr:from>
        <xdr:to>
          <xdr:col>5</xdr:col>
          <xdr:colOff>485775</xdr:colOff>
          <xdr:row>10</xdr:row>
          <xdr:rowOff>123825</xdr:rowOff>
        </xdr:to>
        <xdr:sp macro="" textlink="">
          <xdr:nvSpPr>
            <xdr:cNvPr id="7179" name="Check Box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6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Постоянный клиент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13</xdr:row>
          <xdr:rowOff>161925</xdr:rowOff>
        </xdr:from>
        <xdr:to>
          <xdr:col>5</xdr:col>
          <xdr:colOff>66675</xdr:colOff>
          <xdr:row>14</xdr:row>
          <xdr:rowOff>180975</xdr:rowOff>
        </xdr:to>
        <xdr:sp macro="" textlink="">
          <xdr:nvSpPr>
            <xdr:cNvPr id="7180" name="Option 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6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В зале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15</xdr:row>
          <xdr:rowOff>47625</xdr:rowOff>
        </xdr:from>
        <xdr:to>
          <xdr:col>5</xdr:col>
          <xdr:colOff>76200</xdr:colOff>
          <xdr:row>16</xdr:row>
          <xdr:rowOff>66675</xdr:rowOff>
        </xdr:to>
        <xdr:sp macro="" textlink="">
          <xdr:nvSpPr>
            <xdr:cNvPr id="7181" name="Option 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6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 доставкой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16</xdr:row>
          <xdr:rowOff>133350</xdr:rowOff>
        </xdr:from>
        <xdr:to>
          <xdr:col>5</xdr:col>
          <xdr:colOff>85725</xdr:colOff>
          <xdr:row>17</xdr:row>
          <xdr:rowOff>161925</xdr:rowOff>
        </xdr:to>
        <xdr:sp macro="" textlink="">
          <xdr:nvSpPr>
            <xdr:cNvPr id="7182" name="Option 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6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 вынос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12"/>
  <sheetViews>
    <sheetView workbookViewId="0">
      <selection activeCell="H16" sqref="H16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</sheetData>
  <phoneticPr fontId="8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Заголовок">
                <anchor moveWithCells="1" sizeWithCells="1">
                  <from>
                    <xdr:col>6</xdr:col>
                    <xdr:colOff>447675</xdr:colOff>
                    <xdr:row>4</xdr:row>
                    <xdr:rowOff>47625</xdr:rowOff>
                  </from>
                  <to>
                    <xdr:col>9</xdr:col>
                    <xdr:colOff>76200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C26"/>
  <sheetViews>
    <sheetView workbookViewId="0">
      <selection activeCell="B10" sqref="B10:B16"/>
    </sheetView>
  </sheetViews>
  <sheetFormatPr defaultRowHeight="15" x14ac:dyDescent="0.25"/>
  <cols>
    <col min="2" max="2" width="13.5703125" bestFit="1" customWidth="1"/>
    <col min="3" max="3" width="8.85546875" bestFit="1" customWidth="1"/>
  </cols>
  <sheetData>
    <row r="1" spans="1:3" x14ac:dyDescent="0.25">
      <c r="A1">
        <v>1</v>
      </c>
      <c r="B1" t="s">
        <v>12</v>
      </c>
      <c r="C1" t="s">
        <v>0</v>
      </c>
    </row>
    <row r="2" spans="1:3" x14ac:dyDescent="0.25">
      <c r="A2">
        <v>2</v>
      </c>
      <c r="B2" t="s">
        <v>13</v>
      </c>
      <c r="C2" t="s">
        <v>1</v>
      </c>
    </row>
    <row r="3" spans="1:3" x14ac:dyDescent="0.25">
      <c r="A3">
        <v>3</v>
      </c>
      <c r="B3" t="s">
        <v>14</v>
      </c>
      <c r="C3" t="s">
        <v>2</v>
      </c>
    </row>
    <row r="4" spans="1:3" x14ac:dyDescent="0.25">
      <c r="A4">
        <v>4</v>
      </c>
      <c r="B4" t="s">
        <v>15</v>
      </c>
      <c r="C4" t="s">
        <v>3</v>
      </c>
    </row>
    <row r="5" spans="1:3" x14ac:dyDescent="0.25">
      <c r="A5">
        <v>5</v>
      </c>
      <c r="B5" t="s">
        <v>16</v>
      </c>
      <c r="C5" t="s">
        <v>4</v>
      </c>
    </row>
    <row r="6" spans="1:3" x14ac:dyDescent="0.25">
      <c r="A6">
        <v>6</v>
      </c>
      <c r="B6" t="s">
        <v>17</v>
      </c>
      <c r="C6" t="s">
        <v>5</v>
      </c>
    </row>
    <row r="7" spans="1:3" x14ac:dyDescent="0.25">
      <c r="A7">
        <v>7</v>
      </c>
      <c r="B7" t="s">
        <v>18</v>
      </c>
      <c r="C7" t="s">
        <v>6</v>
      </c>
    </row>
    <row r="8" spans="1:3" x14ac:dyDescent="0.25">
      <c r="A8">
        <v>8</v>
      </c>
      <c r="B8" t="s">
        <v>12</v>
      </c>
      <c r="C8" t="s">
        <v>7</v>
      </c>
    </row>
    <row r="9" spans="1:3" x14ac:dyDescent="0.25">
      <c r="A9">
        <v>9</v>
      </c>
      <c r="B9" t="s">
        <v>13</v>
      </c>
      <c r="C9" t="s">
        <v>8</v>
      </c>
    </row>
    <row r="10" spans="1:3" x14ac:dyDescent="0.25">
      <c r="A10">
        <v>10</v>
      </c>
      <c r="B10" t="s">
        <v>14</v>
      </c>
      <c r="C10" t="s">
        <v>9</v>
      </c>
    </row>
    <row r="11" spans="1:3" x14ac:dyDescent="0.25">
      <c r="A11">
        <v>11</v>
      </c>
      <c r="B11" t="s">
        <v>15</v>
      </c>
      <c r="C11" t="s">
        <v>10</v>
      </c>
    </row>
    <row r="12" spans="1:3" x14ac:dyDescent="0.25">
      <c r="A12">
        <v>12</v>
      </c>
      <c r="B12" t="s">
        <v>16</v>
      </c>
      <c r="C12" t="s">
        <v>11</v>
      </c>
    </row>
    <row r="13" spans="1:3" x14ac:dyDescent="0.25">
      <c r="A13">
        <v>13</v>
      </c>
      <c r="B13" t="s">
        <v>17</v>
      </c>
      <c r="C13" t="s">
        <v>0</v>
      </c>
    </row>
    <row r="14" spans="1:3" x14ac:dyDescent="0.25">
      <c r="A14">
        <v>14</v>
      </c>
      <c r="B14" t="s">
        <v>18</v>
      </c>
      <c r="C14" t="s">
        <v>1</v>
      </c>
    </row>
    <row r="15" spans="1:3" x14ac:dyDescent="0.25">
      <c r="A15">
        <v>15</v>
      </c>
      <c r="B15" t="s">
        <v>12</v>
      </c>
      <c r="C15" t="s">
        <v>2</v>
      </c>
    </row>
    <row r="16" spans="1:3" x14ac:dyDescent="0.25">
      <c r="A16">
        <v>16</v>
      </c>
      <c r="B16" t="s">
        <v>13</v>
      </c>
      <c r="C16" t="s">
        <v>3</v>
      </c>
    </row>
    <row r="17" spans="1:3" x14ac:dyDescent="0.25">
      <c r="A17">
        <v>17</v>
      </c>
      <c r="C17" t="s">
        <v>4</v>
      </c>
    </row>
    <row r="18" spans="1:3" x14ac:dyDescent="0.25">
      <c r="A18">
        <v>18</v>
      </c>
      <c r="C18" t="s">
        <v>5</v>
      </c>
    </row>
    <row r="19" spans="1:3" x14ac:dyDescent="0.25">
      <c r="A19">
        <v>19</v>
      </c>
      <c r="C19" t="s">
        <v>6</v>
      </c>
    </row>
    <row r="20" spans="1:3" x14ac:dyDescent="0.25">
      <c r="A20">
        <v>20</v>
      </c>
      <c r="C20" t="s">
        <v>7</v>
      </c>
    </row>
    <row r="21" spans="1:3" x14ac:dyDescent="0.25">
      <c r="A21">
        <v>21</v>
      </c>
      <c r="C21" t="s">
        <v>8</v>
      </c>
    </row>
    <row r="22" spans="1:3" x14ac:dyDescent="0.25">
      <c r="A22">
        <v>22</v>
      </c>
    </row>
    <row r="23" spans="1:3" x14ac:dyDescent="0.25">
      <c r="A23">
        <v>23</v>
      </c>
    </row>
    <row r="24" spans="1:3" x14ac:dyDescent="0.25">
      <c r="A24">
        <v>24</v>
      </c>
    </row>
    <row r="25" spans="1:3" x14ac:dyDescent="0.25">
      <c r="A25">
        <v>25</v>
      </c>
    </row>
    <row r="26" spans="1:3" x14ac:dyDescent="0.25">
      <c r="A26">
        <v>26</v>
      </c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C2"/>
  <sheetViews>
    <sheetView workbookViewId="0">
      <selection activeCell="C2" sqref="C2"/>
    </sheetView>
  </sheetViews>
  <sheetFormatPr defaultRowHeight="15" x14ac:dyDescent="0.25"/>
  <cols>
    <col min="1" max="1" width="34.85546875" bestFit="1" customWidth="1"/>
    <col min="2" max="2" width="10.28515625" bestFit="1" customWidth="1"/>
    <col min="3" max="3" width="32.7109375" bestFit="1" customWidth="1"/>
  </cols>
  <sheetData>
    <row r="1" spans="1:3" x14ac:dyDescent="0.25">
      <c r="A1" s="1" t="s">
        <v>19</v>
      </c>
      <c r="B1" s="1" t="s">
        <v>20</v>
      </c>
      <c r="C1" s="1" t="s">
        <v>21</v>
      </c>
    </row>
    <row r="2" spans="1:3" x14ac:dyDescent="0.25">
      <c r="A2" s="1">
        <v>5750</v>
      </c>
      <c r="B2" s="2">
        <v>5</v>
      </c>
      <c r="C2" s="1">
        <f>QH(A2,B2)</f>
        <v>5462.5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T3"/>
  <sheetViews>
    <sheetView workbookViewId="0">
      <selection activeCell="E2" sqref="E2"/>
    </sheetView>
  </sheetViews>
  <sheetFormatPr defaultRowHeight="15" x14ac:dyDescent="0.25"/>
  <sheetData>
    <row r="1" spans="1:20" ht="18.75" x14ac:dyDescent="0.3">
      <c r="A1" s="3" t="s">
        <v>22</v>
      </c>
      <c r="B1" s="5">
        <v>0.1</v>
      </c>
      <c r="C1" s="5">
        <v>0.15</v>
      </c>
      <c r="D1" s="5">
        <v>0.2</v>
      </c>
      <c r="E1" s="5">
        <v>0.25</v>
      </c>
      <c r="F1" s="5">
        <v>0.3</v>
      </c>
      <c r="G1" s="5">
        <v>0.35</v>
      </c>
      <c r="H1" s="5">
        <v>0.4</v>
      </c>
      <c r="I1" s="5">
        <v>0.45</v>
      </c>
      <c r="J1" s="5">
        <v>0.5</v>
      </c>
      <c r="K1" s="5">
        <v>0.55000000000000004</v>
      </c>
      <c r="L1" s="5">
        <v>0.6</v>
      </c>
      <c r="M1" s="5">
        <v>0.65</v>
      </c>
      <c r="N1" s="5">
        <v>0.7</v>
      </c>
      <c r="O1" s="5">
        <v>0.75</v>
      </c>
      <c r="P1" s="5">
        <v>0.8</v>
      </c>
      <c r="Q1" s="5">
        <v>0.85</v>
      </c>
      <c r="R1" s="5">
        <v>0.9</v>
      </c>
      <c r="S1" s="5">
        <v>0.95</v>
      </c>
      <c r="T1" s="5">
        <v>1</v>
      </c>
    </row>
    <row r="2" spans="1:20" ht="18.75" x14ac:dyDescent="0.3">
      <c r="A2" s="3" t="s">
        <v>23</v>
      </c>
      <c r="B2" s="4">
        <f t="shared" ref="B2:T2" si="0">FY(B1)</f>
        <v>2.7207838339876953</v>
      </c>
      <c r="C2" s="4">
        <f t="shared" si="0"/>
        <v>2.6772019524632742</v>
      </c>
      <c r="D2" s="4">
        <f t="shared" si="0"/>
        <v>2.6260084209237311</v>
      </c>
      <c r="E2" s="4">
        <f t="shared" si="0"/>
        <v>2.6462583855186956</v>
      </c>
      <c r="F2" s="4">
        <f t="shared" si="0"/>
        <v>2.6540260153847948</v>
      </c>
      <c r="G2" s="4">
        <f t="shared" si="0"/>
        <v>2.6497952081688978</v>
      </c>
      <c r="H2" s="4">
        <f t="shared" si="0"/>
        <v>2.6335903755541339</v>
      </c>
      <c r="I2" s="4">
        <f t="shared" si="0"/>
        <v>2.605161570216314</v>
      </c>
      <c r="J2" s="4">
        <f t="shared" si="0"/>
        <v>2.5640657024726337</v>
      </c>
      <c r="K2" s="4">
        <f t="shared" si="0"/>
        <v>2.5096817734512769</v>
      </c>
      <c r="L2" s="4">
        <f t="shared" si="0"/>
        <v>2.4411641746973007</v>
      </c>
      <c r="M2" s="4">
        <f t="shared" si="0"/>
        <v>2.3573177182719114</v>
      </c>
      <c r="N2" s="4">
        <f t="shared" si="0"/>
        <v>2.2563545152423012</v>
      </c>
      <c r="O2" s="4">
        <f t="shared" si="0"/>
        <v>2.1354500383470527</v>
      </c>
      <c r="P2" s="4">
        <f t="shared" si="0"/>
        <v>1.989920882460636</v>
      </c>
      <c r="Q2" s="4">
        <f t="shared" si="0"/>
        <v>1.8116116174564025</v>
      </c>
      <c r="R2" s="4">
        <f t="shared" si="0"/>
        <v>1.5854265710466069</v>
      </c>
      <c r="S2" s="4">
        <f t="shared" si="0"/>
        <v>1.28086011890406</v>
      </c>
      <c r="T2" s="4">
        <f t="shared" si="0"/>
        <v>0.82725943565131344</v>
      </c>
    </row>
    <row r="3" spans="1:20" ht="21.75" customHeight="1" x14ac:dyDescent="0.25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6DEE8-B412-44CE-B50D-988418C4B712}">
  <sheetPr codeName="Лист5"/>
  <dimension ref="A1:T39"/>
  <sheetViews>
    <sheetView topLeftCell="A19" zoomScale="80" zoomScaleNormal="80" workbookViewId="0">
      <selection activeCell="I26" sqref="I26"/>
    </sheetView>
  </sheetViews>
  <sheetFormatPr defaultRowHeight="15" x14ac:dyDescent="0.25"/>
  <cols>
    <col min="2" max="20" width="13" bestFit="1" customWidth="1"/>
  </cols>
  <sheetData>
    <row r="1" spans="1:20" ht="18.75" x14ac:dyDescent="0.3">
      <c r="A1" s="3" t="s">
        <v>22</v>
      </c>
      <c r="B1" s="4">
        <v>0.1</v>
      </c>
      <c r="C1" s="4">
        <v>0.15</v>
      </c>
      <c r="D1" s="4">
        <v>0.2</v>
      </c>
      <c r="E1" s="4">
        <v>0.25</v>
      </c>
      <c r="F1" s="4">
        <v>0.3</v>
      </c>
      <c r="G1" s="4">
        <v>0.35</v>
      </c>
      <c r="H1" s="4">
        <v>0.4</v>
      </c>
      <c r="I1" s="4">
        <v>0.45</v>
      </c>
      <c r="J1" s="4">
        <v>0.5</v>
      </c>
      <c r="K1" s="4">
        <v>0.55000000000000004</v>
      </c>
      <c r="L1" s="4">
        <v>0.6</v>
      </c>
      <c r="M1" s="4">
        <v>0.65</v>
      </c>
      <c r="N1" s="4">
        <v>0.7</v>
      </c>
      <c r="O1" s="4">
        <v>0.75</v>
      </c>
      <c r="P1" s="4">
        <v>0.8</v>
      </c>
      <c r="Q1" s="4">
        <v>0.85</v>
      </c>
      <c r="R1" s="4">
        <v>0.9</v>
      </c>
      <c r="S1" s="4">
        <v>0.95</v>
      </c>
      <c r="T1" s="4">
        <v>1</v>
      </c>
    </row>
    <row r="2" spans="1:20" ht="18.75" x14ac:dyDescent="0.3">
      <c r="A2" s="3" t="s">
        <v>23</v>
      </c>
      <c r="B2" s="4" cm="1">
        <f t="array" ref="B2">FYX(B1)</f>
        <v>0.1</v>
      </c>
      <c r="C2" s="4" cm="1">
        <f t="array" ref="C2">FYX(C1)</f>
        <v>0.15</v>
      </c>
      <c r="D2" s="4" cm="1">
        <f t="array" ref="D2">FYX(D1)</f>
        <v>0.2</v>
      </c>
      <c r="E2" s="4" cm="1">
        <f t="array" ref="E2">FYX(E1)</f>
        <v>0.25</v>
      </c>
      <c r="F2" s="4" cm="1">
        <f t="array" ref="F2">FYX(F1)</f>
        <v>0.3</v>
      </c>
      <c r="G2" s="4" cm="1">
        <f t="array" ref="G2">FYX(G1)</f>
        <v>0.35</v>
      </c>
      <c r="H2" s="4" cm="1">
        <f t="array" ref="H2">FYX(H1)</f>
        <v>0.4</v>
      </c>
      <c r="I2" s="4" cm="1">
        <f t="array" ref="I2">FYX(I1)</f>
        <v>0.45</v>
      </c>
      <c r="J2" s="4" cm="1">
        <f t="array" ref="J2">FYX(J1)</f>
        <v>0.5</v>
      </c>
      <c r="K2" s="4" cm="1">
        <f t="array" ref="K2">FYX(K1)</f>
        <v>0.55000000000000004</v>
      </c>
      <c r="L2" s="4" cm="1">
        <f t="array" ref="L2">FYX(L1)</f>
        <v>0.6</v>
      </c>
      <c r="M2" s="4" cm="1">
        <f t="array" ref="M2">FYX(M1)</f>
        <v>0.65</v>
      </c>
      <c r="N2" s="4" cm="1">
        <f t="array" ref="N2">FYX(N1)</f>
        <v>0.7</v>
      </c>
      <c r="O2" s="4" cm="1">
        <f t="array" ref="O2">FYX(O1)</f>
        <v>0.75</v>
      </c>
      <c r="P2" s="4" cm="1">
        <f t="array" ref="P2">FYX(P1)</f>
        <v>0.8</v>
      </c>
      <c r="Q2" s="4" cm="1">
        <f t="array" ref="Q2">FYX(Q1)</f>
        <v>0.85</v>
      </c>
      <c r="R2" s="4" cm="1">
        <f t="array" ref="R2">FYX(R1)</f>
        <v>0.9</v>
      </c>
      <c r="S2" s="4" cm="1">
        <f t="array" ref="S2">FYX(S1)</f>
        <v>0.95</v>
      </c>
      <c r="T2" s="4" cm="1">
        <f t="array" ref="T2">FYX(T1)</f>
        <v>1</v>
      </c>
    </row>
    <row r="19" spans="1:20" ht="18.75" x14ac:dyDescent="0.3">
      <c r="A19" s="3" t="s">
        <v>22</v>
      </c>
      <c r="B19" s="4">
        <v>0.1</v>
      </c>
      <c r="C19" s="4">
        <v>0.15</v>
      </c>
      <c r="D19" s="4">
        <v>0.2</v>
      </c>
      <c r="E19" s="4">
        <v>0.25</v>
      </c>
      <c r="F19" s="4">
        <v>0.3</v>
      </c>
      <c r="G19" s="4">
        <v>0.35</v>
      </c>
      <c r="H19" s="4">
        <v>0.4</v>
      </c>
      <c r="I19" s="4">
        <v>0.45</v>
      </c>
      <c r="J19" s="4">
        <v>0.5</v>
      </c>
      <c r="K19" s="4">
        <v>0.55000000000000004</v>
      </c>
      <c r="L19" s="4">
        <v>0.6</v>
      </c>
      <c r="M19" s="4">
        <v>0.65</v>
      </c>
      <c r="N19" s="4">
        <v>0.7</v>
      </c>
      <c r="O19" s="4">
        <v>0.75</v>
      </c>
      <c r="P19" s="4">
        <v>0.8</v>
      </c>
      <c r="Q19" s="4">
        <v>0.85</v>
      </c>
      <c r="R19" s="4">
        <v>0.9</v>
      </c>
      <c r="S19" s="4">
        <v>0.95</v>
      </c>
      <c r="T19" s="4">
        <v>1</v>
      </c>
    </row>
    <row r="20" spans="1:20" ht="18.75" x14ac:dyDescent="0.3">
      <c r="A20" s="3" t="s">
        <v>23</v>
      </c>
      <c r="B20" s="4" cm="1">
        <f t="array" ref="B20">FYXX(B19)</f>
        <v>8.0670802349205051</v>
      </c>
      <c r="C20" s="4" cm="1">
        <f t="array" ref="C20">FYXX(C19)</f>
        <v>8.4342447970558236</v>
      </c>
      <c r="D20" s="4" cm="1">
        <f t="array" ref="D20">FYXX(D19)</f>
        <v>8.6878520520572273</v>
      </c>
      <c r="E20" s="4" cm="1">
        <f t="array" ref="E20">FYXX(E19)</f>
        <v>8.8808637176590732</v>
      </c>
      <c r="F20" s="4" cm="1">
        <f t="array" ref="F20">FYXX(F19)</f>
        <v>9.0366909460644411</v>
      </c>
      <c r="G20" s="4" cm="1">
        <f t="array" ref="G20">FYXX(G19)</f>
        <v>9.1676493806708983</v>
      </c>
      <c r="H20" s="4" cm="1">
        <f t="array" ref="H20">FYXX(H19)</f>
        <v>9.2809160493876828</v>
      </c>
      <c r="I20" s="4" cm="1">
        <f t="array" ref="I20">FYXX(I19)</f>
        <v>9.3809372381656502</v>
      </c>
      <c r="J20" s="4" cm="1">
        <f t="array" ref="J20">FYXX(J19)</f>
        <v>9.4705503295962643</v>
      </c>
      <c r="K20" s="4" cm="1">
        <f t="array" ref="K20">FYXX(K19)</f>
        <v>9.5515577859562448</v>
      </c>
      <c r="L20" s="4" cm="1">
        <f t="array" ref="L20">FYXX(L19)</f>
        <v>9.625037567892317</v>
      </c>
      <c r="M20" s="4" cm="1">
        <f t="array" ref="M20">FYXX(M19)</f>
        <v>9.6915126847738691</v>
      </c>
      <c r="N20" s="4" cm="1">
        <f t="array" ref="N20">FYXX(N19)</f>
        <v>9.7510366755981881</v>
      </c>
      <c r="O20" s="4" cm="1">
        <f t="array" ref="O20">FYXX(O19)</f>
        <v>9.8032214676041463</v>
      </c>
      <c r="P20" s="4" cm="1">
        <f t="array" ref="P20">FYXX(P19)</f>
        <v>9.8472178916354274</v>
      </c>
      <c r="Q20" s="4" cm="1">
        <f t="array" ref="Q20">FYXX(Q19)</f>
        <v>9.8816483572737859</v>
      </c>
      <c r="R20" s="4" cm="1">
        <f t="array" ref="R20">FYXX(R19)</f>
        <v>9.9044812667918354</v>
      </c>
      <c r="S20" s="4" cm="1">
        <f t="array" ref="S20">FYXX(S19)</f>
        <v>9.9128241163247512</v>
      </c>
      <c r="T20" s="4" cm="1">
        <f t="array" ref="T20">FYXX(T19)</f>
        <v>9.9025922753450981</v>
      </c>
    </row>
    <row r="38" spans="1:20" ht="18.75" x14ac:dyDescent="0.3">
      <c r="A38" s="3" t="s">
        <v>22</v>
      </c>
      <c r="B38" s="4">
        <v>0.1</v>
      </c>
      <c r="C38" s="4">
        <v>0.15</v>
      </c>
      <c r="D38" s="4">
        <v>0.2</v>
      </c>
      <c r="E38" s="4">
        <v>0.25</v>
      </c>
      <c r="F38" s="4">
        <v>0.3</v>
      </c>
      <c r="G38" s="4">
        <v>0.35</v>
      </c>
      <c r="H38" s="4">
        <v>0.4</v>
      </c>
      <c r="I38" s="4">
        <v>0.45</v>
      </c>
      <c r="J38" s="4">
        <v>0.5</v>
      </c>
      <c r="K38" s="4">
        <v>0.55000000000000004</v>
      </c>
      <c r="L38" s="4">
        <v>0.6</v>
      </c>
      <c r="M38" s="4">
        <v>0.65</v>
      </c>
      <c r="N38" s="4">
        <v>0.7</v>
      </c>
      <c r="O38" s="4">
        <v>0.75</v>
      </c>
      <c r="P38" s="4">
        <v>0.8</v>
      </c>
      <c r="Q38" s="4">
        <v>0.85</v>
      </c>
      <c r="R38" s="4">
        <v>0.9</v>
      </c>
      <c r="S38" s="4">
        <v>0.95</v>
      </c>
      <c r="T38" s="4">
        <v>1</v>
      </c>
    </row>
    <row r="39" spans="1:20" ht="18.75" x14ac:dyDescent="0.3">
      <c r="A39" s="3" t="s">
        <v>23</v>
      </c>
      <c r="B39" s="4" cm="1">
        <f t="array" ref="B39">FYXXX(B38)</f>
        <v>2.2567386061926649</v>
      </c>
      <c r="C39" s="4" cm="1">
        <f t="array" ref="C39">FYXXX(C38)</f>
        <v>2.210661734567597</v>
      </c>
      <c r="D39" s="4" cm="1">
        <f t="array" ref="D39">FYXXX(D38)</f>
        <v>2.1637883832290257</v>
      </c>
      <c r="E39" s="4" cm="1">
        <f t="array" ref="E39">FYXXX(E38)</f>
        <v>2.1158359632386219</v>
      </c>
      <c r="F39" s="4" cm="1">
        <f t="array" ref="F39">FYXXX(F38)</f>
        <v>2.0664993051241001</v>
      </c>
      <c r="G39" s="4" cm="1">
        <f t="array" ref="G39">FYXXX(G38)</f>
        <v>2.0154431368246888</v>
      </c>
      <c r="H39" s="4" cm="1">
        <f t="array" ref="H39">FYXXX(H38)</f>
        <v>1.9622930958802178</v>
      </c>
      <c r="I39" s="4" cm="1">
        <f t="array" ref="I39">FYXXX(I38)</f>
        <v>1.9066247363679036</v>
      </c>
      <c r="J39" s="4" cm="1">
        <f t="array" ref="J39">FYXXX(J38)</f>
        <v>1.8479498214784014</v>
      </c>
      <c r="K39" s="4" cm="1">
        <f t="array" ref="K39">FYXXX(K38)</f>
        <v>1.7856990603458529</v>
      </c>
      <c r="L39" s="4" cm="1">
        <f t="array" ref="L39">FYXXX(L38)</f>
        <v>1.7192010307812997</v>
      </c>
      <c r="M39" s="4" cm="1">
        <f t="array" ref="M39">FYXXX(M38)</f>
        <v>1.6476622342584788</v>
      </c>
      <c r="N39" s="4" cm="1">
        <f t="array" ref="N39">FYXXX(N38)</f>
        <v>1.5701816833520521</v>
      </c>
      <c r="O39" s="4" cm="1">
        <f t="array" ref="O39">FYXXX(O38)</f>
        <v>1.4859623205981611</v>
      </c>
      <c r="P39" s="4" cm="1">
        <f t="array" ref="P39">FYXXX(P38)</f>
        <v>1.395395958847476</v>
      </c>
      <c r="Q39" s="4" cm="1">
        <f t="array" ref="Q39">FYXXX(Q38)</f>
        <v>1.3045523867517976</v>
      </c>
      <c r="R39" s="4" cm="1">
        <f t="array" ref="R39">FYXXX(R38)</f>
        <v>1.2417299945118512</v>
      </c>
      <c r="S39" s="4" cm="1">
        <f t="array" ref="S39">FYXXX(S38)</f>
        <v>1.3134971477081192</v>
      </c>
      <c r="T39" s="4" cm="1">
        <f t="array" ref="T39">FYXXX(T38)</f>
        <v>1.881454986631691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FFD-7B5E-432A-B370-878F9E2DFEEF}">
  <sheetPr codeName="Лист6"/>
  <dimension ref="A1:C10"/>
  <sheetViews>
    <sheetView workbookViewId="0">
      <selection activeCell="B10" sqref="B10"/>
    </sheetView>
  </sheetViews>
  <sheetFormatPr defaultRowHeight="15" x14ac:dyDescent="0.25"/>
  <cols>
    <col min="1" max="1" width="16.28515625" bestFit="1" customWidth="1"/>
    <col min="2" max="2" width="10.5703125" bestFit="1" customWidth="1"/>
    <col min="3" max="3" width="16.28515625" bestFit="1" customWidth="1"/>
  </cols>
  <sheetData>
    <row r="1" spans="1:3" x14ac:dyDescent="0.25">
      <c r="A1" s="1"/>
      <c r="B1" s="1" t="s">
        <v>24</v>
      </c>
      <c r="C1" s="1" t="s">
        <v>25</v>
      </c>
    </row>
    <row r="2" spans="1:3" x14ac:dyDescent="0.25">
      <c r="A2" s="1" t="s">
        <v>26</v>
      </c>
      <c r="B2" s="7">
        <v>35000</v>
      </c>
      <c r="C2" s="7" cm="1">
        <f t="array" ref="C2">NDS(B2, $B$10)</f>
        <v>35070</v>
      </c>
    </row>
    <row r="3" spans="1:3" x14ac:dyDescent="0.25">
      <c r="A3" s="1" t="s">
        <v>27</v>
      </c>
      <c r="B3" s="7">
        <v>2400</v>
      </c>
      <c r="C3" s="7" cm="1">
        <f t="array" ref="C3">NDS(B3, $B$10)</f>
        <v>2404.8000000000002</v>
      </c>
    </row>
    <row r="4" spans="1:3" x14ac:dyDescent="0.25">
      <c r="A4" s="1" t="s">
        <v>28</v>
      </c>
      <c r="B4" s="7">
        <v>13000</v>
      </c>
      <c r="C4" s="7" cm="1">
        <f t="array" ref="C4">NDS(B4, $B$10)</f>
        <v>13026</v>
      </c>
    </row>
    <row r="5" spans="1:3" x14ac:dyDescent="0.25">
      <c r="A5" s="1" t="s">
        <v>29</v>
      </c>
      <c r="B5" s="7">
        <v>2400</v>
      </c>
      <c r="C5" s="7" cm="1">
        <f t="array" ref="C5">NDS(B5, $B$10)</f>
        <v>2404.8000000000002</v>
      </c>
    </row>
    <row r="6" spans="1:3" x14ac:dyDescent="0.25">
      <c r="A6" s="1" t="s">
        <v>30</v>
      </c>
      <c r="B6" s="7">
        <v>13000</v>
      </c>
      <c r="C6" s="7" cm="1">
        <f t="array" ref="C6">NDS(B6, $B$10)</f>
        <v>13026</v>
      </c>
    </row>
    <row r="7" spans="1:3" x14ac:dyDescent="0.25">
      <c r="A7" s="1" t="s">
        <v>31</v>
      </c>
      <c r="B7" s="7">
        <v>3500</v>
      </c>
      <c r="C7" s="7" cm="1">
        <f t="array" ref="C7">NDS(B7, $B$10)</f>
        <v>3507</v>
      </c>
    </row>
    <row r="8" spans="1:3" x14ac:dyDescent="0.25">
      <c r="A8" s="1" t="s">
        <v>32</v>
      </c>
      <c r="B8" s="7">
        <f>SUM(B2:B7)</f>
        <v>69300</v>
      </c>
      <c r="C8" s="7" cm="1">
        <f t="array" ref="C8">NDS(B8, $B$10)</f>
        <v>69438.600000000006</v>
      </c>
    </row>
    <row r="10" spans="1:3" x14ac:dyDescent="0.25">
      <c r="A10" s="1" t="s">
        <v>33</v>
      </c>
      <c r="B10" s="6">
        <v>0.2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ABBE7-571D-4891-B7D0-B01B3EEC4A46}">
  <sheetPr codeName="Лист7"/>
  <dimension ref="A1:U34"/>
  <sheetViews>
    <sheetView tabSelected="1" workbookViewId="0">
      <selection activeCell="G15" sqref="G15"/>
    </sheetView>
  </sheetViews>
  <sheetFormatPr defaultRowHeight="15" x14ac:dyDescent="0.25"/>
  <cols>
    <col min="1" max="1" width="19.5703125" bestFit="1" customWidth="1"/>
    <col min="2" max="2" width="10.5703125" bestFit="1" customWidth="1"/>
    <col min="7" max="7" width="19.5703125" bestFit="1" customWidth="1"/>
  </cols>
  <sheetData>
    <row r="1" spans="1:7" ht="15.75" thickBot="1" x14ac:dyDescent="0.3">
      <c r="A1" s="9" t="s">
        <v>34</v>
      </c>
      <c r="B1" s="10" t="s">
        <v>24</v>
      </c>
    </row>
    <row r="2" spans="1:7" x14ac:dyDescent="0.25">
      <c r="A2" s="19" t="s">
        <v>35</v>
      </c>
      <c r="B2" s="20">
        <v>166</v>
      </c>
      <c r="D2" s="8" t="s">
        <v>34</v>
      </c>
      <c r="E2" s="13"/>
      <c r="F2" s="13"/>
      <c r="G2" s="29" t="s">
        <v>40</v>
      </c>
    </row>
    <row r="3" spans="1:7" x14ac:dyDescent="0.25">
      <c r="A3" s="21" t="s">
        <v>36</v>
      </c>
      <c r="B3" s="22">
        <v>180</v>
      </c>
      <c r="D3" s="14"/>
      <c r="E3" s="15"/>
      <c r="F3" s="15"/>
      <c r="G3" s="30">
        <v>4</v>
      </c>
    </row>
    <row r="4" spans="1:7" x14ac:dyDescent="0.25">
      <c r="A4" s="21" t="s">
        <v>37</v>
      </c>
      <c r="B4" s="22">
        <v>145</v>
      </c>
      <c r="D4" s="14"/>
      <c r="E4" s="15"/>
      <c r="F4" s="15"/>
      <c r="G4" s="12"/>
    </row>
    <row r="5" spans="1:7" x14ac:dyDescent="0.25">
      <c r="A5" s="21" t="s">
        <v>38</v>
      </c>
      <c r="B5" s="22">
        <v>175</v>
      </c>
      <c r="D5" s="14"/>
      <c r="E5" s="15"/>
      <c r="F5" s="15"/>
      <c r="G5" s="18" t="s">
        <v>49</v>
      </c>
    </row>
    <row r="6" spans="1:7" ht="15.75" thickBot="1" x14ac:dyDescent="0.3">
      <c r="A6" s="23" t="s">
        <v>39</v>
      </c>
      <c r="B6" s="24">
        <v>225</v>
      </c>
      <c r="D6" s="14"/>
      <c r="E6" s="15"/>
      <c r="F6" s="15"/>
      <c r="G6" s="12"/>
    </row>
    <row r="7" spans="1:7" ht="15.75" thickBot="1" x14ac:dyDescent="0.3">
      <c r="D7" s="14"/>
      <c r="E7" s="15"/>
      <c r="F7" s="15"/>
      <c r="G7" s="12"/>
    </row>
    <row r="8" spans="1:7" ht="15.75" thickBot="1" x14ac:dyDescent="0.3">
      <c r="A8" s="9" t="s">
        <v>40</v>
      </c>
      <c r="B8" s="11"/>
      <c r="D8" s="14"/>
      <c r="E8" s="15"/>
      <c r="F8" s="15"/>
      <c r="G8" s="12"/>
    </row>
    <row r="9" spans="1:7" x14ac:dyDescent="0.25">
      <c r="D9" s="14"/>
      <c r="E9" s="15"/>
      <c r="F9" s="15"/>
      <c r="G9" s="12"/>
    </row>
    <row r="10" spans="1:7" ht="15.75" thickBot="1" x14ac:dyDescent="0.3">
      <c r="D10" s="14"/>
      <c r="E10" s="15"/>
      <c r="F10" s="15"/>
      <c r="G10" s="12"/>
    </row>
    <row r="11" spans="1:7" ht="15.75" thickBot="1" x14ac:dyDescent="0.3">
      <c r="A11" s="32" t="s">
        <v>41</v>
      </c>
      <c r="B11" s="33"/>
      <c r="D11" s="14"/>
      <c r="E11" s="15"/>
      <c r="F11" s="15"/>
      <c r="G11" s="12"/>
    </row>
    <row r="12" spans="1:7" x14ac:dyDescent="0.25">
      <c r="A12" s="19" t="s">
        <v>42</v>
      </c>
      <c r="B12" s="25">
        <v>0.1</v>
      </c>
      <c r="D12" s="14"/>
      <c r="E12" s="15"/>
      <c r="F12" s="15"/>
      <c r="G12" s="12"/>
    </row>
    <row r="13" spans="1:7" x14ac:dyDescent="0.25">
      <c r="A13" s="21" t="s">
        <v>43</v>
      </c>
      <c r="B13" s="26">
        <v>0.15</v>
      </c>
      <c r="D13" s="14"/>
      <c r="E13" s="15"/>
      <c r="F13" s="15"/>
      <c r="G13" s="12"/>
    </row>
    <row r="14" spans="1:7" ht="15.75" thickBot="1" x14ac:dyDescent="0.3">
      <c r="A14" s="23" t="s">
        <v>44</v>
      </c>
      <c r="B14" s="27">
        <v>0.12</v>
      </c>
      <c r="D14" s="14"/>
      <c r="E14" s="15"/>
      <c r="F14" s="15"/>
      <c r="G14" s="28" t="s">
        <v>53</v>
      </c>
    </row>
    <row r="15" spans="1:7" ht="15.75" thickBot="1" x14ac:dyDescent="0.3">
      <c r="D15" s="14"/>
      <c r="E15" s="15"/>
      <c r="F15" s="15"/>
      <c r="G15" s="42">
        <f>S29*D31*G3*(1-L29-L30-L31)</f>
        <v>877.5</v>
      </c>
    </row>
    <row r="16" spans="1:7" ht="15.75" thickBot="1" x14ac:dyDescent="0.3">
      <c r="A16" s="32" t="s">
        <v>45</v>
      </c>
      <c r="B16" s="33"/>
      <c r="D16" s="14"/>
      <c r="E16" s="15"/>
      <c r="F16" s="15"/>
      <c r="G16" s="12"/>
    </row>
    <row r="17" spans="1:21" x14ac:dyDescent="0.25">
      <c r="A17" s="19" t="s">
        <v>46</v>
      </c>
      <c r="B17" s="25">
        <v>1.1000000000000001</v>
      </c>
      <c r="D17" s="14"/>
      <c r="E17" s="15"/>
      <c r="F17" s="15"/>
      <c r="G17" s="12"/>
    </row>
    <row r="18" spans="1:21" x14ac:dyDescent="0.25">
      <c r="A18" s="21" t="s">
        <v>47</v>
      </c>
      <c r="B18" s="26">
        <v>1.3</v>
      </c>
      <c r="D18" s="14"/>
      <c r="E18" s="15"/>
      <c r="F18" s="15"/>
      <c r="G18" s="28" t="s">
        <v>49</v>
      </c>
    </row>
    <row r="19" spans="1:21" ht="15.75" thickBot="1" x14ac:dyDescent="0.3">
      <c r="A19" s="23" t="s">
        <v>48</v>
      </c>
      <c r="B19" s="27">
        <v>0.9</v>
      </c>
      <c r="D19" s="16"/>
      <c r="E19" s="17"/>
      <c r="F19" s="17"/>
      <c r="G19" s="43" t="str">
        <f>CHOOSE(C30,A22,A23,A24)</f>
        <v>Семенова К.А.</v>
      </c>
    </row>
    <row r="20" spans="1:21" ht="15.75" thickBot="1" x14ac:dyDescent="0.3"/>
    <row r="21" spans="1:21" ht="15.75" thickBot="1" x14ac:dyDescent="0.3">
      <c r="A21" s="40" t="s">
        <v>49</v>
      </c>
      <c r="B21" s="41"/>
    </row>
    <row r="22" spans="1:21" x14ac:dyDescent="0.25">
      <c r="A22" s="34" t="s">
        <v>51</v>
      </c>
      <c r="B22" s="35"/>
    </row>
    <row r="23" spans="1:21" x14ac:dyDescent="0.25">
      <c r="A23" s="36" t="s">
        <v>50</v>
      </c>
      <c r="B23" s="37"/>
    </row>
    <row r="24" spans="1:21" ht="15.75" thickBot="1" x14ac:dyDescent="0.3">
      <c r="A24" s="38" t="s">
        <v>52</v>
      </c>
      <c r="B24" s="39"/>
    </row>
    <row r="25" spans="1:21" x14ac:dyDescent="0.25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</row>
    <row r="26" spans="1:21" x14ac:dyDescent="0.25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</row>
    <row r="27" spans="1:21" x14ac:dyDescent="0.25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 t="s">
        <v>54</v>
      </c>
      <c r="L27" s="31"/>
      <c r="M27" s="31"/>
      <c r="N27" s="31"/>
      <c r="O27" s="31"/>
      <c r="P27" s="31"/>
      <c r="Q27" s="31"/>
      <c r="R27" s="31"/>
      <c r="S27" s="31"/>
      <c r="T27" s="31"/>
      <c r="U27" s="31"/>
    </row>
    <row r="28" spans="1:21" x14ac:dyDescent="0.25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 t="str">
        <f>CHOOSE(B30,A2,A3,A4,A5,A6)</f>
        <v xml:space="preserve">Фирменная </v>
      </c>
      <c r="T28" s="31"/>
      <c r="U28" s="31"/>
    </row>
    <row r="29" spans="1:21" x14ac:dyDescent="0.25">
      <c r="A29" s="31"/>
      <c r="B29" s="31"/>
      <c r="C29" s="31"/>
      <c r="D29" s="31"/>
      <c r="E29" s="31"/>
      <c r="F29" s="31">
        <v>0</v>
      </c>
      <c r="G29" s="31"/>
      <c r="H29" s="31"/>
      <c r="I29" s="31"/>
      <c r="J29" s="31"/>
      <c r="K29" s="31" t="b">
        <v>1</v>
      </c>
      <c r="L29" s="31">
        <f>IF(K29,B12,0)</f>
        <v>0.1</v>
      </c>
      <c r="M29" s="31"/>
      <c r="N29" s="31"/>
      <c r="O29" s="31"/>
      <c r="P29" s="31"/>
      <c r="Q29" s="31"/>
      <c r="R29" s="31"/>
      <c r="S29" s="31">
        <f>CHOOSE(B30,B2,B3,B4,B5,B6,)</f>
        <v>225</v>
      </c>
      <c r="T29" s="31"/>
      <c r="U29" s="31"/>
    </row>
    <row r="30" spans="1:21" x14ac:dyDescent="0.25">
      <c r="A30" s="31"/>
      <c r="B30" s="31">
        <v>5</v>
      </c>
      <c r="C30" s="31">
        <v>2</v>
      </c>
      <c r="D30" s="31">
        <v>2</v>
      </c>
      <c r="E30" s="31"/>
      <c r="F30" s="31" t="b">
        <v>0</v>
      </c>
      <c r="G30" s="31"/>
      <c r="H30" s="31"/>
      <c r="I30" s="31"/>
      <c r="J30" s="31"/>
      <c r="K30" s="31" t="b">
        <v>1</v>
      </c>
      <c r="L30" s="31">
        <f t="shared" ref="L30:L31" si="0">IF(K30,B13,0)</f>
        <v>0.15</v>
      </c>
      <c r="M30" s="31"/>
      <c r="N30" s="31"/>
      <c r="O30" s="31"/>
      <c r="P30" s="31"/>
      <c r="Q30" s="31"/>
      <c r="R30" s="31"/>
      <c r="S30" s="31"/>
      <c r="T30" s="31"/>
      <c r="U30" s="31"/>
    </row>
    <row r="31" spans="1:21" x14ac:dyDescent="0.25">
      <c r="A31" s="31"/>
      <c r="B31" s="31"/>
      <c r="C31" s="31"/>
      <c r="D31" s="31">
        <f>CHOOSE(D30,B17,B18,B19)</f>
        <v>1.3</v>
      </c>
      <c r="E31" s="31"/>
      <c r="F31" s="31"/>
      <c r="G31" s="31"/>
      <c r="H31" s="31"/>
      <c r="I31" s="31"/>
      <c r="J31" s="31"/>
      <c r="K31" s="31" t="b">
        <v>0</v>
      </c>
      <c r="L31" s="31">
        <f t="shared" si="0"/>
        <v>0</v>
      </c>
      <c r="M31" s="31"/>
      <c r="N31" s="31"/>
      <c r="O31" s="31"/>
      <c r="P31" s="31"/>
      <c r="Q31" s="31"/>
      <c r="R31" s="31"/>
      <c r="S31" s="31"/>
      <c r="T31" s="31"/>
      <c r="U31" s="31"/>
    </row>
    <row r="32" spans="1:21" x14ac:dyDescent="0.25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</row>
    <row r="33" spans="1:21" x14ac:dyDescent="0.25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</row>
    <row r="34" spans="1:21" x14ac:dyDescent="0.25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</row>
  </sheetData>
  <protectedRanges>
    <protectedRange algorithmName="SHA-512" hashValue="2GvjB1pCHjAifXtOdRBJ9pga0QyROkuxevjjsuMfuJYdBHK0+dCwFt4IvsKqLvDHIXlLzLpPMf72tb+R+dVWsQ==" saltValue="VN8uU+URNDINifZwFXFD+A==" spinCount="100000" sqref="A1:B24" name="Диапазон1"/>
  </protectedRanges>
  <mergeCells count="6">
    <mergeCell ref="A11:B11"/>
    <mergeCell ref="A22:B22"/>
    <mergeCell ref="A23:B23"/>
    <mergeCell ref="A24:B24"/>
    <mergeCell ref="A21:B21"/>
    <mergeCell ref="A16:B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Group Box 2">
              <controlPr defaultSize="0" autoFill="0" autoPict="0" altText="Приготовление">
                <anchor moveWithCells="1">
                  <from>
                    <xdr:col>3</xdr:col>
                    <xdr:colOff>47625</xdr:colOff>
                    <xdr:row>13</xdr:row>
                    <xdr:rowOff>9525</xdr:rowOff>
                  </from>
                  <to>
                    <xdr:col>5</xdr:col>
                    <xdr:colOff>190500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List Box 5">
              <controlPr defaultSize="0" autoLine="0" autoPict="0">
                <anchor moveWithCells="1">
                  <from>
                    <xdr:col>3</xdr:col>
                    <xdr:colOff>38100</xdr:colOff>
                    <xdr:row>2</xdr:row>
                    <xdr:rowOff>0</xdr:rowOff>
                  </from>
                  <to>
                    <xdr:col>5</xdr:col>
                    <xdr:colOff>219075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5" name="List Box 7">
              <controlPr defaultSize="0" autoLine="0" autoPict="0">
                <anchor moveWithCells="1">
                  <from>
                    <xdr:col>6</xdr:col>
                    <xdr:colOff>0</xdr:colOff>
                    <xdr:row>5</xdr:row>
                    <xdr:rowOff>28575</xdr:rowOff>
                  </from>
                  <to>
                    <xdr:col>6</xdr:col>
                    <xdr:colOff>1276350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6" name="Group Box 8">
              <controlPr defaultSize="0" autoFill="0" autoPict="0">
                <anchor moveWithCells="1">
                  <from>
                    <xdr:col>3</xdr:col>
                    <xdr:colOff>47625</xdr:colOff>
                    <xdr:row>7</xdr:row>
                    <xdr:rowOff>133350</xdr:rowOff>
                  </from>
                  <to>
                    <xdr:col>5</xdr:col>
                    <xdr:colOff>209550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7" name="Check Box 9">
              <controlPr defaultSize="0" autoFill="0" autoLine="0" autoPict="0">
                <anchor moveWithCells="1">
                  <from>
                    <xdr:col>3</xdr:col>
                    <xdr:colOff>238125</xdr:colOff>
                    <xdr:row>8</xdr:row>
                    <xdr:rowOff>57150</xdr:rowOff>
                  </from>
                  <to>
                    <xdr:col>4</xdr:col>
                    <xdr:colOff>552450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8" name="Check Box 10">
              <controlPr defaultSize="0" autoFill="0" autoLine="0" autoPict="0">
                <anchor moveWithCells="1">
                  <from>
                    <xdr:col>3</xdr:col>
                    <xdr:colOff>238125</xdr:colOff>
                    <xdr:row>10</xdr:row>
                    <xdr:rowOff>142875</xdr:rowOff>
                  </from>
                  <to>
                    <xdr:col>4</xdr:col>
                    <xdr:colOff>552450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9" name="Check Box 11">
              <controlPr defaultSize="0" autoFill="0" autoLine="0" autoPict="0">
                <anchor moveWithCells="1">
                  <from>
                    <xdr:col>3</xdr:col>
                    <xdr:colOff>238125</xdr:colOff>
                    <xdr:row>9</xdr:row>
                    <xdr:rowOff>133350</xdr:rowOff>
                  </from>
                  <to>
                    <xdr:col>5</xdr:col>
                    <xdr:colOff>485775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0" name="Option Button 12">
              <controlPr defaultSize="0" autoFill="0" autoLine="0" autoPict="0">
                <anchor moveWithCells="1">
                  <from>
                    <xdr:col>3</xdr:col>
                    <xdr:colOff>266700</xdr:colOff>
                    <xdr:row>13</xdr:row>
                    <xdr:rowOff>161925</xdr:rowOff>
                  </from>
                  <to>
                    <xdr:col>5</xdr:col>
                    <xdr:colOff>66675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1" name="Option Button 13">
              <controlPr defaultSize="0" autoFill="0" autoLine="0" autoPict="0">
                <anchor moveWithCells="1">
                  <from>
                    <xdr:col>3</xdr:col>
                    <xdr:colOff>276225</xdr:colOff>
                    <xdr:row>15</xdr:row>
                    <xdr:rowOff>47625</xdr:rowOff>
                  </from>
                  <to>
                    <xdr:col>5</xdr:col>
                    <xdr:colOff>76200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2" name="Option Button 14">
              <controlPr defaultSize="0" autoFill="0" autoLine="0" autoPict="0">
                <anchor moveWithCells="1">
                  <from>
                    <xdr:col>3</xdr:col>
                    <xdr:colOff>276225</xdr:colOff>
                    <xdr:row>16</xdr:row>
                    <xdr:rowOff>133350</xdr:rowOff>
                  </from>
                  <to>
                    <xdr:col>5</xdr:col>
                    <xdr:colOff>85725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Месяц</vt:lpstr>
      <vt:lpstr>Автозаполнение</vt:lpstr>
      <vt:lpstr>Лист2</vt:lpstr>
      <vt:lpstr>Задача 10</vt:lpstr>
      <vt:lpstr>Задачи 11-13</vt:lpstr>
      <vt:lpstr>НДС</vt:lpstr>
      <vt:lpstr>Заказ пиццы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Дмитрий Пузынин</cp:lastModifiedBy>
  <dcterms:created xsi:type="dcterms:W3CDTF">2024-12-09T02:48:12Z</dcterms:created>
  <dcterms:modified xsi:type="dcterms:W3CDTF">2024-12-23T03:26:23Z</dcterms:modified>
</cp:coreProperties>
</file>