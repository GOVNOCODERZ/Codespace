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vidmi\Desktop\gitRep\Codespace\Файлы\1 курс\2 семестр\Экология\Лабы\18.02.25 - 1-ая лаба\"/>
    </mc:Choice>
  </mc:AlternateContent>
  <xr:revisionPtr revIDLastSave="0" documentId="13_ncr:1_{38244D73-17EC-44AE-86BB-7AC616F370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Hlk153478266" localSheetId="1">Лист2!$K$19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8" i="2" l="1"/>
  <c r="I109" i="2"/>
  <c r="I110" i="2"/>
  <c r="I111" i="2"/>
  <c r="I112" i="2"/>
  <c r="I113" i="2"/>
  <c r="I114" i="2"/>
  <c r="I115" i="2"/>
  <c r="I107" i="2"/>
  <c r="B10" i="3"/>
  <c r="B9" i="3"/>
  <c r="B8" i="3"/>
  <c r="B7" i="3"/>
  <c r="B5" i="3"/>
  <c r="B4" i="3"/>
  <c r="B3" i="3"/>
  <c r="B2" i="3"/>
  <c r="I88" i="2"/>
  <c r="H88" i="2"/>
  <c r="H62" i="2"/>
  <c r="H61" i="2"/>
  <c r="D26" i="2"/>
  <c r="D25" i="2"/>
  <c r="F15" i="1"/>
  <c r="K115" i="2"/>
  <c r="H114" i="2"/>
  <c r="H113" i="2"/>
  <c r="H112" i="2"/>
  <c r="H111" i="2"/>
  <c r="H110" i="2"/>
  <c r="H109" i="2"/>
  <c r="H108" i="2"/>
  <c r="H107" i="2"/>
  <c r="J81" i="2"/>
  <c r="I49" i="2"/>
  <c r="J49" i="2" s="1"/>
  <c r="K49" i="2" s="1"/>
  <c r="B44" i="2"/>
  <c r="B42" i="2"/>
  <c r="I41" i="2"/>
  <c r="B41" i="2"/>
  <c r="B28" i="2"/>
  <c r="D28" i="2" s="1"/>
  <c r="D27" i="2"/>
  <c r="B27" i="2"/>
  <c r="B26" i="2"/>
  <c r="B25" i="2" s="1"/>
  <c r="O25" i="2"/>
  <c r="H115" i="2" s="1"/>
  <c r="B23" i="2"/>
  <c r="B21" i="2"/>
  <c r="B20" i="2"/>
  <c r="B19" i="2"/>
  <c r="I39" i="2" s="1"/>
  <c r="H16" i="2"/>
  <c r="I16" i="2" s="1"/>
  <c r="B54" i="2" s="1"/>
  <c r="B8" i="2"/>
  <c r="B10" i="2" s="1"/>
  <c r="B7" i="2"/>
  <c r="M3" i="2"/>
  <c r="H2" i="2"/>
  <c r="I96" i="2" l="1"/>
  <c r="I62" i="2"/>
  <c r="I100" i="2"/>
  <c r="J100" i="2" s="1"/>
  <c r="I102" i="2"/>
  <c r="J102" i="2" s="1"/>
  <c r="I99" i="2"/>
  <c r="J99" i="2" s="1"/>
  <c r="J101" i="2"/>
  <c r="J16" i="2"/>
  <c r="B13" i="2"/>
  <c r="H33" i="2" s="1"/>
  <c r="J33" i="2" s="1"/>
  <c r="P3" i="2"/>
  <c r="P9" i="2" s="1"/>
  <c r="I37" i="2"/>
  <c r="I47" i="2"/>
  <c r="J47" i="2" s="1"/>
  <c r="K47" i="2" s="1"/>
  <c r="I33" i="2"/>
  <c r="I35" i="2"/>
  <c r="H96" i="2"/>
  <c r="I2" i="2"/>
  <c r="I43" i="2"/>
  <c r="J62" i="2" l="1"/>
  <c r="H41" i="2"/>
  <c r="J41" i="2" s="1"/>
  <c r="K41" i="2" s="1"/>
  <c r="H37" i="2"/>
  <c r="J37" i="2" s="1"/>
  <c r="K37" i="2" s="1"/>
  <c r="H56" i="2" s="1"/>
  <c r="H45" i="2"/>
  <c r="J45" i="2" s="1"/>
  <c r="K45" i="2" s="1"/>
  <c r="H60" i="2" s="1"/>
  <c r="H43" i="2"/>
  <c r="J43" i="2" s="1"/>
  <c r="K43" i="2" s="1"/>
  <c r="H59" i="2" s="1"/>
  <c r="H35" i="2"/>
  <c r="J35" i="2" s="1"/>
  <c r="K35" i="2" s="1"/>
  <c r="H55" i="2" s="1"/>
  <c r="B14" i="2"/>
  <c r="B16" i="2" s="1"/>
  <c r="B17" i="2" s="1"/>
  <c r="H39" i="2"/>
  <c r="J39" i="2" s="1"/>
  <c r="K39" i="2" s="1"/>
  <c r="H57" i="2" s="1"/>
  <c r="B75" i="2"/>
  <c r="B77" i="2" s="1"/>
  <c r="I95" i="2"/>
  <c r="I61" i="2"/>
  <c r="J61" i="2"/>
  <c r="H95" i="2"/>
  <c r="B33" i="2" l="1"/>
  <c r="B35" i="2" s="1"/>
  <c r="B37" i="2" s="1"/>
  <c r="E17" i="2"/>
  <c r="I58" i="2"/>
  <c r="I92" i="2"/>
  <c r="H92" i="2"/>
  <c r="H58" i="2"/>
  <c r="J58" i="2" s="1"/>
  <c r="K33" i="2"/>
  <c r="H54" i="2" s="1"/>
  <c r="B45" i="2"/>
  <c r="B47" i="2" s="1"/>
  <c r="B52" i="2" s="1"/>
  <c r="I93" i="2"/>
  <c r="H93" i="2"/>
  <c r="I59" i="2"/>
  <c r="J59" i="2"/>
  <c r="I89" i="2"/>
  <c r="I55" i="2"/>
  <c r="J55" i="2"/>
  <c r="H89" i="2"/>
  <c r="J60" i="2"/>
  <c r="I94" i="2"/>
  <c r="I60" i="2"/>
  <c r="H94" i="2"/>
  <c r="J57" i="2"/>
  <c r="I57" i="2"/>
  <c r="I91" i="2"/>
  <c r="H91" i="2"/>
  <c r="I90" i="2"/>
  <c r="J56" i="2"/>
  <c r="H90" i="2"/>
  <c r="I56" i="2"/>
  <c r="I54" i="2" l="1"/>
  <c r="J54" i="2"/>
  <c r="J111" i="2" l="1"/>
  <c r="J107" i="2"/>
  <c r="J108" i="2"/>
  <c r="J110" i="2"/>
  <c r="J114" i="2"/>
  <c r="J115" i="2"/>
  <c r="J109" i="2"/>
  <c r="J113" i="2"/>
  <c r="J112" i="2"/>
  <c r="C10" i="3" l="1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2" i="3"/>
  <c r="D2" i="3" s="1"/>
  <c r="N1" i="1" l="1"/>
  <c r="B29" i="1"/>
  <c r="Q3" i="1"/>
  <c r="E31" i="1" s="1"/>
  <c r="Q2" i="1"/>
  <c r="E30" i="1" s="1"/>
  <c r="Q1" i="1"/>
  <c r="E29" i="1" s="1"/>
  <c r="N3" i="1"/>
  <c r="N2" i="1"/>
  <c r="B30" i="1" s="1"/>
  <c r="B4" i="1"/>
  <c r="B17" i="1"/>
  <c r="B18" i="1" s="1"/>
  <c r="B20" i="1" s="1"/>
  <c r="B31" i="1"/>
  <c r="B22" i="1"/>
  <c r="K3" i="1"/>
  <c r="B42" i="1" s="1"/>
  <c r="B10" i="1"/>
  <c r="B1" i="1"/>
  <c r="B2" i="1" s="1"/>
  <c r="F10" i="3" l="1"/>
  <c r="F9" i="3"/>
  <c r="B45" i="1"/>
  <c r="E45" i="1" s="1"/>
  <c r="B12" i="1"/>
  <c r="B13" i="1" s="1"/>
  <c r="B15" i="1" s="1"/>
  <c r="B39" i="1" s="1"/>
  <c r="B40" i="1" s="1"/>
  <c r="B24" i="1"/>
  <c r="B25" i="1" s="1"/>
  <c r="B27" i="1" s="1"/>
  <c r="B5" i="1"/>
  <c r="B7" i="1" s="1"/>
  <c r="B8" i="1" s="1"/>
  <c r="B32" i="1"/>
  <c r="E32" i="1"/>
  <c r="B37" i="1" s="1"/>
  <c r="B36" i="1" l="1"/>
  <c r="B34" i="1"/>
  <c r="B46" i="1"/>
  <c r="F3" i="3" l="1"/>
  <c r="F4" i="3"/>
  <c r="F2" i="3"/>
  <c r="F7" i="3"/>
  <c r="F8" i="3"/>
  <c r="F5" i="3"/>
  <c r="B6" i="3"/>
  <c r="F6" i="3" s="1"/>
  <c r="B43" i="1"/>
  <c r="E46" i="1"/>
  <c r="F11" i="3" l="1"/>
  <c r="B15" i="3" s="1"/>
</calcChain>
</file>

<file path=xl/sharedStrings.xml><?xml version="1.0" encoding="utf-8"?>
<sst xmlns="http://schemas.openxmlformats.org/spreadsheetml/2006/main" count="363" uniqueCount="260">
  <si>
    <t>V(ов) л</t>
  </si>
  <si>
    <t>V(ов) м3</t>
  </si>
  <si>
    <t>V(чо)</t>
  </si>
  <si>
    <t>V(чо н рег)</t>
  </si>
  <si>
    <t>Н(рег)</t>
  </si>
  <si>
    <t>Р(о) кг/м3</t>
  </si>
  <si>
    <t>М(чо н рег) т</t>
  </si>
  <si>
    <t>М(чо н рег) кг</t>
  </si>
  <si>
    <t>К(ов)</t>
  </si>
  <si>
    <t>V(ож 1ч)</t>
  </si>
  <si>
    <t>V(ож н рег)</t>
  </si>
  <si>
    <t>К(кв)</t>
  </si>
  <si>
    <t>К(выд о)</t>
  </si>
  <si>
    <t>V(со2 в)</t>
  </si>
  <si>
    <t>К(укв)</t>
  </si>
  <si>
    <t>V(со2 н рег)</t>
  </si>
  <si>
    <t>P(co2) кг/м3</t>
  </si>
  <si>
    <t>K(ов co2)</t>
  </si>
  <si>
    <t>К(выд co2)</t>
  </si>
  <si>
    <t>V(co2ж1ч)</t>
  </si>
  <si>
    <t>V(co2ж н рег)</t>
  </si>
  <si>
    <t>S(др ф)</t>
  </si>
  <si>
    <t>M(выд о др ф)</t>
  </si>
  <si>
    <t>M(выд о топ)</t>
  </si>
  <si>
    <t>M(выд о газ)</t>
  </si>
  <si>
    <t>M(выд о)</t>
  </si>
  <si>
    <t>M(погл co2 др ф)</t>
  </si>
  <si>
    <t>M(погл co2 топ)</t>
  </si>
  <si>
    <t>M(погл co2 газ)</t>
  </si>
  <si>
    <t>O(o)</t>
  </si>
  <si>
    <t>Б(о2)</t>
  </si>
  <si>
    <t>Б(co2)</t>
  </si>
  <si>
    <t>M(нехв о)</t>
  </si>
  <si>
    <t>S(топ)</t>
  </si>
  <si>
    <t>S(об дер)</t>
  </si>
  <si>
    <t>N(дер)</t>
  </si>
  <si>
    <t>S(куст)</t>
  </si>
  <si>
    <t>S(газ)</t>
  </si>
  <si>
    <t>S(зел нас треб доп)</t>
  </si>
  <si>
    <t>S(д1)</t>
  </si>
  <si>
    <t>К(д)</t>
  </si>
  <si>
    <t>S(зел нас факт)</t>
  </si>
  <si>
    <t>S(зел нас треб)</t>
  </si>
  <si>
    <t>S(зел нас факт/чел)</t>
  </si>
  <si>
    <t>S(зел нас треб/чел)</t>
  </si>
  <si>
    <t>М(ож н рег), т</t>
  </si>
  <si>
    <t>Минимальное количество кислорода</t>
  </si>
  <si>
    <t>M(co2ж н рег), т</t>
  </si>
  <si>
    <t>M(со2 н рег), т</t>
  </si>
  <si>
    <t>Это количество углекислого газа, создаваемого в процессе жизнедеятельности людей - физиологический вклад населения. Этот результат зафиксировать в выводе.</t>
  </si>
  <si>
    <t>Этот результат зафиксировать в выводе, как физиологически комфортную концентрацию СО2.</t>
  </si>
  <si>
    <t>m(прод о др ф), т/м2</t>
  </si>
  <si>
    <t>m(прод о топ), т/м2</t>
  </si>
  <si>
    <t>m(прод о газ), т/м2</t>
  </si>
  <si>
    <t>m(погл co2 др ф), т/м2</t>
  </si>
  <si>
    <t>m(погл co2 топ), т/м2</t>
  </si>
  <si>
    <t>m(погл co2 газ), т/м2</t>
  </si>
  <si>
    <t>оптимальное количество для стабильной работы организма</t>
  </si>
  <si>
    <t>M(погл со2)</t>
  </si>
  <si>
    <t>Вывод</t>
  </si>
  <si>
    <t>Баланс кислорода слишком мал. Необходимо большее количество зелёных насаждений для выработки кислорода и поглощения углекислого газа</t>
  </si>
  <si>
    <r>
      <t>Q</t>
    </r>
    <r>
      <rPr>
        <vertAlign val="subscript"/>
        <sz val="14"/>
        <color theme="1"/>
        <rFont val="Times New Roman"/>
        <family val="1"/>
        <charset val="204"/>
      </rPr>
      <t xml:space="preserve">Окг топл </t>
    </r>
  </si>
  <si>
    <t>Исходные данные</t>
  </si>
  <si>
    <t xml:space="preserve">Население составляет Н </t>
  </si>
  <si>
    <r>
      <t>N</t>
    </r>
    <r>
      <rPr>
        <vertAlign val="subscript"/>
        <sz val="14"/>
        <color theme="1"/>
        <rFont val="Calibri"/>
        <family val="2"/>
        <charset val="204"/>
        <scheme val="minor"/>
      </rPr>
      <t>ОМ</t>
    </r>
  </si>
  <si>
    <r>
      <t>L</t>
    </r>
    <r>
      <rPr>
        <vertAlign val="subscript"/>
        <sz val="14"/>
        <color theme="1"/>
        <rFont val="Calibri"/>
        <family val="2"/>
        <charset val="204"/>
        <scheme val="minor"/>
      </rPr>
      <t>ср</t>
    </r>
  </si>
  <si>
    <t>легковые</t>
  </si>
  <si>
    <t>км/год</t>
  </si>
  <si>
    <t>чел</t>
  </si>
  <si>
    <r>
      <t>К</t>
    </r>
    <r>
      <rPr>
        <vertAlign val="subscript"/>
        <sz val="14"/>
        <color theme="1"/>
        <rFont val="Calibri"/>
        <family val="2"/>
        <charset val="204"/>
        <scheme val="minor"/>
      </rPr>
      <t>М 1 ч</t>
    </r>
    <r>
      <rPr>
        <sz val="14"/>
        <color theme="1"/>
        <rFont val="Calibri"/>
        <family val="2"/>
        <charset val="204"/>
        <scheme val="minor"/>
      </rPr>
      <t> </t>
    </r>
  </si>
  <si>
    <t>ед/чел</t>
  </si>
  <si>
    <r>
      <t>L</t>
    </r>
    <r>
      <rPr>
        <vertAlign val="subscript"/>
        <sz val="14"/>
        <color theme="1"/>
        <rFont val="Times New Roman"/>
        <family val="1"/>
        <charset val="204"/>
      </rPr>
      <t>общ</t>
    </r>
  </si>
  <si>
    <t>автотранспорта</t>
  </si>
  <si>
    <t>Общий путь, пройденный общим количеством автомашин, км (L)</t>
  </si>
  <si>
    <t>Легковой (Б)</t>
  </si>
  <si>
    <t>Грузовой (Б)</t>
  </si>
  <si>
    <t>Автобусы (Б)</t>
  </si>
  <si>
    <t>Легковой (ДТ)</t>
  </si>
  <si>
    <t>Автобусы (ДТ)</t>
  </si>
  <si>
    <t>Грузовой (ДТ)</t>
  </si>
  <si>
    <t>Число автомобилей на территории, ед (Nа)</t>
  </si>
  <si>
    <t>Тип автотранспорта</t>
  </si>
  <si>
    <t>Qб</t>
  </si>
  <si>
    <t>Норма расхода,</t>
  </si>
  <si>
    <t>л /100 км (Q)</t>
  </si>
  <si>
    <t>Удельный расход</t>
  </si>
  <si>
    <t>топлива, л /км (q)</t>
  </si>
  <si>
    <t>8 – 14</t>
  </si>
  <si>
    <t>26 – 28</t>
  </si>
  <si>
    <t>30 – 32</t>
  </si>
  <si>
    <t>22 ─ 24</t>
  </si>
  <si>
    <t>24 – 26</t>
  </si>
  <si>
    <t>Газель (ДТ)</t>
  </si>
  <si>
    <t>6 ─ 8</t>
  </si>
  <si>
    <t>л</t>
  </si>
  <si>
    <t>Q</t>
  </si>
  <si>
    <t>Бензин Qб</t>
  </si>
  <si>
    <t>Дизтопливо Qдт</t>
  </si>
  <si>
    <t>─</t>
  </si>
  <si>
    <t>Всего</t>
  </si>
  <si>
    <t>Мб</t>
  </si>
  <si>
    <t>м3</t>
  </si>
  <si>
    <t>P</t>
  </si>
  <si>
    <t>кг/л</t>
  </si>
  <si>
    <t>кг</t>
  </si>
  <si>
    <r>
      <t>М</t>
    </r>
    <r>
      <rPr>
        <vertAlign val="subscript"/>
        <sz val="14"/>
        <color theme="1"/>
        <rFont val="Calibri"/>
        <family val="2"/>
        <charset val="204"/>
        <scheme val="minor"/>
      </rPr>
      <t xml:space="preserve">общ </t>
    </r>
  </si>
  <si>
    <t>Ro</t>
  </si>
  <si>
    <t>т</t>
  </si>
  <si>
    <t>Вид топлива</t>
  </si>
  <si>
    <r>
      <t>Значение коэффициентов (Квв</t>
    </r>
    <r>
      <rPr>
        <vertAlign val="subscript"/>
        <sz val="12"/>
        <color theme="1"/>
        <rFont val="Times New Roman"/>
        <family val="1"/>
        <charset val="204"/>
      </rPr>
      <t>т</t>
    </r>
    <r>
      <rPr>
        <sz val="12"/>
        <color theme="1"/>
        <rFont val="Times New Roman"/>
        <family val="1"/>
        <charset val="204"/>
      </rPr>
      <t>), кг/т, (г/кг)</t>
    </r>
  </si>
  <si>
    <t>СО</t>
  </si>
  <si>
    <r>
      <t>SO</t>
    </r>
    <r>
      <rPr>
        <vertAlign val="subscript"/>
        <sz val="12"/>
        <color theme="1"/>
        <rFont val="Times New Roman"/>
        <family val="1"/>
        <charset val="204"/>
      </rPr>
      <t>2</t>
    </r>
  </si>
  <si>
    <r>
      <t>NO</t>
    </r>
    <r>
      <rPr>
        <vertAlign val="subscript"/>
        <sz val="12"/>
        <color theme="1"/>
        <rFont val="Times New Roman"/>
        <family val="1"/>
        <charset val="204"/>
      </rPr>
      <t>2</t>
    </r>
  </si>
  <si>
    <t>Pb</t>
  </si>
  <si>
    <r>
      <t>C</t>
    </r>
    <r>
      <rPr>
        <vertAlign val="subscript"/>
        <sz val="12"/>
        <color theme="1"/>
        <rFont val="Times New Roman"/>
        <family val="1"/>
        <charset val="204"/>
      </rPr>
      <t>n</t>
    </r>
    <r>
      <rPr>
        <sz val="12"/>
        <color theme="1"/>
        <rFont val="Times New Roman"/>
        <family val="1"/>
        <charset val="204"/>
      </rPr>
      <t>H</t>
    </r>
    <r>
      <rPr>
        <vertAlign val="subscript"/>
        <sz val="12"/>
        <color theme="1"/>
        <rFont val="Times New Roman"/>
        <family val="1"/>
        <charset val="204"/>
      </rPr>
      <t>n</t>
    </r>
  </si>
  <si>
    <t>сажа</t>
  </si>
  <si>
    <t>Бензин</t>
  </si>
  <si>
    <t>Дизтопливо</t>
  </si>
  <si>
    <t>—</t>
  </si>
  <si>
    <t>SO2</t>
  </si>
  <si>
    <t>NO2</t>
  </si>
  <si>
    <t>CnHn</t>
  </si>
  <si>
    <r>
      <t>Масса вредного вещества при сгорании топлива (m вв</t>
    </r>
    <r>
      <rPr>
        <vertAlign val="subscript"/>
        <sz val="12"/>
        <color theme="1"/>
        <rFont val="Times New Roman"/>
        <family val="1"/>
        <charset val="204"/>
      </rPr>
      <t>т</t>
    </r>
    <r>
      <rPr>
        <sz val="12"/>
        <color theme="1"/>
        <rFont val="Times New Roman"/>
        <family val="1"/>
        <charset val="204"/>
      </rPr>
      <t>), г</t>
    </r>
  </si>
  <si>
    <r>
      <t>Масса вредного вещества по пробеговому выбросу (m вв</t>
    </r>
    <r>
      <rPr>
        <vertAlign val="subscript"/>
        <sz val="12"/>
        <color theme="1"/>
        <rFont val="Times New Roman"/>
        <family val="1"/>
        <charset val="204"/>
      </rPr>
      <t>п</t>
    </r>
    <r>
      <rPr>
        <sz val="12"/>
        <color theme="1"/>
        <rFont val="Times New Roman"/>
        <family val="1"/>
        <charset val="204"/>
      </rPr>
      <t>), г</t>
    </r>
  </si>
  <si>
    <t>Общая масса вредного вещества (m вв),</t>
  </si>
  <si>
    <t>Б</t>
  </si>
  <si>
    <t>ДТ</t>
  </si>
  <si>
    <t>Pd</t>
  </si>
  <si>
    <r>
      <t>SO</t>
    </r>
    <r>
      <rPr>
        <vertAlign val="subscript"/>
        <sz val="12"/>
        <color theme="1"/>
        <rFont val="Times New Roman"/>
        <family val="1"/>
        <charset val="204"/>
      </rPr>
      <t>3</t>
    </r>
  </si>
  <si>
    <t>Сажа</t>
  </si>
  <si>
    <t>NO</t>
  </si>
  <si>
    <r>
      <t>С</t>
    </r>
    <r>
      <rPr>
        <vertAlign val="subscript"/>
        <sz val="12"/>
        <color theme="1"/>
        <rFont val="Times New Roman"/>
        <family val="1"/>
        <charset val="204"/>
      </rPr>
      <t>20</t>
    </r>
    <r>
      <rPr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>12</t>
    </r>
  </si>
  <si>
    <t>SO3</t>
  </si>
  <si>
    <t>Вид</t>
  </si>
  <si>
    <t>Удельные пробеговые выбросы, мг/м (г/км)</t>
  </si>
  <si>
    <t>CO</t>
  </si>
  <si>
    <r>
      <t>C</t>
    </r>
    <r>
      <rPr>
        <vertAlign val="subscript"/>
        <sz val="11"/>
        <color theme="1"/>
        <rFont val="Times New Roman"/>
        <family val="1"/>
        <charset val="204"/>
      </rPr>
      <t>n</t>
    </r>
    <r>
      <rPr>
        <sz val="11"/>
        <color theme="1"/>
        <rFont val="Times New Roman"/>
        <family val="1"/>
        <charset val="204"/>
      </rPr>
      <t>H</t>
    </r>
    <r>
      <rPr>
        <vertAlign val="subscript"/>
        <sz val="11"/>
        <color theme="1"/>
        <rFont val="Times New Roman"/>
        <family val="1"/>
        <charset val="204"/>
      </rPr>
      <t>n</t>
    </r>
  </si>
  <si>
    <r>
      <t>NO</t>
    </r>
    <r>
      <rPr>
        <vertAlign val="subscript"/>
        <sz val="11"/>
        <color theme="1"/>
        <rFont val="Times New Roman"/>
        <family val="1"/>
        <charset val="204"/>
      </rPr>
      <t>2</t>
    </r>
  </si>
  <si>
    <t>C</t>
  </si>
  <si>
    <r>
      <t>SO</t>
    </r>
    <r>
      <rPr>
        <vertAlign val="subscript"/>
        <sz val="11"/>
        <color theme="1"/>
        <rFont val="Times New Roman"/>
        <family val="1"/>
        <charset val="204"/>
      </rPr>
      <t>2</t>
    </r>
  </si>
  <si>
    <r>
      <t>SO</t>
    </r>
    <r>
      <rPr>
        <vertAlign val="subscript"/>
        <sz val="11"/>
        <color theme="1"/>
        <rFont val="Times New Roman"/>
        <family val="1"/>
        <charset val="204"/>
      </rPr>
      <t>3</t>
    </r>
  </si>
  <si>
    <r>
      <t>С</t>
    </r>
    <r>
      <rPr>
        <vertAlign val="subscript"/>
        <sz val="11"/>
        <color theme="1"/>
        <rFont val="Times New Roman"/>
        <family val="1"/>
        <charset val="204"/>
      </rPr>
      <t>20</t>
    </r>
    <r>
      <rPr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12</t>
    </r>
  </si>
  <si>
    <t>-</t>
  </si>
  <si>
    <t>Автобусы,</t>
  </si>
  <si>
    <t>Грузовые (Б)</t>
  </si>
  <si>
    <r>
      <t>0,73х10</t>
    </r>
    <r>
      <rPr>
        <vertAlign val="superscript"/>
        <sz val="11"/>
        <color theme="1"/>
        <rFont val="Times New Roman"/>
        <family val="1"/>
        <charset val="204"/>
      </rPr>
      <t>-6</t>
    </r>
  </si>
  <si>
    <t>Легковой, «Газели» (ДТ)</t>
  </si>
  <si>
    <r>
      <t>0,6х10</t>
    </r>
    <r>
      <rPr>
        <vertAlign val="superscript"/>
        <sz val="11"/>
        <color theme="1"/>
        <rFont val="Times New Roman"/>
        <family val="1"/>
        <charset val="204"/>
      </rPr>
      <t>-6</t>
    </r>
  </si>
  <si>
    <t>Автобусы, Грузовые (ДТ)</t>
  </si>
  <si>
    <r>
      <t>0,2х10</t>
    </r>
    <r>
      <rPr>
        <vertAlign val="superscript"/>
        <sz val="11"/>
        <color theme="1"/>
        <rFont val="Times New Roman"/>
        <family val="1"/>
        <charset val="204"/>
      </rPr>
      <t>-6</t>
    </r>
  </si>
  <si>
    <t>Проехало автомобилей в течение 20 мин, ед</t>
  </si>
  <si>
    <t>Проехало автомобилей в течение 1 ч, ед</t>
  </si>
  <si>
    <t>Общий путь, пройденный общим количеством автомашин за 1 ч, км (L)</t>
  </si>
  <si>
    <t>Вредное вещество</t>
  </si>
  <si>
    <t>Годовая</t>
  </si>
  <si>
    <t>Суточная</t>
  </si>
  <si>
    <t xml:space="preserve">NO </t>
  </si>
  <si>
    <t>C20H12</t>
  </si>
  <si>
    <t>Na</t>
  </si>
  <si>
    <t>Lуч</t>
  </si>
  <si>
    <t>км</t>
  </si>
  <si>
    <r>
      <t>m</t>
    </r>
    <r>
      <rPr>
        <sz val="14"/>
        <color theme="1"/>
        <rFont val="Calibri"/>
        <family val="2"/>
        <charset val="204"/>
        <scheme val="minor"/>
      </rPr>
      <t xml:space="preserve"> вв</t>
    </r>
    <r>
      <rPr>
        <vertAlign val="subscript"/>
        <sz val="14"/>
        <color theme="1"/>
        <rFont val="Calibri"/>
        <family val="2"/>
        <charset val="204"/>
        <scheme val="minor"/>
      </rPr>
      <t>п/час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</si>
  <si>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>V</t>
    </r>
    <r>
      <rPr>
        <vertAlign val="subscript"/>
        <sz val="14"/>
        <color theme="1"/>
        <rFont val="Calibri"/>
        <family val="2"/>
        <charset val="204"/>
        <scheme val="minor"/>
      </rPr>
      <t>у</t>
    </r>
    <r>
      <rPr>
        <sz val="14"/>
        <color theme="1"/>
        <rFont val="Calibri"/>
        <family val="2"/>
        <charset val="204"/>
        <scheme val="minor"/>
      </rPr>
      <t> </t>
    </r>
  </si>
  <si>
    <t>Ш</t>
  </si>
  <si>
    <t>Н</t>
  </si>
  <si>
    <t>м</t>
  </si>
  <si>
    <t>км3</t>
  </si>
  <si>
    <r>
      <t>ПДК</t>
    </r>
    <r>
      <rPr>
        <vertAlign val="subscript"/>
        <sz val="12"/>
        <color theme="1"/>
        <rFont val="Times New Roman"/>
        <family val="1"/>
        <charset val="204"/>
      </rPr>
      <t>МР</t>
    </r>
  </si>
  <si>
    <r>
      <t>ПДК</t>
    </r>
    <r>
      <rPr>
        <vertAlign val="subscript"/>
        <sz val="12"/>
        <color theme="1"/>
        <rFont val="Times New Roman"/>
        <family val="1"/>
        <charset val="204"/>
      </rPr>
      <t>СС</t>
    </r>
  </si>
  <si>
    <r>
      <t>Двуокись азота (NO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)</t>
    </r>
  </si>
  <si>
    <t>Свинец и его соединения (Рb)</t>
  </si>
  <si>
    <t>Оксид углерода</t>
  </si>
  <si>
    <t>(СО)</t>
  </si>
  <si>
    <t>Углеводороды</t>
  </si>
  <si>
    <r>
      <t>(С</t>
    </r>
    <r>
      <rPr>
        <vertAlign val="subscript"/>
        <sz val="12"/>
        <color theme="1"/>
        <rFont val="Times New Roman"/>
        <family val="1"/>
        <charset val="204"/>
      </rPr>
      <t>n</t>
    </r>
    <r>
      <rPr>
        <sz val="12"/>
        <color theme="1"/>
        <rFont val="Times New Roman"/>
        <family val="1"/>
        <charset val="204"/>
      </rPr>
      <t>H</t>
    </r>
    <r>
      <rPr>
        <vertAlign val="subscript"/>
        <sz val="12"/>
        <color theme="1"/>
        <rFont val="Times New Roman"/>
        <family val="1"/>
        <charset val="204"/>
      </rPr>
      <t>n</t>
    </r>
    <r>
      <rPr>
        <sz val="12"/>
        <color theme="1"/>
        <rFont val="Times New Roman"/>
        <family val="1"/>
        <charset val="204"/>
      </rPr>
      <t>)</t>
    </r>
  </si>
  <si>
    <t>Пыль</t>
  </si>
  <si>
    <t>Двуокись серы</t>
  </si>
  <si>
    <r>
      <t>(SO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)</t>
    </r>
  </si>
  <si>
    <t>Без(а)пирен</t>
  </si>
  <si>
    <r>
      <t>(C</t>
    </r>
    <r>
      <rPr>
        <vertAlign val="subscript"/>
        <sz val="12"/>
        <color theme="1"/>
        <rFont val="Times New Roman"/>
        <family val="1"/>
        <charset val="204"/>
      </rPr>
      <t>20</t>
    </r>
    <r>
      <rPr>
        <sz val="12"/>
        <color theme="1"/>
        <rFont val="Times New Roman"/>
        <family val="1"/>
        <charset val="204"/>
      </rPr>
      <t>H</t>
    </r>
    <r>
      <rPr>
        <vertAlign val="subscript"/>
        <sz val="12"/>
        <color theme="1"/>
        <rFont val="Times New Roman"/>
        <family val="1"/>
        <charset val="204"/>
      </rPr>
      <t>12</t>
    </r>
    <r>
      <rPr>
        <sz val="12"/>
        <color theme="1"/>
        <rFont val="Times New Roman"/>
        <family val="1"/>
        <charset val="204"/>
      </rPr>
      <t>)</t>
    </r>
  </si>
  <si>
    <r>
      <t>Сернистый ангидрид (SO</t>
    </r>
    <r>
      <rPr>
        <vertAlign val="sub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)</t>
    </r>
  </si>
  <si>
    <r>
      <t>Окись азота (N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O)</t>
    </r>
  </si>
  <si>
    <t>K</t>
  </si>
  <si>
    <r>
      <t>Концентрация вредных веществ на учетной территории, мг/м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, (Свв)</t>
    </r>
    <r>
      <rPr>
        <vertAlign val="superscript"/>
        <sz val="11"/>
        <color theme="1"/>
        <rFont val="Calibri"/>
        <family val="2"/>
        <charset val="204"/>
        <scheme val="minor"/>
      </rPr>
      <t> </t>
    </r>
  </si>
  <si>
    <r>
      <t>Объем воздуха, необходимый для разбавления, 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, (Vвр)</t>
    </r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</si>
  <si>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charset val="204"/>
        <scheme val="minor"/>
      </rPr>
      <t>n</t>
    </r>
  </si>
  <si>
    <r>
      <t>C</t>
    </r>
    <r>
      <rPr>
        <vertAlign val="subscript"/>
        <sz val="12"/>
        <color theme="1"/>
        <rFont val="Times New Roman"/>
        <family val="1"/>
        <charset val="204"/>
      </rPr>
      <t>20</t>
    </r>
    <r>
      <rPr>
        <sz val="12"/>
        <color theme="1"/>
        <rFont val="Times New Roman"/>
        <family val="1"/>
        <charset val="204"/>
      </rPr>
      <t>H</t>
    </r>
    <r>
      <rPr>
        <vertAlign val="subscript"/>
        <sz val="12"/>
        <color theme="1"/>
        <rFont val="Times New Roman"/>
        <family val="1"/>
        <charset val="204"/>
      </rPr>
      <t>12</t>
    </r>
  </si>
  <si>
    <r>
      <t>П</t>
    </r>
    <r>
      <rPr>
        <vertAlign val="subscript"/>
        <sz val="14"/>
        <color theme="1"/>
        <rFont val="Calibri"/>
        <family val="2"/>
        <charset val="204"/>
        <scheme val="minor"/>
      </rPr>
      <t>ПР О 1ГА ЛМ</t>
    </r>
  </si>
  <si>
    <t>Т/га</t>
  </si>
  <si>
    <r>
      <t>S</t>
    </r>
    <r>
      <rPr>
        <vertAlign val="subscript"/>
        <sz val="14"/>
        <color theme="1"/>
        <rFont val="Calibri"/>
        <family val="2"/>
        <charset val="204"/>
        <scheme val="minor"/>
      </rPr>
      <t>НЛМА</t>
    </r>
  </si>
  <si>
    <r>
      <t>S</t>
    </r>
    <r>
      <rPr>
        <vertAlign val="subscript"/>
        <sz val="14"/>
        <color theme="1"/>
        <rFont val="Calibri"/>
        <family val="2"/>
        <charset val="204"/>
        <scheme val="minor"/>
      </rPr>
      <t>ОБЩ</t>
    </r>
  </si>
  <si>
    <r>
      <t>S</t>
    </r>
    <r>
      <rPr>
        <vertAlign val="subscript"/>
        <sz val="14"/>
        <color theme="1"/>
        <rFont val="Calibri"/>
        <family val="2"/>
        <charset val="204"/>
        <scheme val="minor"/>
      </rPr>
      <t xml:space="preserve"> зел нас треб </t>
    </r>
  </si>
  <si>
    <t>га</t>
  </si>
  <si>
    <r>
      <t>S</t>
    </r>
    <r>
      <rPr>
        <vertAlign val="subscript"/>
        <sz val="14"/>
        <color theme="1"/>
        <rFont val="Times New Roman"/>
        <family val="1"/>
        <charset val="204"/>
      </rPr>
      <t>с уч к.д</t>
    </r>
  </si>
  <si>
    <t>Мсо</t>
  </si>
  <si>
    <t>Mc</t>
  </si>
  <si>
    <t>Mo</t>
  </si>
  <si>
    <r>
      <t>Мсо</t>
    </r>
    <r>
      <rPr>
        <vertAlign val="subscript"/>
        <sz val="14"/>
        <color theme="1"/>
        <rFont val="Times New Roman"/>
        <family val="1"/>
        <charset val="204"/>
      </rPr>
      <t>2</t>
    </r>
  </si>
  <si>
    <t>Кув</t>
  </si>
  <si>
    <t>m COx</t>
  </si>
  <si>
    <t>m CO</t>
  </si>
  <si>
    <r>
      <t>S</t>
    </r>
    <r>
      <rPr>
        <vertAlign val="subscript"/>
        <sz val="14"/>
        <color theme="1"/>
        <rFont val="Times New Roman"/>
        <family val="1"/>
        <charset val="204"/>
      </rPr>
      <t>ОБЩ ЛМ погл СО</t>
    </r>
    <r>
      <rPr>
        <sz val="14"/>
        <color theme="1"/>
        <rFont val="Times New Roman"/>
        <family val="1"/>
        <charset val="204"/>
      </rPr>
      <t xml:space="preserve"> </t>
    </r>
  </si>
  <si>
    <r>
      <t xml:space="preserve">S </t>
    </r>
    <r>
      <rPr>
        <vertAlign val="subscript"/>
        <sz val="14"/>
        <color theme="1"/>
        <rFont val="Times New Roman"/>
        <family val="1"/>
        <charset val="204"/>
      </rPr>
      <t>погл СО с уч к.д.</t>
    </r>
  </si>
  <si>
    <t xml:space="preserve">N а сум </t>
  </si>
  <si>
    <t>авт/ч</t>
  </si>
  <si>
    <t>Ка</t>
  </si>
  <si>
    <t>Ку</t>
  </si>
  <si>
    <t>Кв</t>
  </si>
  <si>
    <t>Кп</t>
  </si>
  <si>
    <t>Тип автомобиля</t>
  </si>
  <si>
    <t>Вещество</t>
  </si>
  <si>
    <t>ПДКсс</t>
  </si>
  <si>
    <t>А = 1 / ПДК</t>
  </si>
  <si>
    <t>f</t>
  </si>
  <si>
    <t>fM</t>
  </si>
  <si>
    <r>
      <t>m</t>
    </r>
    <r>
      <rPr>
        <b/>
        <sz val="11"/>
        <color theme="1"/>
        <rFont val="Calibri"/>
        <family val="2"/>
        <charset val="204"/>
        <scheme val="minor"/>
      </rPr>
      <t xml:space="preserve"> (т)</t>
    </r>
  </si>
  <si>
    <r>
      <t>mf</t>
    </r>
    <r>
      <rPr>
        <b/>
        <sz val="11"/>
        <color theme="1"/>
        <rFont val="Calibri"/>
        <family val="2"/>
        <charset val="204"/>
        <scheme val="minor"/>
      </rPr>
      <t>A</t>
    </r>
  </si>
  <si>
    <r>
      <t>SO</t>
    </r>
    <r>
      <rPr>
        <vertAlign val="subscript"/>
        <sz val="12"/>
        <color theme="1"/>
        <rFont val="Calibri"/>
        <family val="2"/>
        <charset val="204"/>
        <scheme val="minor"/>
      </rPr>
      <t>2</t>
    </r>
  </si>
  <si>
    <r>
      <t>NO</t>
    </r>
    <r>
      <rPr>
        <vertAlign val="subscript"/>
        <sz val="12"/>
        <color theme="1"/>
        <rFont val="Calibri"/>
        <family val="2"/>
        <charset val="204"/>
        <scheme val="minor"/>
      </rPr>
      <t>2</t>
    </r>
  </si>
  <si>
    <r>
      <t>SO</t>
    </r>
    <r>
      <rPr>
        <vertAlign val="subscript"/>
        <sz val="12"/>
        <color theme="1"/>
        <rFont val="Calibri"/>
        <family val="2"/>
        <charset val="204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</si>
  <si>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charset val="204"/>
        <scheme val="minor"/>
      </rPr>
      <t>n</t>
    </r>
    <r>
      <rPr>
        <sz val="12"/>
        <color theme="1"/>
        <rFont val="Calibri"/>
        <family val="2"/>
        <charset val="204"/>
        <scheme val="minor"/>
      </rPr>
      <t>H</t>
    </r>
    <r>
      <rPr>
        <vertAlign val="subscript"/>
        <sz val="12"/>
        <color theme="1"/>
        <rFont val="Calibri"/>
        <family val="2"/>
        <charset val="204"/>
        <scheme val="minor"/>
      </rPr>
      <t>n</t>
    </r>
  </si>
  <si>
    <r>
      <t>С</t>
    </r>
    <r>
      <rPr>
        <vertAlign val="subscript"/>
        <sz val="12"/>
        <color theme="1"/>
        <rFont val="Calibri"/>
        <family val="2"/>
        <charset val="204"/>
        <scheme val="minor"/>
      </rPr>
      <t>20</t>
    </r>
    <r>
      <rPr>
        <sz val="12"/>
        <color theme="1"/>
        <rFont val="Calibri"/>
        <family val="2"/>
        <charset val="204"/>
        <scheme val="minor"/>
      </rPr>
      <t>Н</t>
    </r>
    <r>
      <rPr>
        <vertAlign val="subscript"/>
        <sz val="12"/>
        <color theme="1"/>
        <rFont val="Calibri"/>
        <family val="2"/>
        <charset val="204"/>
        <scheme val="minor"/>
      </rPr>
      <t>12</t>
    </r>
  </si>
  <si>
    <r>
      <t>У</t>
    </r>
    <r>
      <rPr>
        <vertAlign val="subscript"/>
        <sz val="14"/>
        <color theme="1"/>
        <rFont val="Times New Roman"/>
        <family val="1"/>
        <charset val="204"/>
      </rPr>
      <t>атм</t>
    </r>
  </si>
  <si>
    <t>руб/год</t>
  </si>
  <si>
    <t>γ</t>
  </si>
  <si>
    <t>руб/усл.т.</t>
  </si>
  <si>
    <t>σ</t>
  </si>
  <si>
    <t>Вредное</t>
  </si>
  <si>
    <t>Концентрация вредных</t>
  </si>
  <si>
    <t>Объем воздуха,</t>
  </si>
  <si>
    <t>вещество</t>
  </si>
  <si>
    <r>
      <t>веществ на учетной территории, мг/м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, (С</t>
    </r>
    <r>
      <rPr>
        <vertAlign val="subscript"/>
        <sz val="12"/>
        <color theme="1"/>
        <rFont val="Times New Roman"/>
        <family val="1"/>
        <charset val="204"/>
      </rPr>
      <t>ВВ</t>
    </r>
    <r>
      <rPr>
        <sz val="14"/>
        <color theme="1"/>
        <rFont val="Times New Roman"/>
        <family val="1"/>
        <charset val="204"/>
      </rPr>
      <t>)</t>
    </r>
  </si>
  <si>
    <r>
      <t>необходимый для разбавления, 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 xml:space="preserve"> (Vв</t>
    </r>
    <r>
      <rPr>
        <vertAlign val="subscript"/>
        <sz val="12"/>
        <color theme="1"/>
        <rFont val="Times New Roman"/>
        <family val="1"/>
        <charset val="204"/>
      </rPr>
      <t>р</t>
    </r>
    <r>
      <rPr>
        <sz val="12"/>
        <color theme="1"/>
        <rFont val="Times New Roman"/>
        <family val="1"/>
        <charset val="204"/>
      </rPr>
      <t>)</t>
    </r>
  </si>
  <si>
    <t>Класс</t>
  </si>
  <si>
    <t>Предельно допустимые</t>
  </si>
  <si>
    <t>опасности</t>
  </si>
  <si>
    <r>
      <t>концентрации, мг/м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 (ПДК)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</si>
  <si>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</si>
  <si>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Кт</t>
  </si>
  <si>
    <r>
      <t>Кду</t>
    </r>
    <r>
      <rPr>
        <b/>
        <i/>
        <vertAlign val="subscript"/>
        <sz val="14"/>
        <color theme="1"/>
        <rFont val="Times New Roman"/>
        <family val="1"/>
        <charset val="204"/>
      </rPr>
      <t>со</t>
    </r>
  </si>
  <si>
    <r>
      <t>мг/м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</si>
  <si>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r>
      <t>К</t>
    </r>
    <r>
      <rPr>
        <vertAlign val="subscript"/>
        <sz val="11"/>
        <color theme="1"/>
        <rFont val="Times New Roman"/>
        <family val="1"/>
        <charset val="204"/>
      </rPr>
      <t>тi</t>
    </r>
  </si>
  <si>
    <r>
      <t>Доля транспорта в потоке (</t>
    </r>
    <r>
      <rPr>
        <b/>
        <i/>
        <sz val="11"/>
        <color theme="1"/>
        <rFont val="Times New Roman"/>
        <family val="1"/>
        <charset val="204"/>
      </rPr>
      <t>n</t>
    </r>
    <r>
      <rPr>
        <b/>
        <i/>
        <vertAlign val="subscript"/>
        <sz val="11"/>
        <color theme="1"/>
        <rFont val="Times New Roman"/>
        <family val="1"/>
        <charset val="204"/>
      </rPr>
      <t>i</t>
    </r>
    <r>
      <rPr>
        <sz val="11"/>
        <color theme="1"/>
        <rFont val="Times New Roman"/>
        <family val="1"/>
        <charset val="204"/>
      </rPr>
      <t>)</t>
    </r>
  </si>
  <si>
    <r>
      <t>n</t>
    </r>
    <r>
      <rPr>
        <vertAlign val="subscript"/>
        <sz val="11"/>
        <color theme="1"/>
        <rFont val="Times New Roman"/>
        <family val="1"/>
        <charset val="204"/>
      </rPr>
      <t>i</t>
    </r>
    <r>
      <rPr>
        <sz val="11"/>
        <color theme="1"/>
        <rFont val="Times New Roman"/>
        <family val="1"/>
        <charset val="204"/>
      </rPr>
      <t>∙К</t>
    </r>
    <r>
      <rPr>
        <vertAlign val="subscript"/>
        <sz val="11"/>
        <color theme="1"/>
        <rFont val="Times New Roman"/>
        <family val="1"/>
        <charset val="204"/>
      </rPr>
      <t>тi</t>
    </r>
  </si>
  <si>
    <t>Лёгкий грузовой</t>
  </si>
  <si>
    <t>Тяжёлый грузовой</t>
  </si>
  <si>
    <t>Легковой</t>
  </si>
  <si>
    <t>Автобус</t>
  </si>
  <si>
    <t>Пробеговое выделение вредных компонентов,  (Квв п)</t>
  </si>
  <si>
    <r>
      <t>Расчетные концентрации с учетом дополнительных условий, мг/м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, (Кду вв)</t>
    </r>
  </si>
  <si>
    <r>
      <t>ПДК</t>
    </r>
    <r>
      <rPr>
        <vertAlign val="subscript"/>
        <sz val="12"/>
        <color theme="1"/>
        <rFont val="Times New Roman"/>
        <family val="1"/>
        <charset val="204"/>
      </rPr>
      <t xml:space="preserve">СС,  </t>
    </r>
    <r>
      <rPr>
        <sz val="12"/>
        <color theme="1"/>
        <rFont val="Times New Roman"/>
        <family val="1"/>
        <charset val="204"/>
      </rPr>
      <t>мг/м</t>
    </r>
    <r>
      <rPr>
        <vertAlign val="superscript"/>
        <sz val="12"/>
        <color theme="1"/>
        <rFont val="Times New Roman"/>
        <family val="1"/>
        <charset val="204"/>
      </rPr>
      <t>3</t>
    </r>
  </si>
  <si>
    <r>
      <t>веществ на учетной территории, мг/м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, (С</t>
    </r>
    <r>
      <rPr>
        <vertAlign val="subscript"/>
        <sz val="12"/>
        <color theme="1"/>
        <rFont val="Times New Roman"/>
        <family val="1"/>
        <charset val="204"/>
      </rPr>
      <t>ВВ</t>
    </r>
    <r>
      <rPr>
        <sz val="12"/>
        <color theme="1"/>
        <rFont val="Times New Roman"/>
        <family val="1"/>
        <charset val="204"/>
      </rPr>
      <t>)</t>
    </r>
  </si>
  <si>
    <t>Сажа (С)</t>
  </si>
  <si>
    <t>Минимальное количество кислорода на 1 человека</t>
  </si>
  <si>
    <t>на 1 машину, т</t>
  </si>
  <si>
    <t>на 1 человека, т</t>
  </si>
  <si>
    <t>ОЧЕНЬ НИЗКАЯ ИНТЕНСИВНОСТЬ ДВИЖЕНИЯ</t>
  </si>
  <si>
    <t>Территория экологична</t>
  </si>
  <si>
    <t>Ущерб от загрязнения атмосферы</t>
  </si>
  <si>
    <t>Коэффициенты минимальны. Территория экологична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</si>
</sst>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vertAlign val="subscript"/>
      <sz val="14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vertAlign val="superscript"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vertAlign val="subscript"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vertAlign val="superscript"/>
      <sz val="12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vertAlign val="subscript"/>
      <sz val="11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vertAlign val="subscript"/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2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10" fontId="0" fillId="0" borderId="1" xfId="1" applyNumberFormat="1" applyFont="1" applyBorder="1"/>
    <xf numFmtId="0" fontId="5" fillId="0" borderId="0" xfId="0" applyFont="1"/>
    <xf numFmtId="0" fontId="6" fillId="0" borderId="0" xfId="0" applyFont="1" applyAlignment="1">
      <alignment vertical="center"/>
    </xf>
    <xf numFmtId="0" fontId="0" fillId="2" borderId="1" xfId="0" applyFill="1" applyBorder="1"/>
    <xf numFmtId="0" fontId="6" fillId="0" borderId="0" xfId="0" applyFont="1"/>
    <xf numFmtId="0" fontId="7" fillId="0" borderId="0" xfId="0" applyFont="1"/>
    <xf numFmtId="0" fontId="9" fillId="0" borderId="0" xfId="0" applyFont="1"/>
    <xf numFmtId="0" fontId="5" fillId="0" borderId="3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0" xfId="0" applyFont="1"/>
    <xf numFmtId="0" fontId="1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3" fillId="0" borderId="9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24" fillId="0" borderId="4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21" fillId="0" borderId="0" xfId="0" applyFont="1"/>
    <xf numFmtId="0" fontId="0" fillId="0" borderId="0" xfId="0"/>
    <xf numFmtId="0" fontId="0" fillId="0" borderId="1" xfId="0" applyBorder="1"/>
    <xf numFmtId="0" fontId="9" fillId="0" borderId="0" xfId="0" applyFont="1"/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1" fillId="0" borderId="5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0" fillId="0" borderId="12" xfId="0" applyBorder="1" applyAlignment="1">
      <alignment vertical="top" wrapText="1"/>
    </xf>
    <xf numFmtId="0" fontId="13" fillId="0" borderId="12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5" fillId="0" borderId="16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0" fillId="0" borderId="15" xfId="0" applyBorder="1" applyAlignment="1">
      <alignment vertical="top" wrapText="1"/>
    </xf>
    <xf numFmtId="0" fontId="13" fillId="0" borderId="6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11" fillId="0" borderId="16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0" fillId="0" borderId="17" xfId="0" applyBorder="1"/>
    <xf numFmtId="0" fontId="0" fillId="0" borderId="19" xfId="0" applyBorder="1"/>
    <xf numFmtId="2" fontId="0" fillId="0" borderId="19" xfId="0" applyNumberFormat="1" applyBorder="1"/>
    <xf numFmtId="0" fontId="0" fillId="0" borderId="18" xfId="0" applyBorder="1"/>
    <xf numFmtId="0" fontId="11" fillId="0" borderId="18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0" fillId="0" borderId="21" xfId="0" applyBorder="1"/>
    <xf numFmtId="0" fontId="11" fillId="0" borderId="22" xfId="0" applyFont="1" applyBorder="1" applyAlignment="1">
      <alignment vertical="center" wrapText="1"/>
    </xf>
    <xf numFmtId="0" fontId="0" fillId="0" borderId="20" xfId="0" applyBorder="1"/>
    <xf numFmtId="0" fontId="0" fillId="0" borderId="22" xfId="0" applyBorder="1"/>
    <xf numFmtId="0" fontId="11" fillId="0" borderId="19" xfId="0" applyFont="1" applyBorder="1" applyAlignment="1">
      <alignment vertical="center" wrapText="1"/>
    </xf>
    <xf numFmtId="0" fontId="0" fillId="0" borderId="19" xfId="0" applyBorder="1" applyAlignment="1">
      <alignment wrapText="1"/>
    </xf>
    <xf numFmtId="0" fontId="21" fillId="0" borderId="0" xfId="0" applyFont="1" applyAlignment="1">
      <alignment vertical="center"/>
    </xf>
    <xf numFmtId="0" fontId="11" fillId="0" borderId="9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0" fillId="0" borderId="11" xfId="0" applyBorder="1" applyAlignment="1">
      <alignment vertical="top" wrapText="1"/>
    </xf>
    <xf numFmtId="0" fontId="11" fillId="0" borderId="13" xfId="0" applyFont="1" applyBorder="1" applyAlignment="1">
      <alignment vertical="center" wrapText="1"/>
    </xf>
    <xf numFmtId="0" fontId="15" fillId="0" borderId="1" xfId="0" applyFont="1" applyBorder="1" applyAlignment="1">
      <alignment wrapText="1"/>
    </xf>
    <xf numFmtId="0" fontId="15" fillId="0" borderId="23" xfId="0" applyFont="1" applyBorder="1" applyAlignment="1">
      <alignment wrapText="1"/>
    </xf>
    <xf numFmtId="0" fontId="11" fillId="0" borderId="6" xfId="0" applyFont="1" applyBorder="1" applyAlignment="1">
      <alignment horizontal="center" vertical="center" wrapText="1"/>
    </xf>
    <xf numFmtId="2" fontId="11" fillId="0" borderId="5" xfId="0" applyNumberFormat="1" applyFont="1" applyBorder="1" applyAlignment="1">
      <alignment horizontal="center" vertical="center" wrapText="1"/>
    </xf>
    <xf numFmtId="0" fontId="0" fillId="3" borderId="0" xfId="0" applyFill="1"/>
    <xf numFmtId="0" fontId="15" fillId="0" borderId="3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2" fontId="11" fillId="0" borderId="3" xfId="0" applyNumberFormat="1" applyFont="1" applyBorder="1" applyAlignment="1">
      <alignment vertical="center" wrapText="1"/>
    </xf>
    <xf numFmtId="2" fontId="11" fillId="0" borderId="15" xfId="0" applyNumberFormat="1" applyFont="1" applyBorder="1" applyAlignment="1">
      <alignment vertical="center" wrapText="1"/>
    </xf>
    <xf numFmtId="2" fontId="11" fillId="0" borderId="4" xfId="0" applyNumberFormat="1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1" fillId="0" borderId="13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0" fillId="4" borderId="0" xfId="0" applyFill="1"/>
    <xf numFmtId="0" fontId="5" fillId="3" borderId="0" xfId="0" applyFont="1" applyFill="1"/>
    <xf numFmtId="0" fontId="7" fillId="0" borderId="1" xfId="0" applyFont="1" applyBorder="1"/>
    <xf numFmtId="0" fontId="9" fillId="0" borderId="1" xfId="0" applyFont="1" applyBorder="1"/>
    <xf numFmtId="0" fontId="0" fillId="0" borderId="1" xfId="0" applyFill="1" applyBorder="1"/>
    <xf numFmtId="0" fontId="14" fillId="0" borderId="1" xfId="0" applyFont="1" applyBorder="1"/>
    <xf numFmtId="165" fontId="0" fillId="0" borderId="1" xfId="0" applyNumberFormat="1" applyBorder="1"/>
    <xf numFmtId="0" fontId="28" fillId="0" borderId="1" xfId="0" applyFont="1" applyBorder="1"/>
    <xf numFmtId="0" fontId="1" fillId="0" borderId="0" xfId="0" applyFont="1"/>
    <xf numFmtId="0" fontId="0" fillId="5" borderId="0" xfId="0" applyFill="1" applyAlignment="1">
      <alignment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288122</xdr:colOff>
      <xdr:row>29</xdr:row>
      <xdr:rowOff>154978</xdr:rowOff>
    </xdr:from>
    <xdr:to>
      <xdr:col>15</xdr:col>
      <xdr:colOff>1457463</xdr:colOff>
      <xdr:row>57</xdr:row>
      <xdr:rowOff>19147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1212" y="5741551"/>
          <a:ext cx="6959257" cy="5258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topLeftCell="D38" zoomScale="120" zoomScaleNormal="120" workbookViewId="0">
      <selection activeCell="F15" sqref="F15"/>
    </sheetView>
  </sheetViews>
  <sheetFormatPr defaultRowHeight="14.4" x14ac:dyDescent="0.3"/>
  <cols>
    <col min="1" max="1" width="18.88671875" bestFit="1" customWidth="1"/>
    <col min="2" max="2" width="14.33203125" bestFit="1" customWidth="1"/>
    <col min="4" max="4" width="19.5546875" customWidth="1"/>
    <col min="7" max="7" width="12" bestFit="1" customWidth="1"/>
    <col min="13" max="13" width="22.6640625" customWidth="1"/>
    <col min="16" max="16" width="24" customWidth="1"/>
    <col min="17" max="17" width="9.33203125" customWidth="1"/>
  </cols>
  <sheetData>
    <row r="1" spans="1:17" x14ac:dyDescent="0.3">
      <c r="A1" s="1" t="s">
        <v>0</v>
      </c>
      <c r="B1" s="6">
        <f>4*0.3*20*60*24*365</f>
        <v>12614400</v>
      </c>
      <c r="D1" s="1" t="s">
        <v>4</v>
      </c>
      <c r="E1" s="6">
        <v>20</v>
      </c>
      <c r="G1" s="1" t="s">
        <v>5</v>
      </c>
      <c r="H1" s="6">
        <v>1.429</v>
      </c>
      <c r="J1" s="1" t="s">
        <v>21</v>
      </c>
      <c r="K1" s="1">
        <v>72</v>
      </c>
      <c r="M1" s="1" t="s">
        <v>51</v>
      </c>
      <c r="N1" s="6">
        <f>12.5/10000</f>
        <v>1.25E-3</v>
      </c>
      <c r="P1" s="1" t="s">
        <v>54</v>
      </c>
      <c r="Q1" s="6">
        <f>16.5/10000</f>
        <v>1.65E-3</v>
      </c>
    </row>
    <row r="2" spans="1:17" x14ac:dyDescent="0.3">
      <c r="A2" s="1" t="s">
        <v>1</v>
      </c>
      <c r="B2" s="6">
        <f>B1/1000</f>
        <v>12614.4</v>
      </c>
      <c r="D2" s="1" t="s">
        <v>11</v>
      </c>
      <c r="E2" s="6">
        <v>20.8</v>
      </c>
      <c r="G2" s="1" t="s">
        <v>16</v>
      </c>
      <c r="H2" s="6">
        <v>1.9770000000000001</v>
      </c>
      <c r="J2" s="1" t="s">
        <v>33</v>
      </c>
      <c r="K2" s="1">
        <v>51</v>
      </c>
      <c r="M2" s="1" t="s">
        <v>52</v>
      </c>
      <c r="N2" s="6">
        <f>34.9/10000</f>
        <v>3.49E-3</v>
      </c>
      <c r="P2" s="1" t="s">
        <v>55</v>
      </c>
      <c r="Q2" s="6">
        <f>46.2/10000</f>
        <v>4.62E-3</v>
      </c>
    </row>
    <row r="3" spans="1:17" x14ac:dyDescent="0.3">
      <c r="D3" s="1" t="s">
        <v>12</v>
      </c>
      <c r="E3" s="6">
        <v>16.399999999999999</v>
      </c>
      <c r="J3" s="1" t="s">
        <v>34</v>
      </c>
      <c r="K3" s="1">
        <f>SUM(K1:K2)</f>
        <v>123</v>
      </c>
      <c r="M3" s="1" t="s">
        <v>53</v>
      </c>
      <c r="N3" s="6">
        <f>7.5/10000</f>
        <v>7.5000000000000002E-4</v>
      </c>
      <c r="P3" s="1" t="s">
        <v>56</v>
      </c>
      <c r="Q3" s="6">
        <f>10/10000</f>
        <v>1E-3</v>
      </c>
    </row>
    <row r="4" spans="1:17" x14ac:dyDescent="0.3">
      <c r="A4" s="1" t="s">
        <v>2</v>
      </c>
      <c r="B4" s="6">
        <f>(B2*20.8)/100</f>
        <v>2623.7952</v>
      </c>
      <c r="D4" s="1" t="s">
        <v>14</v>
      </c>
      <c r="E4" s="6">
        <v>3.7999999999999999E-2</v>
      </c>
      <c r="J4" s="1" t="s">
        <v>36</v>
      </c>
      <c r="K4" s="1">
        <v>25</v>
      </c>
    </row>
    <row r="5" spans="1:17" x14ac:dyDescent="0.3">
      <c r="A5" s="1" t="s">
        <v>3</v>
      </c>
      <c r="B5" s="6">
        <f>B4*E1</f>
        <v>52475.904000000002</v>
      </c>
      <c r="D5" s="1" t="s">
        <v>18</v>
      </c>
      <c r="E5" s="6">
        <v>4</v>
      </c>
      <c r="J5" s="1" t="s">
        <v>37</v>
      </c>
      <c r="K5" s="1">
        <v>53</v>
      </c>
    </row>
    <row r="6" spans="1:17" x14ac:dyDescent="0.3">
      <c r="D6" s="1" t="s">
        <v>35</v>
      </c>
      <c r="E6" s="6">
        <v>30</v>
      </c>
    </row>
    <row r="7" spans="1:17" x14ac:dyDescent="0.3">
      <c r="A7" s="1" t="s">
        <v>7</v>
      </c>
      <c r="B7" s="6">
        <f>B5*H1</f>
        <v>74988.066816000006</v>
      </c>
    </row>
    <row r="8" spans="1:17" x14ac:dyDescent="0.3">
      <c r="A8" s="1" t="s">
        <v>6</v>
      </c>
      <c r="B8" s="6">
        <f>B7/1000</f>
        <v>74.988066816</v>
      </c>
      <c r="C8" s="7" t="s">
        <v>57</v>
      </c>
      <c r="M8" s="4"/>
    </row>
    <row r="10" spans="1:17" x14ac:dyDescent="0.3">
      <c r="A10" s="1" t="s">
        <v>8</v>
      </c>
      <c r="B10" s="6">
        <f>E2-E3</f>
        <v>4.4000000000000021</v>
      </c>
    </row>
    <row r="12" spans="1:17" x14ac:dyDescent="0.3">
      <c r="A12" s="1" t="s">
        <v>9</v>
      </c>
      <c r="B12" s="6">
        <f>B2*E2/100</f>
        <v>2623.7952</v>
      </c>
    </row>
    <row r="13" spans="1:17" x14ac:dyDescent="0.3">
      <c r="A13" s="1" t="s">
        <v>10</v>
      </c>
      <c r="B13" s="6">
        <f>B12*E1</f>
        <v>52475.904000000002</v>
      </c>
    </row>
    <row r="15" spans="1:17" x14ac:dyDescent="0.3">
      <c r="A15" s="1" t="s">
        <v>45</v>
      </c>
      <c r="B15" s="6">
        <f>B13*H1/1000</f>
        <v>74.988066816</v>
      </c>
      <c r="C15" s="4" t="s">
        <v>46</v>
      </c>
      <c r="F15" s="79">
        <f>B15/20</f>
        <v>3.7494033407999998</v>
      </c>
      <c r="G15" s="4" t="s">
        <v>253</v>
      </c>
    </row>
    <row r="17" spans="1:5" x14ac:dyDescent="0.3">
      <c r="A17" s="1" t="s">
        <v>13</v>
      </c>
      <c r="B17" s="6">
        <f>B2*E4/100</f>
        <v>4.7934719999999995</v>
      </c>
    </row>
    <row r="18" spans="1:5" x14ac:dyDescent="0.3">
      <c r="A18" s="1" t="s">
        <v>15</v>
      </c>
      <c r="B18" s="6">
        <f>B17*E1</f>
        <v>95.869439999999997</v>
      </c>
    </row>
    <row r="20" spans="1:5" x14ac:dyDescent="0.3">
      <c r="A20" s="1" t="s">
        <v>48</v>
      </c>
      <c r="B20" s="6">
        <f>B18*H2/1000</f>
        <v>0.18953388288</v>
      </c>
      <c r="C20" s="5" t="s">
        <v>50</v>
      </c>
    </row>
    <row r="22" spans="1:5" x14ac:dyDescent="0.3">
      <c r="A22" s="1" t="s">
        <v>17</v>
      </c>
      <c r="B22" s="6">
        <f>E5-E4</f>
        <v>3.9620000000000002</v>
      </c>
    </row>
    <row r="24" spans="1:5" x14ac:dyDescent="0.3">
      <c r="A24" s="1" t="s">
        <v>19</v>
      </c>
      <c r="B24" s="6">
        <f>B2*B22/100</f>
        <v>499.78252800000001</v>
      </c>
    </row>
    <row r="25" spans="1:5" x14ac:dyDescent="0.3">
      <c r="A25" s="1" t="s">
        <v>20</v>
      </c>
      <c r="B25" s="6">
        <f>B24*E1</f>
        <v>9995.65056</v>
      </c>
    </row>
    <row r="27" spans="1:5" x14ac:dyDescent="0.3">
      <c r="A27" s="1" t="s">
        <v>47</v>
      </c>
      <c r="B27" s="6">
        <f>B25*H2/1000</f>
        <v>19.761401157120002</v>
      </c>
      <c r="C27" s="4" t="s">
        <v>49</v>
      </c>
    </row>
    <row r="29" spans="1:5" x14ac:dyDescent="0.3">
      <c r="A29" s="1" t="s">
        <v>22</v>
      </c>
      <c r="B29" s="1">
        <f>N1*$K$1</f>
        <v>0.09</v>
      </c>
      <c r="D29" s="1" t="s">
        <v>26</v>
      </c>
      <c r="E29" s="1">
        <f>Q1*$K$1</f>
        <v>0.1188</v>
      </c>
    </row>
    <row r="30" spans="1:5" x14ac:dyDescent="0.3">
      <c r="A30" s="1" t="s">
        <v>23</v>
      </c>
      <c r="B30" s="1">
        <f t="shared" ref="B30" si="0">N2*$K$1</f>
        <v>0.25128</v>
      </c>
      <c r="D30" s="1" t="s">
        <v>27</v>
      </c>
      <c r="E30" s="1">
        <f t="shared" ref="E30" si="1">Q2*$K$1</f>
        <v>0.33263999999999999</v>
      </c>
    </row>
    <row r="31" spans="1:5" x14ac:dyDescent="0.3">
      <c r="A31" s="1" t="s">
        <v>24</v>
      </c>
      <c r="B31" s="1">
        <f>N3*$K$1</f>
        <v>5.3999999999999999E-2</v>
      </c>
      <c r="D31" s="1" t="s">
        <v>28</v>
      </c>
      <c r="E31" s="1">
        <f>Q3*$K$1</f>
        <v>7.2000000000000008E-2</v>
      </c>
    </row>
    <row r="32" spans="1:5" x14ac:dyDescent="0.3">
      <c r="A32" s="1" t="s">
        <v>25</v>
      </c>
      <c r="B32" s="1">
        <f>SUM(B29:B31)</f>
        <v>0.39528000000000002</v>
      </c>
      <c r="D32" s="1" t="s">
        <v>58</v>
      </c>
      <c r="E32" s="1">
        <f>SUM(E29:E31)</f>
        <v>0.52344000000000002</v>
      </c>
    </row>
    <row r="34" spans="1:5" x14ac:dyDescent="0.3">
      <c r="A34" s="1" t="s">
        <v>29</v>
      </c>
      <c r="B34" s="2">
        <f>(B32/B15)*100</f>
        <v>0.52712387021512097</v>
      </c>
    </row>
    <row r="36" spans="1:5" x14ac:dyDescent="0.3">
      <c r="A36" s="1" t="s">
        <v>30</v>
      </c>
      <c r="B36" s="3">
        <f>(B32/B8)*100</f>
        <v>0.52712387021512097</v>
      </c>
    </row>
    <row r="37" spans="1:5" x14ac:dyDescent="0.3">
      <c r="A37" s="1" t="s">
        <v>31</v>
      </c>
      <c r="B37" s="3">
        <f>E32/B20</f>
        <v>2.7617225587648977</v>
      </c>
    </row>
    <row r="39" spans="1:5" x14ac:dyDescent="0.3">
      <c r="A39" s="1" t="s">
        <v>32</v>
      </c>
      <c r="B39" s="1">
        <f>B15-B32</f>
        <v>74.592786816</v>
      </c>
    </row>
    <row r="40" spans="1:5" x14ac:dyDescent="0.3">
      <c r="A40" s="1" t="s">
        <v>38</v>
      </c>
      <c r="B40" s="1">
        <f>B39/B32</f>
        <v>188.7087300546448</v>
      </c>
    </row>
    <row r="42" spans="1:5" x14ac:dyDescent="0.3">
      <c r="A42" s="1" t="s">
        <v>39</v>
      </c>
      <c r="B42" s="1">
        <f>K3/E6</f>
        <v>4.0999999999999996</v>
      </c>
    </row>
    <row r="43" spans="1:5" x14ac:dyDescent="0.3">
      <c r="A43" s="1" t="s">
        <v>40</v>
      </c>
      <c r="B43" s="1">
        <f>B46/B42</f>
        <v>95.050909769425559</v>
      </c>
    </row>
    <row r="45" spans="1:5" x14ac:dyDescent="0.3">
      <c r="A45" s="1" t="s">
        <v>41</v>
      </c>
      <c r="B45" s="1">
        <f>K3+K4+K5</f>
        <v>201</v>
      </c>
      <c r="D45" s="1" t="s">
        <v>43</v>
      </c>
      <c r="E45" s="1">
        <f>B45/E1</f>
        <v>10.050000000000001</v>
      </c>
    </row>
    <row r="46" spans="1:5" x14ac:dyDescent="0.3">
      <c r="A46" s="1" t="s">
        <v>42</v>
      </c>
      <c r="B46" s="1">
        <f>B45+B40</f>
        <v>389.70873005464478</v>
      </c>
      <c r="D46" s="1" t="s">
        <v>44</v>
      </c>
      <c r="E46" s="1">
        <f>B46/E1</f>
        <v>19.485436502732238</v>
      </c>
    </row>
    <row r="59" spans="8:9" x14ac:dyDescent="0.3">
      <c r="H59" s="4" t="s">
        <v>59</v>
      </c>
      <c r="I59" t="s">
        <v>60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5"/>
  <sheetViews>
    <sheetView topLeftCell="F105" zoomScale="85" zoomScaleNormal="100" workbookViewId="0">
      <selection activeCell="K60" sqref="K60"/>
    </sheetView>
  </sheetViews>
  <sheetFormatPr defaultColWidth="9.109375" defaultRowHeight="14.4" x14ac:dyDescent="0.3"/>
  <cols>
    <col min="1" max="1" width="30" style="26" bestFit="1" customWidth="1"/>
    <col min="2" max="2" width="10" style="26" bestFit="1" customWidth="1"/>
    <col min="3" max="3" width="9.109375" style="26"/>
    <col min="4" max="4" width="15.5546875" style="26" bestFit="1" customWidth="1"/>
    <col min="5" max="5" width="14.44140625" style="26" bestFit="1" customWidth="1"/>
    <col min="6" max="6" width="12.33203125" style="26" bestFit="1" customWidth="1"/>
    <col min="7" max="7" width="20" style="26" bestFit="1" customWidth="1"/>
    <col min="8" max="8" width="23.6640625" style="26" customWidth="1"/>
    <col min="9" max="9" width="25" style="26" customWidth="1"/>
    <col min="10" max="10" width="22" style="26" customWidth="1"/>
    <col min="11" max="11" width="19.33203125" style="26" bestFit="1" customWidth="1"/>
    <col min="12" max="12" width="22.44140625" style="26" bestFit="1" customWidth="1"/>
    <col min="13" max="13" width="32.21875" style="26" customWidth="1"/>
    <col min="14" max="14" width="9.109375" style="26"/>
    <col min="15" max="15" width="19.33203125" style="26" bestFit="1" customWidth="1"/>
    <col min="16" max="16" width="10.5546875" style="26" bestFit="1" customWidth="1"/>
    <col min="17" max="17" width="16" style="26" bestFit="1" customWidth="1"/>
    <col min="18" max="16384" width="9.109375" style="26"/>
  </cols>
  <sheetData>
    <row r="1" spans="1:17" ht="42" customHeight="1" x14ac:dyDescent="0.35">
      <c r="A1" s="114" t="s">
        <v>62</v>
      </c>
      <c r="B1" s="27"/>
      <c r="C1" s="27"/>
      <c r="G1" s="33" t="s">
        <v>81</v>
      </c>
      <c r="H1" s="33" t="s">
        <v>80</v>
      </c>
      <c r="I1" s="33" t="s">
        <v>73</v>
      </c>
      <c r="K1" s="27" t="s">
        <v>81</v>
      </c>
      <c r="L1" s="27" t="s">
        <v>83</v>
      </c>
      <c r="M1" s="27" t="s">
        <v>85</v>
      </c>
      <c r="O1" s="27" t="s">
        <v>81</v>
      </c>
      <c r="P1" s="27" t="s">
        <v>95</v>
      </c>
      <c r="Q1" s="27"/>
    </row>
    <row r="2" spans="1:17" ht="20.399999999999999" x14ac:dyDescent="0.45">
      <c r="A2" s="114" t="s">
        <v>61</v>
      </c>
      <c r="B2" s="27">
        <v>1.3380000000000001</v>
      </c>
      <c r="C2" s="27" t="s">
        <v>104</v>
      </c>
      <c r="G2" s="27" t="s">
        <v>74</v>
      </c>
      <c r="H2" s="27">
        <f>B4</f>
        <v>5</v>
      </c>
      <c r="I2" s="27">
        <f>B8</f>
        <v>75000</v>
      </c>
      <c r="K2" s="27"/>
      <c r="L2" s="27" t="s">
        <v>84</v>
      </c>
      <c r="M2" s="27" t="s">
        <v>86</v>
      </c>
      <c r="O2" s="27"/>
      <c r="P2" s="27" t="s">
        <v>96</v>
      </c>
      <c r="Q2" s="27" t="s">
        <v>97</v>
      </c>
    </row>
    <row r="3" spans="1:17" ht="18" x14ac:dyDescent="0.35">
      <c r="A3" s="115" t="s">
        <v>63</v>
      </c>
      <c r="B3" s="27">
        <v>20</v>
      </c>
      <c r="C3" s="27" t="s">
        <v>68</v>
      </c>
      <c r="G3" s="27" t="s">
        <v>75</v>
      </c>
      <c r="H3" s="27"/>
      <c r="I3" s="27"/>
      <c r="K3" s="27" t="s">
        <v>74</v>
      </c>
      <c r="L3" s="27" t="s">
        <v>87</v>
      </c>
      <c r="M3" s="27">
        <f>11/100</f>
        <v>0.11</v>
      </c>
      <c r="O3" s="27" t="s">
        <v>74</v>
      </c>
      <c r="P3" s="27">
        <f>B10</f>
        <v>8250</v>
      </c>
      <c r="Q3" s="27" t="s">
        <v>98</v>
      </c>
    </row>
    <row r="4" spans="1:17" ht="20.399999999999999" x14ac:dyDescent="0.45">
      <c r="A4" s="115" t="s">
        <v>64</v>
      </c>
      <c r="B4" s="27">
        <v>5</v>
      </c>
      <c r="C4" s="27" t="s">
        <v>66</v>
      </c>
      <c r="G4" s="27" t="s">
        <v>76</v>
      </c>
      <c r="H4" s="27"/>
      <c r="I4" s="27"/>
      <c r="K4" s="27" t="s">
        <v>75</v>
      </c>
      <c r="L4" s="27" t="s">
        <v>88</v>
      </c>
      <c r="M4" s="27"/>
      <c r="O4" s="27" t="s">
        <v>76</v>
      </c>
      <c r="P4" s="27"/>
      <c r="Q4" s="27" t="s">
        <v>98</v>
      </c>
    </row>
    <row r="5" spans="1:17" ht="20.399999999999999" x14ac:dyDescent="0.45">
      <c r="A5" s="115" t="s">
        <v>65</v>
      </c>
      <c r="B5" s="27">
        <v>15000</v>
      </c>
      <c r="C5" s="27" t="s">
        <v>67</v>
      </c>
      <c r="G5" s="27" t="s">
        <v>77</v>
      </c>
      <c r="H5" s="27"/>
      <c r="I5" s="27"/>
      <c r="K5" s="27" t="s">
        <v>76</v>
      </c>
      <c r="L5" s="27" t="s">
        <v>89</v>
      </c>
      <c r="M5" s="27"/>
      <c r="O5" s="27" t="s">
        <v>75</v>
      </c>
      <c r="P5" s="27"/>
      <c r="Q5" s="27" t="s">
        <v>98</v>
      </c>
    </row>
    <row r="6" spans="1:17" x14ac:dyDescent="0.3">
      <c r="G6" s="27" t="s">
        <v>78</v>
      </c>
      <c r="H6" s="27"/>
      <c r="I6" s="27"/>
      <c r="K6" s="27" t="s">
        <v>79</v>
      </c>
      <c r="L6" s="27" t="s">
        <v>90</v>
      </c>
      <c r="M6" s="27"/>
      <c r="O6" s="27" t="s">
        <v>77</v>
      </c>
      <c r="P6" s="27" t="s">
        <v>98</v>
      </c>
      <c r="Q6" s="27"/>
    </row>
    <row r="7" spans="1:17" ht="20.399999999999999" x14ac:dyDescent="0.45">
      <c r="A7" s="115" t="s">
        <v>69</v>
      </c>
      <c r="B7" s="27">
        <f>B4/B3</f>
        <v>0.25</v>
      </c>
      <c r="C7" s="27" t="s">
        <v>70</v>
      </c>
      <c r="G7" s="27" t="s">
        <v>79</v>
      </c>
      <c r="H7" s="27"/>
      <c r="I7" s="27"/>
      <c r="K7" s="27" t="s">
        <v>78</v>
      </c>
      <c r="L7" s="27" t="s">
        <v>91</v>
      </c>
      <c r="M7" s="27"/>
      <c r="O7" s="27" t="s">
        <v>78</v>
      </c>
      <c r="P7" s="27" t="s">
        <v>98</v>
      </c>
      <c r="Q7" s="27"/>
    </row>
    <row r="8" spans="1:17" ht="20.399999999999999" x14ac:dyDescent="0.45">
      <c r="A8" s="114" t="s">
        <v>71</v>
      </c>
      <c r="B8" s="27">
        <f>B4*B5</f>
        <v>75000</v>
      </c>
      <c r="C8" s="27" t="s">
        <v>67</v>
      </c>
      <c r="K8" s="27" t="s">
        <v>92</v>
      </c>
      <c r="L8" s="27" t="s">
        <v>93</v>
      </c>
      <c r="M8" s="27"/>
      <c r="O8" s="27" t="s">
        <v>79</v>
      </c>
      <c r="P8" s="27" t="s">
        <v>98</v>
      </c>
      <c r="Q8" s="27"/>
    </row>
    <row r="9" spans="1:17" ht="16.5" customHeight="1" thickBot="1" x14ac:dyDescent="0.35">
      <c r="O9" s="27" t="s">
        <v>99</v>
      </c>
      <c r="P9" s="27">
        <f>SUM(P3:P8)</f>
        <v>8250</v>
      </c>
      <c r="Q9" s="27"/>
    </row>
    <row r="10" spans="1:17" ht="18.600000000000001" thickBot="1" x14ac:dyDescent="0.4">
      <c r="A10" s="115" t="s">
        <v>82</v>
      </c>
      <c r="B10" s="27">
        <f>B8*M3</f>
        <v>8250</v>
      </c>
      <c r="C10" s="27" t="s">
        <v>94</v>
      </c>
      <c r="G10" s="89" t="s">
        <v>108</v>
      </c>
      <c r="H10" s="91" t="s">
        <v>109</v>
      </c>
      <c r="I10" s="92"/>
      <c r="J10" s="92"/>
      <c r="K10" s="92"/>
      <c r="L10" s="92"/>
      <c r="M10" s="93"/>
    </row>
    <row r="11" spans="1:17" ht="18.600000000000001" thickBot="1" x14ac:dyDescent="0.4">
      <c r="A11" s="115" t="s">
        <v>102</v>
      </c>
      <c r="B11" s="27">
        <v>0.75</v>
      </c>
      <c r="C11" s="27" t="s">
        <v>103</v>
      </c>
      <c r="G11" s="90"/>
      <c r="H11" s="32" t="s">
        <v>110</v>
      </c>
      <c r="I11" s="32" t="s">
        <v>111</v>
      </c>
      <c r="J11" s="32" t="s">
        <v>112</v>
      </c>
      <c r="K11" s="32" t="s">
        <v>113</v>
      </c>
      <c r="L11" s="32" t="s">
        <v>114</v>
      </c>
      <c r="M11" s="32" t="s">
        <v>115</v>
      </c>
    </row>
    <row r="12" spans="1:17" ht="18.600000000000001" thickBot="1" x14ac:dyDescent="0.4">
      <c r="A12" s="28"/>
      <c r="G12" s="30" t="s">
        <v>116</v>
      </c>
      <c r="H12" s="32">
        <v>395</v>
      </c>
      <c r="I12" s="32">
        <v>1.6</v>
      </c>
      <c r="J12" s="32">
        <v>20</v>
      </c>
      <c r="K12" s="32">
        <v>0.7</v>
      </c>
      <c r="L12" s="32">
        <v>34</v>
      </c>
      <c r="M12" s="32">
        <v>2</v>
      </c>
    </row>
    <row r="13" spans="1:17" ht="18.600000000000001" thickBot="1" x14ac:dyDescent="0.4">
      <c r="A13" s="114" t="s">
        <v>100</v>
      </c>
      <c r="B13" s="27">
        <f>B10*B11</f>
        <v>6187.5</v>
      </c>
      <c r="C13" s="27" t="s">
        <v>104</v>
      </c>
      <c r="G13" s="30" t="s">
        <v>117</v>
      </c>
      <c r="H13" s="32">
        <v>9</v>
      </c>
      <c r="I13" s="32">
        <v>6</v>
      </c>
      <c r="J13" s="32">
        <v>33</v>
      </c>
      <c r="K13" s="32" t="s">
        <v>118</v>
      </c>
      <c r="L13" s="32">
        <v>20</v>
      </c>
      <c r="M13" s="32">
        <v>16</v>
      </c>
    </row>
    <row r="14" spans="1:17" ht="21" thickBot="1" x14ac:dyDescent="0.5">
      <c r="A14" s="115" t="s">
        <v>105</v>
      </c>
      <c r="B14" s="27">
        <f>B13</f>
        <v>6187.5</v>
      </c>
      <c r="C14" s="27" t="s">
        <v>104</v>
      </c>
    </row>
    <row r="15" spans="1:17" ht="62.25" customHeight="1" thickBot="1" x14ac:dyDescent="0.35">
      <c r="G15" s="46" t="s">
        <v>81</v>
      </c>
      <c r="H15" s="34" t="s">
        <v>150</v>
      </c>
      <c r="I15" s="34" t="s">
        <v>151</v>
      </c>
      <c r="J15" s="34" t="s">
        <v>152</v>
      </c>
    </row>
    <row r="16" spans="1:17" ht="18.600000000000001" thickBot="1" x14ac:dyDescent="0.4">
      <c r="A16" s="115" t="s">
        <v>106</v>
      </c>
      <c r="B16" s="27">
        <f>B14*B2</f>
        <v>8278.875</v>
      </c>
      <c r="C16" s="27" t="s">
        <v>104</v>
      </c>
      <c r="D16" s="27" t="s">
        <v>255</v>
      </c>
      <c r="E16" s="27" t="s">
        <v>254</v>
      </c>
      <c r="G16" s="30" t="s">
        <v>74</v>
      </c>
      <c r="H16" s="32">
        <f>B4</f>
        <v>5</v>
      </c>
      <c r="I16" s="47">
        <f>H16*3</f>
        <v>15</v>
      </c>
      <c r="J16" s="47">
        <f>B21*I16*2</f>
        <v>6</v>
      </c>
    </row>
    <row r="17" spans="1:16" ht="18.600000000000001" thickBot="1" x14ac:dyDescent="0.4">
      <c r="A17" s="115" t="s">
        <v>106</v>
      </c>
      <c r="B17" s="27">
        <f>B16/1000</f>
        <v>8.2788749999999993</v>
      </c>
      <c r="C17" s="27" t="s">
        <v>107</v>
      </c>
      <c r="D17" s="116">
        <v>3.7494033407999998</v>
      </c>
      <c r="E17" s="27">
        <f>B17/5</f>
        <v>1.6557749999999998</v>
      </c>
      <c r="G17" s="30" t="s">
        <v>75</v>
      </c>
      <c r="H17" s="32"/>
      <c r="I17" s="47"/>
      <c r="J17" s="47"/>
    </row>
    <row r="18" spans="1:16" ht="16.2" thickBot="1" x14ac:dyDescent="0.35">
      <c r="G18" s="30" t="s">
        <v>76</v>
      </c>
      <c r="H18" s="32"/>
      <c r="I18" s="47"/>
      <c r="J18" s="47"/>
    </row>
    <row r="19" spans="1:16" ht="34.5" customHeight="1" thickBot="1" x14ac:dyDescent="0.5">
      <c r="A19" s="114" t="s">
        <v>71</v>
      </c>
      <c r="B19" s="27">
        <f>B20*B21</f>
        <v>1</v>
      </c>
      <c r="C19" s="27" t="s">
        <v>160</v>
      </c>
      <c r="G19" s="30" t="s">
        <v>77</v>
      </c>
      <c r="H19" s="32"/>
      <c r="I19" s="47"/>
      <c r="J19" s="47"/>
    </row>
    <row r="20" spans="1:16" ht="16.2" thickBot="1" x14ac:dyDescent="0.35">
      <c r="A20" s="27" t="s">
        <v>158</v>
      </c>
      <c r="B20" s="27">
        <f>B4</f>
        <v>5</v>
      </c>
      <c r="C20" s="27"/>
      <c r="G20" s="30" t="s">
        <v>79</v>
      </c>
      <c r="H20" s="32"/>
      <c r="I20" s="47"/>
      <c r="J20" s="47"/>
    </row>
    <row r="21" spans="1:16" ht="16.2" thickBot="1" x14ac:dyDescent="0.35">
      <c r="A21" s="27" t="s">
        <v>159</v>
      </c>
      <c r="B21" s="27">
        <f>0.2</f>
        <v>0.2</v>
      </c>
      <c r="C21" s="27" t="s">
        <v>160</v>
      </c>
      <c r="G21" s="30" t="s">
        <v>78</v>
      </c>
      <c r="H21" s="32"/>
      <c r="I21" s="47"/>
      <c r="J21" s="47"/>
    </row>
    <row r="22" spans="1:16" ht="15" thickBot="1" x14ac:dyDescent="0.35"/>
    <row r="23" spans="1:16" ht="22.2" thickBot="1" x14ac:dyDescent="0.5">
      <c r="A23" s="117" t="s">
        <v>161</v>
      </c>
      <c r="B23" s="27">
        <f>H34</f>
        <v>0</v>
      </c>
      <c r="G23" s="40" t="s">
        <v>133</v>
      </c>
      <c r="H23" s="94" t="s">
        <v>134</v>
      </c>
      <c r="I23" s="95"/>
      <c r="J23" s="95"/>
      <c r="K23" s="95"/>
      <c r="L23" s="95"/>
      <c r="M23" s="95"/>
      <c r="N23" s="95"/>
      <c r="O23" s="95"/>
      <c r="P23" s="96"/>
    </row>
    <row r="24" spans="1:16" ht="16.8" thickBot="1" x14ac:dyDescent="0.35">
      <c r="G24" s="41" t="s">
        <v>72</v>
      </c>
      <c r="H24" s="42" t="s">
        <v>135</v>
      </c>
      <c r="I24" s="42" t="s">
        <v>136</v>
      </c>
      <c r="J24" s="42" t="s">
        <v>137</v>
      </c>
      <c r="K24" s="42" t="s">
        <v>138</v>
      </c>
      <c r="L24" s="42" t="s">
        <v>139</v>
      </c>
      <c r="M24" s="42" t="s">
        <v>113</v>
      </c>
      <c r="N24" s="43" t="s">
        <v>140</v>
      </c>
      <c r="O24" s="44" t="s">
        <v>141</v>
      </c>
      <c r="P24" s="41" t="s">
        <v>130</v>
      </c>
    </row>
    <row r="25" spans="1:16" ht="21" thickBot="1" x14ac:dyDescent="0.5">
      <c r="A25" s="115" t="s">
        <v>162</v>
      </c>
      <c r="B25" s="27">
        <f>B26*B27*B28</f>
        <v>3.4999999999999999E-6</v>
      </c>
      <c r="C25" s="27" t="s">
        <v>166</v>
      </c>
      <c r="D25" s="27">
        <f>D26*D27*D28</f>
        <v>3500</v>
      </c>
      <c r="E25" s="27" t="s">
        <v>101</v>
      </c>
      <c r="G25" s="41" t="s">
        <v>74</v>
      </c>
      <c r="H25" s="42">
        <v>19.8</v>
      </c>
      <c r="I25" s="42">
        <v>2.2999999999999998</v>
      </c>
      <c r="J25" s="42">
        <v>0.28000000000000003</v>
      </c>
      <c r="K25" s="42" t="s">
        <v>142</v>
      </c>
      <c r="L25" s="42">
        <v>7.0000000000000007E-2</v>
      </c>
      <c r="M25" s="42">
        <v>3.5000000000000003E-2</v>
      </c>
      <c r="N25" s="43"/>
      <c r="O25" s="44">
        <f>0.18*10^-6</f>
        <v>1.8E-7</v>
      </c>
      <c r="P25" s="41">
        <v>4.2999999999999997E-2</v>
      </c>
    </row>
    <row r="26" spans="1:16" x14ac:dyDescent="0.3">
      <c r="A26" s="27" t="s">
        <v>159</v>
      </c>
      <c r="B26" s="27">
        <f>B21</f>
        <v>0.2</v>
      </c>
      <c r="C26" s="27"/>
      <c r="D26" s="27">
        <f>B26*1000</f>
        <v>200</v>
      </c>
      <c r="E26" s="27" t="s">
        <v>165</v>
      </c>
      <c r="G26" s="45" t="s">
        <v>143</v>
      </c>
      <c r="H26" s="80">
        <v>37.299999999999997</v>
      </c>
      <c r="I26" s="80">
        <v>6.9</v>
      </c>
      <c r="J26" s="80">
        <v>0.8</v>
      </c>
      <c r="K26" s="80" t="s">
        <v>142</v>
      </c>
      <c r="L26" s="80">
        <v>0.19</v>
      </c>
      <c r="M26" s="80">
        <v>4.2999999999999997E-2</v>
      </c>
      <c r="N26" s="80">
        <v>0.85</v>
      </c>
      <c r="O26" s="80" t="s">
        <v>145</v>
      </c>
      <c r="P26" s="80">
        <v>0.23400000000000001</v>
      </c>
    </row>
    <row r="27" spans="1:16" ht="15" thickBot="1" x14ac:dyDescent="0.35">
      <c r="A27" s="27" t="s">
        <v>163</v>
      </c>
      <c r="B27" s="27">
        <f>10/1000</f>
        <v>0.01</v>
      </c>
      <c r="C27" s="27" t="s">
        <v>160</v>
      </c>
      <c r="D27" s="27">
        <f t="shared" ref="D27" si="0">B27*1000</f>
        <v>10</v>
      </c>
      <c r="E27" s="27" t="s">
        <v>165</v>
      </c>
      <c r="G27" s="41" t="s">
        <v>144</v>
      </c>
      <c r="H27" s="82"/>
      <c r="I27" s="82"/>
      <c r="J27" s="82"/>
      <c r="K27" s="82"/>
      <c r="L27" s="82"/>
      <c r="M27" s="82"/>
      <c r="N27" s="82"/>
      <c r="O27" s="82"/>
      <c r="P27" s="82"/>
    </row>
    <row r="28" spans="1:16" ht="28.2" thickBot="1" x14ac:dyDescent="0.35">
      <c r="A28" s="27" t="s">
        <v>164</v>
      </c>
      <c r="B28" s="27">
        <f>1.75/1000</f>
        <v>1.75E-3</v>
      </c>
      <c r="C28" s="27" t="s">
        <v>160</v>
      </c>
      <c r="D28" s="27">
        <f>B28*1000</f>
        <v>1.75</v>
      </c>
      <c r="E28" s="27" t="s">
        <v>165</v>
      </c>
      <c r="G28" s="41" t="s">
        <v>146</v>
      </c>
      <c r="H28" s="42">
        <v>28.5</v>
      </c>
      <c r="I28" s="42">
        <v>3.5</v>
      </c>
      <c r="J28" s="42">
        <v>0.6</v>
      </c>
      <c r="K28" s="42" t="s">
        <v>142</v>
      </c>
      <c r="L28" s="42">
        <v>0.11</v>
      </c>
      <c r="M28" s="42">
        <v>5.3999999999999999E-2</v>
      </c>
      <c r="N28" s="43">
        <v>0.88</v>
      </c>
      <c r="O28" s="44" t="s">
        <v>147</v>
      </c>
      <c r="P28" s="41">
        <v>0.83199999999999996</v>
      </c>
    </row>
    <row r="29" spans="1:16" ht="28.2" thickBot="1" x14ac:dyDescent="0.35">
      <c r="G29" s="41" t="s">
        <v>148</v>
      </c>
      <c r="H29" s="42">
        <v>6.2</v>
      </c>
      <c r="I29" s="42">
        <v>1.1000000000000001</v>
      </c>
      <c r="J29" s="42">
        <v>3.5</v>
      </c>
      <c r="K29" s="42">
        <v>0.3</v>
      </c>
      <c r="L29" s="42">
        <v>0.56000000000000005</v>
      </c>
      <c r="M29" s="42" t="s">
        <v>142</v>
      </c>
      <c r="N29" s="43"/>
      <c r="O29" s="44" t="s">
        <v>149</v>
      </c>
      <c r="P29" s="41">
        <v>4.72</v>
      </c>
    </row>
    <row r="30" spans="1:16" ht="18" x14ac:dyDescent="0.35">
      <c r="A30" s="28"/>
    </row>
    <row r="31" spans="1:16" ht="48.75" customHeight="1" x14ac:dyDescent="0.3">
      <c r="F31" s="97" t="s">
        <v>153</v>
      </c>
      <c r="G31" s="97"/>
      <c r="H31" s="97" t="s">
        <v>122</v>
      </c>
      <c r="I31" s="97" t="s">
        <v>123</v>
      </c>
      <c r="J31" s="98" t="s">
        <v>124</v>
      </c>
      <c r="K31" s="98"/>
    </row>
    <row r="32" spans="1:16" ht="20.399999999999999" x14ac:dyDescent="0.45">
      <c r="A32" s="115" t="s">
        <v>187</v>
      </c>
      <c r="B32" s="27">
        <v>16.7</v>
      </c>
      <c r="C32" s="27" t="s">
        <v>188</v>
      </c>
      <c r="F32" s="97"/>
      <c r="G32" s="97"/>
      <c r="H32" s="97"/>
      <c r="I32" s="97"/>
      <c r="J32" s="27" t="s">
        <v>154</v>
      </c>
      <c r="K32" s="27" t="s">
        <v>155</v>
      </c>
    </row>
    <row r="33" spans="1:14" ht="20.399999999999999" x14ac:dyDescent="0.45">
      <c r="A33" s="115" t="s">
        <v>189</v>
      </c>
      <c r="B33" s="27">
        <f>B17/B32</f>
        <v>0.49574101796407183</v>
      </c>
      <c r="C33" s="27" t="s">
        <v>192</v>
      </c>
      <c r="F33" s="99" t="s">
        <v>135</v>
      </c>
      <c r="G33" s="48" t="s">
        <v>125</v>
      </c>
      <c r="H33" s="27">
        <f>B13*H12</f>
        <v>2444062.5</v>
      </c>
      <c r="I33" s="27">
        <f>B19*H25*24*365</f>
        <v>173448.00000000003</v>
      </c>
      <c r="J33" s="99">
        <f>SUM(H33:I33)</f>
        <v>2617510.5</v>
      </c>
      <c r="K33" s="99">
        <f>J33/365</f>
        <v>7171.2616438356163</v>
      </c>
      <c r="N33" s="70"/>
    </row>
    <row r="34" spans="1:14" ht="20.399999999999999" x14ac:dyDescent="0.45">
      <c r="A34" s="115" t="s">
        <v>191</v>
      </c>
      <c r="B34" s="27">
        <v>3.8970873005464479E-2</v>
      </c>
      <c r="C34" s="27" t="s">
        <v>192</v>
      </c>
      <c r="F34" s="99"/>
      <c r="G34" s="48" t="s">
        <v>126</v>
      </c>
      <c r="H34" s="27"/>
      <c r="J34" s="99"/>
      <c r="K34" s="99"/>
    </row>
    <row r="35" spans="1:14" ht="20.399999999999999" x14ac:dyDescent="0.45">
      <c r="A35" s="115" t="s">
        <v>190</v>
      </c>
      <c r="B35" s="118">
        <f>B34+B33</f>
        <v>0.53471189096953631</v>
      </c>
      <c r="C35" s="27" t="s">
        <v>192</v>
      </c>
      <c r="F35" s="99" t="s">
        <v>119</v>
      </c>
      <c r="G35" s="48" t="s">
        <v>125</v>
      </c>
      <c r="H35" s="27">
        <f>B13*I12</f>
        <v>9900</v>
      </c>
      <c r="I35" s="27">
        <f>B19*L25*24*365</f>
        <v>613.20000000000005</v>
      </c>
      <c r="J35" s="99">
        <f t="shared" ref="J35" si="1">SUM(H35:I35)</f>
        <v>10513.2</v>
      </c>
      <c r="K35" s="99">
        <f>J35/365</f>
        <v>28.80328767123288</v>
      </c>
    </row>
    <row r="36" spans="1:14" ht="18" x14ac:dyDescent="0.35">
      <c r="A36" s="28"/>
      <c r="F36" s="99"/>
      <c r="G36" s="48" t="s">
        <v>126</v>
      </c>
      <c r="H36" s="27"/>
      <c r="I36" s="27"/>
      <c r="J36" s="99"/>
      <c r="K36" s="99"/>
    </row>
    <row r="37" spans="1:14" ht="20.399999999999999" x14ac:dyDescent="0.45">
      <c r="A37" s="114" t="s">
        <v>193</v>
      </c>
      <c r="B37" s="27">
        <f>B35*1.25</f>
        <v>0.66838986371192033</v>
      </c>
      <c r="C37" s="27" t="s">
        <v>192</v>
      </c>
      <c r="F37" s="99" t="s">
        <v>120</v>
      </c>
      <c r="G37" s="48" t="s">
        <v>125</v>
      </c>
      <c r="H37" s="27">
        <f>B13*J12</f>
        <v>123750</v>
      </c>
      <c r="I37" s="27">
        <f>B19*J25*24*365</f>
        <v>2452.8000000000002</v>
      </c>
      <c r="J37" s="99">
        <f t="shared" ref="J37" si="2">SUM(H37:I37)</f>
        <v>126202.8</v>
      </c>
      <c r="K37" s="99">
        <f>J37/365</f>
        <v>345.76109589041096</v>
      </c>
    </row>
    <row r="38" spans="1:14" x14ac:dyDescent="0.3">
      <c r="F38" s="99"/>
      <c r="G38" s="48" t="s">
        <v>126</v>
      </c>
      <c r="H38" s="27"/>
      <c r="I38" s="27"/>
      <c r="J38" s="99"/>
      <c r="K38" s="99"/>
    </row>
    <row r="39" spans="1:14" ht="18" x14ac:dyDescent="0.35">
      <c r="A39" s="115" t="s">
        <v>195</v>
      </c>
      <c r="B39" s="27">
        <v>12</v>
      </c>
      <c r="F39" s="99" t="s">
        <v>113</v>
      </c>
      <c r="G39" s="48" t="s">
        <v>125</v>
      </c>
      <c r="H39" s="27">
        <f>B13*K12</f>
        <v>4331.25</v>
      </c>
      <c r="I39" s="27">
        <f>B19*M25*24*365</f>
        <v>306.60000000000002</v>
      </c>
      <c r="J39" s="99">
        <f t="shared" ref="J39" si="3">SUM(H39:I39)</f>
        <v>4637.8500000000004</v>
      </c>
      <c r="K39" s="99">
        <f>J39/365</f>
        <v>12.706438356164385</v>
      </c>
    </row>
    <row r="40" spans="1:14" ht="18" x14ac:dyDescent="0.35">
      <c r="A40" s="115" t="s">
        <v>196</v>
      </c>
      <c r="B40" s="27">
        <v>16</v>
      </c>
      <c r="F40" s="99"/>
      <c r="G40" s="48" t="s">
        <v>126</v>
      </c>
      <c r="H40" s="27"/>
      <c r="I40" s="27"/>
      <c r="J40" s="99"/>
      <c r="K40" s="99"/>
    </row>
    <row r="41" spans="1:14" ht="18" x14ac:dyDescent="0.35">
      <c r="A41" s="114" t="s">
        <v>194</v>
      </c>
      <c r="B41" s="27">
        <f>B39+B40</f>
        <v>28</v>
      </c>
      <c r="F41" s="99" t="s">
        <v>132</v>
      </c>
      <c r="G41" s="48" t="s">
        <v>125</v>
      </c>
      <c r="H41" s="27">
        <f>B13*N25</f>
        <v>0</v>
      </c>
      <c r="I41" s="27">
        <f>B19*N25</f>
        <v>0</v>
      </c>
      <c r="J41" s="99">
        <f t="shared" ref="J41" si="4">SUM(H41:I41)</f>
        <v>0</v>
      </c>
      <c r="K41" s="99">
        <f>J41/365</f>
        <v>0</v>
      </c>
    </row>
    <row r="42" spans="1:14" ht="20.399999999999999" x14ac:dyDescent="0.45">
      <c r="A42" s="114" t="s">
        <v>197</v>
      </c>
      <c r="B42" s="27">
        <f>B39+2*B40</f>
        <v>44</v>
      </c>
      <c r="F42" s="99"/>
      <c r="G42" s="48" t="s">
        <v>126</v>
      </c>
      <c r="H42" s="27"/>
      <c r="I42" s="27"/>
      <c r="J42" s="99"/>
      <c r="K42" s="99"/>
    </row>
    <row r="43" spans="1:14" x14ac:dyDescent="0.3">
      <c r="F43" s="99" t="s">
        <v>121</v>
      </c>
      <c r="G43" s="48" t="s">
        <v>125</v>
      </c>
      <c r="H43" s="27">
        <f>B13*L12</f>
        <v>210375</v>
      </c>
      <c r="I43" s="27">
        <f>B19*I25*24*365</f>
        <v>20148</v>
      </c>
      <c r="J43" s="99">
        <f t="shared" ref="J43" si="5">SUM(H43:I43)</f>
        <v>230523</v>
      </c>
      <c r="K43" s="99">
        <f>J43/365</f>
        <v>631.56986301369864</v>
      </c>
    </row>
    <row r="44" spans="1:14" ht="18" x14ac:dyDescent="0.35">
      <c r="A44" s="114" t="s">
        <v>198</v>
      </c>
      <c r="B44" s="27">
        <f>B42/B41</f>
        <v>1.5714285714285714</v>
      </c>
      <c r="C44" s="27"/>
      <c r="F44" s="99"/>
      <c r="G44" s="48" t="s">
        <v>126</v>
      </c>
      <c r="H44" s="27"/>
      <c r="I44" s="27"/>
      <c r="J44" s="99"/>
      <c r="K44" s="99"/>
    </row>
    <row r="45" spans="1:14" ht="18" x14ac:dyDescent="0.35">
      <c r="A45" s="114" t="s">
        <v>200</v>
      </c>
      <c r="B45" s="27">
        <f>J33/1000</f>
        <v>2617.5104999999999</v>
      </c>
      <c r="C45" s="27" t="s">
        <v>104</v>
      </c>
      <c r="F45" s="99" t="s">
        <v>129</v>
      </c>
      <c r="G45" s="48" t="s">
        <v>125</v>
      </c>
      <c r="H45" s="27">
        <f>B13*M12</f>
        <v>12375</v>
      </c>
      <c r="I45" s="27"/>
      <c r="J45" s="99">
        <f t="shared" ref="J45" si="6">SUM(H45:I45)</f>
        <v>12375</v>
      </c>
      <c r="K45" s="99">
        <f>J45/365</f>
        <v>33.904109589041099</v>
      </c>
    </row>
    <row r="46" spans="1:14" ht="18" x14ac:dyDescent="0.35">
      <c r="A46" s="114" t="s">
        <v>199</v>
      </c>
      <c r="B46" s="27">
        <v>23874.631942834287</v>
      </c>
      <c r="C46" s="27" t="s">
        <v>104</v>
      </c>
      <c r="F46" s="99"/>
      <c r="G46" s="48" t="s">
        <v>126</v>
      </c>
      <c r="H46" s="27"/>
      <c r="I46" s="27"/>
      <c r="J46" s="99"/>
      <c r="K46" s="99"/>
    </row>
    <row r="47" spans="1:14" ht="18" x14ac:dyDescent="0.35">
      <c r="A47" s="114" t="s">
        <v>199</v>
      </c>
      <c r="B47" s="27">
        <f>B46/1000</f>
        <v>23.874631942834288</v>
      </c>
      <c r="C47" s="27" t="s">
        <v>107</v>
      </c>
      <c r="F47" s="99" t="s">
        <v>156</v>
      </c>
      <c r="G47" s="48" t="s">
        <v>125</v>
      </c>
      <c r="H47" s="27"/>
      <c r="I47" s="27">
        <f>B19*P25*24*365</f>
        <v>376.68</v>
      </c>
      <c r="J47" s="99">
        <f t="shared" ref="J47" si="7">SUM(H47:I47)</f>
        <v>376.68</v>
      </c>
      <c r="K47" s="99">
        <f>J47/365</f>
        <v>1.032</v>
      </c>
    </row>
    <row r="48" spans="1:14" x14ac:dyDescent="0.3">
      <c r="F48" s="99"/>
      <c r="G48" s="48" t="s">
        <v>126</v>
      </c>
      <c r="H48" s="27"/>
      <c r="I48" s="27"/>
      <c r="J48" s="99"/>
      <c r="K48" s="99"/>
    </row>
    <row r="49" spans="1:13" x14ac:dyDescent="0.3">
      <c r="F49" s="99" t="s">
        <v>157</v>
      </c>
      <c r="G49" s="48" t="s">
        <v>125</v>
      </c>
      <c r="H49" s="27"/>
      <c r="I49" s="27">
        <f>B19*O25*24*365</f>
        <v>1.5767999999999999E-3</v>
      </c>
      <c r="J49" s="99">
        <f t="shared" ref="J49" si="8">SUM(H49:I49)</f>
        <v>1.5767999999999999E-3</v>
      </c>
      <c r="K49" s="99">
        <f>J49/365</f>
        <v>4.3200000000000001E-6</v>
      </c>
    </row>
    <row r="50" spans="1:13" x14ac:dyDescent="0.3">
      <c r="F50" s="99"/>
      <c r="G50" s="48" t="s">
        <v>126</v>
      </c>
      <c r="H50" s="27"/>
      <c r="I50" s="27"/>
      <c r="J50" s="99"/>
      <c r="K50" s="99"/>
    </row>
    <row r="51" spans="1:13" ht="21" thickBot="1" x14ac:dyDescent="0.5">
      <c r="A51" s="114" t="s">
        <v>201</v>
      </c>
      <c r="B51" s="27">
        <v>1.4469473904748054</v>
      </c>
      <c r="C51" s="27" t="s">
        <v>192</v>
      </c>
    </row>
    <row r="52" spans="1:13" ht="31.5" customHeight="1" x14ac:dyDescent="0.45">
      <c r="A52" s="114" t="s">
        <v>202</v>
      </c>
      <c r="B52" s="27">
        <f>B51*1.25</f>
        <v>1.8086842380935066</v>
      </c>
      <c r="C52" s="27" t="s">
        <v>192</v>
      </c>
      <c r="G52" s="29" t="s">
        <v>227</v>
      </c>
      <c r="H52" s="31" t="s">
        <v>228</v>
      </c>
      <c r="I52" s="35" t="s">
        <v>229</v>
      </c>
      <c r="J52" s="57"/>
    </row>
    <row r="53" spans="1:13" ht="53.4" thickBot="1" x14ac:dyDescent="0.35">
      <c r="G53" s="30" t="s">
        <v>230</v>
      </c>
      <c r="H53" s="32" t="s">
        <v>231</v>
      </c>
      <c r="I53" s="53" t="s">
        <v>232</v>
      </c>
      <c r="J53" s="61" t="s">
        <v>182</v>
      </c>
    </row>
    <row r="54" spans="1:13" ht="30" thickBot="1" x14ac:dyDescent="0.4">
      <c r="A54" s="114" t="s">
        <v>203</v>
      </c>
      <c r="B54" s="27">
        <f>SUM(I16:I21)</f>
        <v>15</v>
      </c>
      <c r="C54" s="27" t="s">
        <v>204</v>
      </c>
      <c r="G54" s="36" t="s">
        <v>110</v>
      </c>
      <c r="H54" s="39">
        <f>K33/$D$25</f>
        <v>2.0489318982387474</v>
      </c>
      <c r="I54" s="54">
        <f>K33/J71</f>
        <v>2390.4205479452053</v>
      </c>
      <c r="J54" s="60">
        <f>H54/J71</f>
        <v>0.68297729941291585</v>
      </c>
      <c r="L54" s="113" t="s">
        <v>59</v>
      </c>
      <c r="M54" s="121" t="s">
        <v>259</v>
      </c>
    </row>
    <row r="55" spans="1:13" ht="18.600000000000001" thickBot="1" x14ac:dyDescent="0.35">
      <c r="G55" s="29" t="s">
        <v>111</v>
      </c>
      <c r="H55" s="50">
        <f>K35/$D$25</f>
        <v>8.2295107632093939E-3</v>
      </c>
      <c r="I55" s="55">
        <f>K35/J78</f>
        <v>576.0657534246576</v>
      </c>
      <c r="J55" s="58">
        <f>H55/J78</f>
        <v>0.16459021526418788</v>
      </c>
    </row>
    <row r="56" spans="1:13" ht="18.600000000000001" thickBot="1" x14ac:dyDescent="0.35">
      <c r="A56" s="25" t="s">
        <v>256</v>
      </c>
      <c r="G56" s="29" t="s">
        <v>112</v>
      </c>
      <c r="H56" s="50">
        <f>K37/$D$25</f>
        <v>9.8788884540117416E-2</v>
      </c>
      <c r="I56" s="55">
        <f>K37/J68</f>
        <v>8644.0273972602736</v>
      </c>
      <c r="J56" s="58">
        <f>H56/J68</f>
        <v>2.4697221135029355</v>
      </c>
    </row>
    <row r="57" spans="1:13" ht="16.2" thickBot="1" x14ac:dyDescent="0.35">
      <c r="G57" s="29" t="s">
        <v>127</v>
      </c>
      <c r="H57" s="50">
        <f>K39/$D$25</f>
        <v>3.6304109589041099E-3</v>
      </c>
      <c r="I57" s="55">
        <f>K39/J70</f>
        <v>42354.794520547955</v>
      </c>
      <c r="J57" s="58">
        <f>H57/J70</f>
        <v>12.101369863013701</v>
      </c>
    </row>
    <row r="58" spans="1:13" ht="18.600000000000001" thickBot="1" x14ac:dyDescent="0.35">
      <c r="G58" s="29" t="s">
        <v>128</v>
      </c>
      <c r="H58" s="50">
        <f>K41*1000/$D$25</f>
        <v>0</v>
      </c>
      <c r="I58" s="55">
        <f>K41/J84</f>
        <v>0</v>
      </c>
      <c r="J58" s="58">
        <f>H58</f>
        <v>0</v>
      </c>
    </row>
    <row r="59" spans="1:13" ht="18.600000000000001" thickBot="1" x14ac:dyDescent="0.35">
      <c r="G59" s="29" t="s">
        <v>114</v>
      </c>
      <c r="H59" s="50">
        <f>K43/$D$25</f>
        <v>0.18044853228962818</v>
      </c>
      <c r="I59" s="55">
        <f>K43/J74</f>
        <v>126313.97260273973</v>
      </c>
      <c r="J59" s="58">
        <f>H59/J74</f>
        <v>36.089706457925637</v>
      </c>
    </row>
    <row r="60" spans="1:13" ht="16.2" thickBot="1" x14ac:dyDescent="0.35">
      <c r="G60" s="29" t="s">
        <v>129</v>
      </c>
      <c r="H60" s="50">
        <f>K45/$D$25</f>
        <v>9.6868884540117425E-3</v>
      </c>
      <c r="I60" s="55">
        <f>K45/J69</f>
        <v>678.08219178082197</v>
      </c>
      <c r="J60" s="58">
        <f>H60/J69</f>
        <v>0.19373776908023485</v>
      </c>
    </row>
    <row r="61" spans="1:13" ht="16.2" thickBot="1" x14ac:dyDescent="0.35">
      <c r="G61" s="29" t="s">
        <v>130</v>
      </c>
      <c r="H61" s="50">
        <f>K47/$D$25</f>
        <v>2.9485714285714288E-4</v>
      </c>
      <c r="I61" s="55">
        <f>K47/J85</f>
        <v>17.200000000000003</v>
      </c>
      <c r="J61" s="58">
        <f>H61/J85</f>
        <v>4.9142857142857148E-3</v>
      </c>
    </row>
    <row r="62" spans="1:13" ht="18.600000000000001" thickBot="1" x14ac:dyDescent="0.35">
      <c r="G62" s="46" t="s">
        <v>131</v>
      </c>
      <c r="H62" s="51">
        <f>K49/$D$25</f>
        <v>1.2342857142857144E-9</v>
      </c>
      <c r="I62" s="56">
        <f>K49/J81</f>
        <v>4.32</v>
      </c>
      <c r="J62" s="59">
        <f>H62/J81</f>
        <v>1.2342857142857145E-3</v>
      </c>
    </row>
    <row r="63" spans="1:13" ht="15" thickBot="1" x14ac:dyDescent="0.35"/>
    <row r="64" spans="1:13" ht="15.75" customHeight="1" x14ac:dyDescent="0.3">
      <c r="G64" s="83" t="s">
        <v>153</v>
      </c>
      <c r="H64" s="31" t="s">
        <v>233</v>
      </c>
      <c r="I64" s="106" t="s">
        <v>234</v>
      </c>
      <c r="J64" s="107"/>
    </row>
    <row r="65" spans="1:10" x14ac:dyDescent="0.3">
      <c r="G65" s="84"/>
      <c r="H65" s="38"/>
      <c r="I65" s="108"/>
      <c r="J65" s="109"/>
    </row>
    <row r="66" spans="1:10" ht="18.75" customHeight="1" thickBot="1" x14ac:dyDescent="0.35">
      <c r="G66" s="84"/>
      <c r="H66" s="37" t="s">
        <v>235</v>
      </c>
      <c r="I66" s="110" t="s">
        <v>236</v>
      </c>
      <c r="J66" s="111"/>
    </row>
    <row r="67" spans="1:10" ht="18.600000000000001" thickBot="1" x14ac:dyDescent="0.35">
      <c r="G67" s="85"/>
      <c r="H67" s="52"/>
      <c r="I67" s="32" t="s">
        <v>167</v>
      </c>
      <c r="J67" s="32" t="s">
        <v>168</v>
      </c>
    </row>
    <row r="68" spans="1:10" ht="34.200000000000003" thickBot="1" x14ac:dyDescent="0.35">
      <c r="G68" s="30" t="s">
        <v>169</v>
      </c>
      <c r="H68" s="32">
        <v>2</v>
      </c>
      <c r="I68" s="32">
        <v>8.5000000000000006E-2</v>
      </c>
      <c r="J68" s="32">
        <v>0.04</v>
      </c>
    </row>
    <row r="69" spans="1:10" ht="18.600000000000001" thickBot="1" x14ac:dyDescent="0.4">
      <c r="A69" s="114" t="s">
        <v>205</v>
      </c>
      <c r="B69" s="27">
        <v>0.4</v>
      </c>
      <c r="C69" s="27"/>
      <c r="G69" s="30" t="s">
        <v>129</v>
      </c>
      <c r="H69" s="32">
        <v>3</v>
      </c>
      <c r="I69" s="32">
        <v>0.15</v>
      </c>
      <c r="J69" s="32">
        <v>0.05</v>
      </c>
    </row>
    <row r="70" spans="1:10" ht="31.8" thickBot="1" x14ac:dyDescent="0.4">
      <c r="A70" s="114" t="s">
        <v>206</v>
      </c>
      <c r="B70" s="27">
        <v>1</v>
      </c>
      <c r="C70" s="27"/>
      <c r="G70" s="30" t="s">
        <v>170</v>
      </c>
      <c r="H70" s="32">
        <v>1</v>
      </c>
      <c r="I70" s="32">
        <v>1E-3</v>
      </c>
      <c r="J70" s="32">
        <v>2.9999999999999997E-4</v>
      </c>
    </row>
    <row r="71" spans="1:10" ht="18" x14ac:dyDescent="0.35">
      <c r="A71" s="114" t="s">
        <v>237</v>
      </c>
      <c r="B71" s="27">
        <v>1.5</v>
      </c>
      <c r="C71" s="27"/>
      <c r="G71" s="36" t="s">
        <v>171</v>
      </c>
      <c r="H71" s="83">
        <v>3</v>
      </c>
      <c r="I71" s="83">
        <v>5</v>
      </c>
      <c r="J71" s="83">
        <v>3</v>
      </c>
    </row>
    <row r="72" spans="1:10" ht="18" x14ac:dyDescent="0.35">
      <c r="A72" s="114" t="s">
        <v>207</v>
      </c>
      <c r="B72" s="27">
        <v>1</v>
      </c>
      <c r="C72" s="27"/>
      <c r="G72" s="49"/>
      <c r="H72" s="84"/>
      <c r="I72" s="84"/>
      <c r="J72" s="84"/>
    </row>
    <row r="73" spans="1:10" ht="18.600000000000001" thickBot="1" x14ac:dyDescent="0.4">
      <c r="A73" s="114" t="s">
        <v>208</v>
      </c>
      <c r="B73" s="27">
        <v>1</v>
      </c>
      <c r="C73" s="27"/>
      <c r="G73" s="30" t="s">
        <v>172</v>
      </c>
      <c r="H73" s="85"/>
      <c r="I73" s="85"/>
      <c r="J73" s="85"/>
    </row>
    <row r="74" spans="1:10" ht="15.6" x14ac:dyDescent="0.3">
      <c r="A74" s="27"/>
      <c r="B74" s="27"/>
      <c r="C74" s="27"/>
      <c r="G74" s="36" t="s">
        <v>173</v>
      </c>
      <c r="H74" s="83">
        <v>4</v>
      </c>
      <c r="I74" s="83">
        <v>0.03</v>
      </c>
      <c r="J74" s="83">
        <v>5.0000000000000001E-3</v>
      </c>
    </row>
    <row r="75" spans="1:10" ht="18" x14ac:dyDescent="0.35">
      <c r="A75" s="114" t="s">
        <v>238</v>
      </c>
      <c r="B75" s="27">
        <f>SUM(J99:J102)</f>
        <v>5</v>
      </c>
      <c r="C75" s="27"/>
      <c r="G75" s="49"/>
      <c r="H75" s="84"/>
      <c r="I75" s="84"/>
      <c r="J75" s="84"/>
    </row>
    <row r="76" spans="1:10" ht="18.600000000000001" thickBot="1" x14ac:dyDescent="0.35">
      <c r="A76" s="27"/>
      <c r="B76" s="27"/>
      <c r="C76" s="27"/>
      <c r="G76" s="30" t="s">
        <v>174</v>
      </c>
      <c r="H76" s="85"/>
      <c r="I76" s="85"/>
      <c r="J76" s="85"/>
    </row>
    <row r="77" spans="1:10" ht="21" thickBot="1" x14ac:dyDescent="0.5">
      <c r="A77" s="119" t="s">
        <v>239</v>
      </c>
      <c r="B77" s="27">
        <f>(0.5+0.01*B54*B75)*B69*B70*B71*B72*B73</f>
        <v>0.75</v>
      </c>
      <c r="C77" s="27" t="s">
        <v>240</v>
      </c>
      <c r="G77" s="30" t="s">
        <v>175</v>
      </c>
      <c r="H77" s="32">
        <v>3</v>
      </c>
      <c r="I77" s="32">
        <v>0.5</v>
      </c>
      <c r="J77" s="32">
        <v>0.15</v>
      </c>
    </row>
    <row r="78" spans="1:10" ht="15.6" x14ac:dyDescent="0.3">
      <c r="G78" s="36" t="s">
        <v>176</v>
      </c>
      <c r="H78" s="83">
        <v>2</v>
      </c>
      <c r="I78" s="83">
        <v>0.5</v>
      </c>
      <c r="J78" s="83">
        <v>0.05</v>
      </c>
    </row>
    <row r="79" spans="1:10" x14ac:dyDescent="0.3">
      <c r="G79" s="49"/>
      <c r="H79" s="84"/>
      <c r="I79" s="84"/>
      <c r="J79" s="84"/>
    </row>
    <row r="80" spans="1:10" ht="18.600000000000001" thickBot="1" x14ac:dyDescent="0.35">
      <c r="G80" s="30" t="s">
        <v>177</v>
      </c>
      <c r="H80" s="85"/>
      <c r="I80" s="85"/>
      <c r="J80" s="85"/>
    </row>
    <row r="81" spans="7:12" ht="15.6" x14ac:dyDescent="0.3">
      <c r="G81" s="36" t="s">
        <v>178</v>
      </c>
      <c r="H81" s="83">
        <v>1</v>
      </c>
      <c r="I81" s="100"/>
      <c r="J81" s="103">
        <f>10^-6</f>
        <v>9.9999999999999995E-7</v>
      </c>
    </row>
    <row r="82" spans="7:12" x14ac:dyDescent="0.3">
      <c r="G82" s="49"/>
      <c r="H82" s="84"/>
      <c r="I82" s="101"/>
      <c r="J82" s="104"/>
    </row>
    <row r="83" spans="7:12" ht="18.600000000000001" thickBot="1" x14ac:dyDescent="0.35">
      <c r="G83" s="30" t="s">
        <v>179</v>
      </c>
      <c r="H83" s="85"/>
      <c r="I83" s="102"/>
      <c r="J83" s="105"/>
    </row>
    <row r="84" spans="7:12" ht="34.200000000000003" thickBot="1" x14ac:dyDescent="0.35">
      <c r="G84" s="30" t="s">
        <v>180</v>
      </c>
      <c r="H84" s="32">
        <v>3</v>
      </c>
      <c r="I84" s="32">
        <v>0.5</v>
      </c>
      <c r="J84" s="32">
        <v>0.15</v>
      </c>
    </row>
    <row r="85" spans="7:12" ht="18.600000000000001" thickBot="1" x14ac:dyDescent="0.35">
      <c r="G85" s="30" t="s">
        <v>181</v>
      </c>
      <c r="H85" s="32">
        <v>2</v>
      </c>
      <c r="I85" s="32">
        <v>0.4</v>
      </c>
      <c r="J85" s="32">
        <v>0.06</v>
      </c>
    </row>
    <row r="86" spans="7:12" ht="15" thickBot="1" x14ac:dyDescent="0.35"/>
    <row r="87" spans="7:12" ht="45.6" thickBot="1" x14ac:dyDescent="0.35">
      <c r="G87" s="68" t="s">
        <v>153</v>
      </c>
      <c r="H87" s="69" t="s">
        <v>183</v>
      </c>
      <c r="I87" s="69" t="s">
        <v>184</v>
      </c>
    </row>
    <row r="88" spans="7:12" ht="15.6" x14ac:dyDescent="0.3">
      <c r="G88" s="62" t="s">
        <v>135</v>
      </c>
      <c r="H88" s="66">
        <f>K33*1000/$D$25</f>
        <v>2048.9318982387476</v>
      </c>
      <c r="I88" s="66">
        <f>K33/J71</f>
        <v>2390.4205479452053</v>
      </c>
    </row>
    <row r="89" spans="7:12" ht="18" x14ac:dyDescent="0.3">
      <c r="G89" s="63" t="s">
        <v>111</v>
      </c>
      <c r="H89" s="64">
        <f>K35*1000/$D$25</f>
        <v>8.2295107632093938</v>
      </c>
      <c r="I89" s="64">
        <f>K35/J78</f>
        <v>576.0657534246576</v>
      </c>
    </row>
    <row r="90" spans="7:12" ht="18" x14ac:dyDescent="0.3">
      <c r="G90" s="63" t="s">
        <v>112</v>
      </c>
      <c r="H90" s="64">
        <f>K37*1000/$D$25</f>
        <v>98.788884540117408</v>
      </c>
      <c r="I90" s="64">
        <f>K37/J68</f>
        <v>8644.0273972602736</v>
      </c>
      <c r="K90" s="113" t="s">
        <v>59</v>
      </c>
      <c r="L90" s="112" t="s">
        <v>257</v>
      </c>
    </row>
    <row r="91" spans="7:12" ht="15.6" x14ac:dyDescent="0.3">
      <c r="G91" s="63" t="s">
        <v>113</v>
      </c>
      <c r="H91" s="64">
        <f>K39*1000/$D$25</f>
        <v>3.6304109589041103</v>
      </c>
      <c r="I91" s="64">
        <f>K39/J70</f>
        <v>42354.794520547955</v>
      </c>
    </row>
    <row r="92" spans="7:12" ht="18" x14ac:dyDescent="0.3">
      <c r="G92" s="63" t="s">
        <v>128</v>
      </c>
      <c r="H92" s="64">
        <f>K41*1000/$D$25</f>
        <v>0</v>
      </c>
      <c r="I92" s="64">
        <f>K41/J84</f>
        <v>0</v>
      </c>
    </row>
    <row r="93" spans="7:12" ht="15.6" x14ac:dyDescent="0.35">
      <c r="G93" s="64" t="s">
        <v>185</v>
      </c>
      <c r="H93" s="64">
        <f>K43*1000/$D$25</f>
        <v>180.44853228962816</v>
      </c>
      <c r="I93" s="64">
        <f>K43/J74</f>
        <v>126313.97260273973</v>
      </c>
    </row>
    <row r="94" spans="7:12" ht="15.6" x14ac:dyDescent="0.3">
      <c r="G94" s="63" t="s">
        <v>129</v>
      </c>
      <c r="H94" s="64">
        <f>K45*1000/$D$25</f>
        <v>9.6868884540117435</v>
      </c>
      <c r="I94" s="64">
        <f>K45/J69</f>
        <v>678.08219178082197</v>
      </c>
    </row>
    <row r="95" spans="7:12" ht="15.6" x14ac:dyDescent="0.3">
      <c r="G95" s="63" t="s">
        <v>130</v>
      </c>
      <c r="H95" s="64">
        <f>K47*1000/$D$25</f>
        <v>0.29485714285714287</v>
      </c>
      <c r="I95" s="64">
        <f>K47/J85</f>
        <v>17.200000000000003</v>
      </c>
    </row>
    <row r="96" spans="7:12" ht="18.600000000000001" thickBot="1" x14ac:dyDescent="0.35">
      <c r="G96" s="65" t="s">
        <v>186</v>
      </c>
      <c r="H96" s="67">
        <f>K49*1000/$D$25</f>
        <v>1.2342857142857142E-6</v>
      </c>
      <c r="I96" s="67">
        <f>K49/J81</f>
        <v>4.32</v>
      </c>
    </row>
    <row r="98" spans="7:11" ht="47.25" customHeight="1" x14ac:dyDescent="0.35">
      <c r="G98" s="33" t="s">
        <v>209</v>
      </c>
      <c r="H98" s="75" t="s">
        <v>241</v>
      </c>
      <c r="I98" s="75" t="s">
        <v>242</v>
      </c>
      <c r="J98" s="75" t="s">
        <v>243</v>
      </c>
      <c r="K98" s="76"/>
    </row>
    <row r="99" spans="7:11" x14ac:dyDescent="0.3">
      <c r="G99" s="27" t="s">
        <v>244</v>
      </c>
      <c r="H99" s="27">
        <v>2.2999999999999998</v>
      </c>
      <c r="I99" s="27">
        <f>H3/$B$54</f>
        <v>0</v>
      </c>
      <c r="J99" s="27">
        <f>H99*I99</f>
        <v>0</v>
      </c>
    </row>
    <row r="100" spans="7:11" x14ac:dyDescent="0.3">
      <c r="G100" s="27" t="s">
        <v>245</v>
      </c>
      <c r="H100" s="27">
        <v>0.2</v>
      </c>
      <c r="I100" s="27">
        <f>H7/$B$54</f>
        <v>0</v>
      </c>
      <c r="J100" s="27">
        <f t="shared" ref="J100:J102" si="9">H100*I100</f>
        <v>0</v>
      </c>
    </row>
    <row r="101" spans="7:11" x14ac:dyDescent="0.3">
      <c r="G101" s="27" t="s">
        <v>246</v>
      </c>
      <c r="H101" s="27">
        <v>1</v>
      </c>
      <c r="I101" s="27">
        <v>5</v>
      </c>
      <c r="J101" s="27">
        <f t="shared" si="9"/>
        <v>5</v>
      </c>
    </row>
    <row r="102" spans="7:11" x14ac:dyDescent="0.3">
      <c r="G102" s="27" t="s">
        <v>247</v>
      </c>
      <c r="H102" s="27">
        <v>3.7</v>
      </c>
      <c r="I102" s="27">
        <f>H4/$B$54</f>
        <v>0</v>
      </c>
      <c r="J102" s="27">
        <f t="shared" si="9"/>
        <v>0</v>
      </c>
    </row>
    <row r="103" spans="7:11" ht="15" thickBot="1" x14ac:dyDescent="0.35"/>
    <row r="104" spans="7:11" ht="28.5" customHeight="1" x14ac:dyDescent="0.3">
      <c r="G104" s="72" t="s">
        <v>227</v>
      </c>
      <c r="H104" s="80" t="s">
        <v>248</v>
      </c>
      <c r="I104" s="31" t="s">
        <v>228</v>
      </c>
      <c r="J104" s="83" t="s">
        <v>249</v>
      </c>
      <c r="K104" s="86" t="s">
        <v>250</v>
      </c>
    </row>
    <row r="105" spans="7:11" x14ac:dyDescent="0.3">
      <c r="G105" s="73"/>
      <c r="H105" s="81"/>
      <c r="I105" s="38"/>
      <c r="J105" s="84"/>
      <c r="K105" s="87"/>
    </row>
    <row r="106" spans="7:11" ht="36" thickBot="1" x14ac:dyDescent="0.35">
      <c r="G106" s="74" t="s">
        <v>230</v>
      </c>
      <c r="H106" s="82"/>
      <c r="I106" s="32" t="s">
        <v>251</v>
      </c>
      <c r="J106" s="85"/>
      <c r="K106" s="88"/>
    </row>
    <row r="107" spans="7:11" ht="16.2" thickBot="1" x14ac:dyDescent="0.35">
      <c r="G107" s="72" t="s">
        <v>110</v>
      </c>
      <c r="H107" s="29">
        <f>H25</f>
        <v>19.8</v>
      </c>
      <c r="I107" s="50">
        <f>H88</f>
        <v>2048.9318982387476</v>
      </c>
      <c r="J107" s="31">
        <f>(H107*$B$77)/$J$54</f>
        <v>21.743035987821255</v>
      </c>
      <c r="K107" s="77">
        <v>3</v>
      </c>
    </row>
    <row r="108" spans="7:11" ht="18.600000000000001" thickBot="1" x14ac:dyDescent="0.35">
      <c r="G108" s="72" t="s">
        <v>111</v>
      </c>
      <c r="H108" s="29">
        <f>L25</f>
        <v>7.0000000000000007E-2</v>
      </c>
      <c r="I108" s="50">
        <f t="shared" ref="I108:I115" si="10">H89</f>
        <v>8.2295107632093938</v>
      </c>
      <c r="J108" s="31">
        <f t="shared" ref="J108:J115" si="11">(H108*$B$77)/$J$54</f>
        <v>7.6869319148863025E-2</v>
      </c>
      <c r="K108" s="77">
        <v>0.05</v>
      </c>
    </row>
    <row r="109" spans="7:11" ht="18.600000000000001" thickBot="1" x14ac:dyDescent="0.35">
      <c r="G109" s="72" t="s">
        <v>112</v>
      </c>
      <c r="H109" s="29">
        <f>J25</f>
        <v>0.28000000000000003</v>
      </c>
      <c r="I109" s="50">
        <f t="shared" si="10"/>
        <v>98.788884540117408</v>
      </c>
      <c r="J109" s="31">
        <f t="shared" si="11"/>
        <v>0.3074772765954521</v>
      </c>
      <c r="K109" s="77">
        <v>0.04</v>
      </c>
    </row>
    <row r="110" spans="7:11" ht="16.2" thickBot="1" x14ac:dyDescent="0.35">
      <c r="G110" s="72" t="s">
        <v>127</v>
      </c>
      <c r="H110" s="29">
        <f>M25</f>
        <v>3.5000000000000003E-2</v>
      </c>
      <c r="I110" s="50">
        <f t="shared" si="10"/>
        <v>3.6304109589041103</v>
      </c>
      <c r="J110" s="31">
        <f t="shared" si="11"/>
        <v>3.8434659574431512E-2</v>
      </c>
      <c r="K110" s="77">
        <v>2.9999999999999997E-4</v>
      </c>
    </row>
    <row r="111" spans="7:11" ht="18.600000000000001" thickBot="1" x14ac:dyDescent="0.35">
      <c r="G111" s="72" t="s">
        <v>128</v>
      </c>
      <c r="H111" s="29">
        <f>N25</f>
        <v>0</v>
      </c>
      <c r="I111" s="50">
        <f t="shared" si="10"/>
        <v>0</v>
      </c>
      <c r="J111" s="31">
        <f t="shared" si="11"/>
        <v>0</v>
      </c>
      <c r="K111" s="77">
        <v>0.15</v>
      </c>
    </row>
    <row r="112" spans="7:11" ht="18.600000000000001" thickBot="1" x14ac:dyDescent="0.35">
      <c r="G112" s="72" t="s">
        <v>114</v>
      </c>
      <c r="H112" s="29">
        <f>I25</f>
        <v>2.2999999999999998</v>
      </c>
      <c r="I112" s="50">
        <f t="shared" si="10"/>
        <v>180.44853228962816</v>
      </c>
      <c r="J112" s="31">
        <f t="shared" si="11"/>
        <v>2.5257062006054989</v>
      </c>
      <c r="K112" s="77">
        <v>5.0000000000000001E-3</v>
      </c>
    </row>
    <row r="113" spans="7:11" ht="16.2" thickBot="1" x14ac:dyDescent="0.35">
      <c r="G113" s="72" t="s">
        <v>252</v>
      </c>
      <c r="H113" s="29" t="str">
        <f>K25</f>
        <v>-</v>
      </c>
      <c r="I113" s="50">
        <f t="shared" si="10"/>
        <v>9.6868884540117435</v>
      </c>
      <c r="J113" s="31" t="e">
        <f t="shared" si="11"/>
        <v>#VALUE!</v>
      </c>
      <c r="K113" s="77">
        <v>0.05</v>
      </c>
    </row>
    <row r="114" spans="7:11" ht="16.2" thickBot="1" x14ac:dyDescent="0.35">
      <c r="G114" s="72" t="s">
        <v>130</v>
      </c>
      <c r="H114" s="29">
        <f>P25</f>
        <v>4.2999999999999997E-2</v>
      </c>
      <c r="I114" s="50">
        <f t="shared" si="10"/>
        <v>0.29485714285714287</v>
      </c>
      <c r="J114" s="31">
        <f t="shared" si="11"/>
        <v>4.7219724620015856E-2</v>
      </c>
      <c r="K114" s="77">
        <v>0.06</v>
      </c>
    </row>
    <row r="115" spans="7:11" ht="18.600000000000001" thickBot="1" x14ac:dyDescent="0.35">
      <c r="G115" s="71" t="s">
        <v>131</v>
      </c>
      <c r="H115" s="46">
        <f>O25</f>
        <v>1.8E-7</v>
      </c>
      <c r="I115" s="50">
        <f t="shared" si="10"/>
        <v>1.2342857142857142E-6</v>
      </c>
      <c r="J115" s="68">
        <f t="shared" si="11"/>
        <v>1.9766396352564775E-7</v>
      </c>
      <c r="K115" s="78">
        <f>1/10^6</f>
        <v>9.9999999999999995E-7</v>
      </c>
    </row>
  </sheetData>
  <mergeCells count="62">
    <mergeCell ref="F37:F38"/>
    <mergeCell ref="F39:F40"/>
    <mergeCell ref="J39:J40"/>
    <mergeCell ref="K39:K40"/>
    <mergeCell ref="F41:F42"/>
    <mergeCell ref="J41:J42"/>
    <mergeCell ref="K41:K42"/>
    <mergeCell ref="F43:F44"/>
    <mergeCell ref="J43:J44"/>
    <mergeCell ref="K43:K44"/>
    <mergeCell ref="F45:F46"/>
    <mergeCell ref="J45:J46"/>
    <mergeCell ref="K45:K46"/>
    <mergeCell ref="G64:G67"/>
    <mergeCell ref="F47:F48"/>
    <mergeCell ref="J47:J48"/>
    <mergeCell ref="F49:F50"/>
    <mergeCell ref="I64:J64"/>
    <mergeCell ref="I65:J65"/>
    <mergeCell ref="I66:J66"/>
    <mergeCell ref="H71:H73"/>
    <mergeCell ref="I71:I73"/>
    <mergeCell ref="J71:J73"/>
    <mergeCell ref="H74:H76"/>
    <mergeCell ref="I74:I76"/>
    <mergeCell ref="J74:J76"/>
    <mergeCell ref="H78:H80"/>
    <mergeCell ref="I78:I80"/>
    <mergeCell ref="J78:J80"/>
    <mergeCell ref="H81:H83"/>
    <mergeCell ref="I81:I83"/>
    <mergeCell ref="J81:J83"/>
    <mergeCell ref="F33:F34"/>
    <mergeCell ref="J33:J34"/>
    <mergeCell ref="K33:K34"/>
    <mergeCell ref="F35:F36"/>
    <mergeCell ref="J35:J36"/>
    <mergeCell ref="K35:K36"/>
    <mergeCell ref="H31:H32"/>
    <mergeCell ref="I31:I32"/>
    <mergeCell ref="J31:K31"/>
    <mergeCell ref="J49:J50"/>
    <mergeCell ref="J37:J38"/>
    <mergeCell ref="K47:K48"/>
    <mergeCell ref="K49:K50"/>
    <mergeCell ref="K37:K38"/>
    <mergeCell ref="H104:H106"/>
    <mergeCell ref="J104:J106"/>
    <mergeCell ref="K104:K106"/>
    <mergeCell ref="G10:G11"/>
    <mergeCell ref="H10:M10"/>
    <mergeCell ref="H23:P23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F31:G3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2D00-5DB8-4A31-A496-F2C39E600400}">
  <dimension ref="A1:K15"/>
  <sheetViews>
    <sheetView zoomScale="74" workbookViewId="0">
      <selection activeCell="G18" sqref="G18"/>
    </sheetView>
  </sheetViews>
  <sheetFormatPr defaultColWidth="9.109375" defaultRowHeight="14.4" x14ac:dyDescent="0.3"/>
  <cols>
    <col min="1" max="1" width="11.6640625" style="13" customWidth="1"/>
    <col min="2" max="2" width="11.5546875" style="13" bestFit="1" customWidth="1"/>
    <col min="3" max="3" width="10.109375" style="13" bestFit="1" customWidth="1"/>
    <col min="4" max="4" width="13.109375" style="13" bestFit="1" customWidth="1"/>
    <col min="5" max="5" width="9.33203125" style="13" bestFit="1" customWidth="1"/>
    <col min="6" max="6" width="13.33203125" style="13" bestFit="1" customWidth="1"/>
    <col min="7" max="16384" width="9.109375" style="13"/>
  </cols>
  <sheetData>
    <row r="1" spans="1:11" ht="18" thickBot="1" x14ac:dyDescent="0.35">
      <c r="A1" s="10" t="s">
        <v>210</v>
      </c>
      <c r="B1" s="11" t="s">
        <v>215</v>
      </c>
      <c r="C1" s="12" t="s">
        <v>211</v>
      </c>
      <c r="D1" s="12" t="s">
        <v>212</v>
      </c>
      <c r="E1" s="12" t="s">
        <v>213</v>
      </c>
      <c r="F1" s="11" t="s">
        <v>216</v>
      </c>
      <c r="H1" s="25"/>
    </row>
    <row r="2" spans="1:11" ht="16.2" thickBot="1" x14ac:dyDescent="0.35">
      <c r="A2" s="14" t="s">
        <v>110</v>
      </c>
      <c r="B2" s="15">
        <f>Лист2!J33/1000000</f>
        <v>2.6175104999999999</v>
      </c>
      <c r="C2" s="15">
        <f>Лист2!J71</f>
        <v>3</v>
      </c>
      <c r="D2" s="15">
        <f>1/C2</f>
        <v>0.33333333333333331</v>
      </c>
      <c r="E2" s="15">
        <v>0.5</v>
      </c>
      <c r="F2" s="15">
        <f>B2*E2*D2</f>
        <v>0.43625174999999994</v>
      </c>
      <c r="G2" s="16"/>
    </row>
    <row r="3" spans="1:11" ht="18.600000000000001" thickBot="1" x14ac:dyDescent="0.35">
      <c r="A3" s="14" t="s">
        <v>217</v>
      </c>
      <c r="B3" s="15">
        <f>Лист2!J35/1000000</f>
        <v>1.05132E-2</v>
      </c>
      <c r="C3" s="15">
        <f>Лист2!J78</f>
        <v>0.05</v>
      </c>
      <c r="D3" s="15">
        <f t="shared" ref="D3:D10" si="0">1/C3</f>
        <v>20</v>
      </c>
      <c r="E3" s="15">
        <v>1</v>
      </c>
      <c r="F3" s="15">
        <f t="shared" ref="F3:F10" si="1">B3*E3*D3</f>
        <v>0.21026400000000001</v>
      </c>
    </row>
    <row r="4" spans="1:11" ht="18.600000000000001" thickBot="1" x14ac:dyDescent="0.4">
      <c r="A4" s="14" t="s">
        <v>218</v>
      </c>
      <c r="B4" s="15">
        <f>Лист2!J37/1000000</f>
        <v>0.1262028</v>
      </c>
      <c r="C4" s="15">
        <f>Лист2!J68</f>
        <v>0.04</v>
      </c>
      <c r="D4" s="15">
        <f t="shared" si="0"/>
        <v>25</v>
      </c>
      <c r="E4" s="15">
        <v>1</v>
      </c>
      <c r="F4" s="15">
        <f t="shared" si="1"/>
        <v>3.1550700000000003</v>
      </c>
      <c r="K4" s="9"/>
    </row>
    <row r="5" spans="1:11" ht="16.2" thickBot="1" x14ac:dyDescent="0.35">
      <c r="A5" s="14" t="s">
        <v>127</v>
      </c>
      <c r="B5" s="15">
        <f>Лист2!J39/1000000</f>
        <v>4.6378500000000007E-3</v>
      </c>
      <c r="C5" s="15">
        <f>Лист2!J70</f>
        <v>2.9999999999999997E-4</v>
      </c>
      <c r="D5" s="15">
        <f t="shared" si="0"/>
        <v>3333.3333333333335</v>
      </c>
      <c r="E5" s="15">
        <v>4</v>
      </c>
      <c r="F5" s="15">
        <f t="shared" si="1"/>
        <v>61.838000000000008</v>
      </c>
    </row>
    <row r="6" spans="1:11" ht="18.600000000000001" thickBot="1" x14ac:dyDescent="0.35">
      <c r="A6" s="14" t="s">
        <v>219</v>
      </c>
      <c r="B6" s="15">
        <f>Лист2!J41</f>
        <v>0</v>
      </c>
      <c r="C6" s="15">
        <f>Лист2!J84</f>
        <v>0.15</v>
      </c>
      <c r="D6" s="15">
        <f t="shared" si="0"/>
        <v>6.666666666666667</v>
      </c>
      <c r="E6" s="15">
        <v>0.5</v>
      </c>
      <c r="F6" s="15">
        <f t="shared" si="1"/>
        <v>0</v>
      </c>
    </row>
    <row r="7" spans="1:11" ht="18.600000000000001" thickBot="1" x14ac:dyDescent="0.35">
      <c r="A7" s="14" t="s">
        <v>220</v>
      </c>
      <c r="B7" s="15">
        <f>Лист2!J43/1000000</f>
        <v>0.23052300000000001</v>
      </c>
      <c r="C7" s="15">
        <f>Лист2!J74</f>
        <v>5.0000000000000001E-3</v>
      </c>
      <c r="D7" s="15">
        <f t="shared" si="0"/>
        <v>200</v>
      </c>
      <c r="E7" s="15">
        <v>2.5</v>
      </c>
      <c r="F7" s="15">
        <f t="shared" si="1"/>
        <v>115.2615</v>
      </c>
    </row>
    <row r="8" spans="1:11" ht="16.2" thickBot="1" x14ac:dyDescent="0.35">
      <c r="A8" s="14" t="s">
        <v>129</v>
      </c>
      <c r="B8" s="15">
        <f>Лист2!J45/1000000</f>
        <v>1.2375000000000001E-2</v>
      </c>
      <c r="C8" s="15">
        <f>Лист2!J69</f>
        <v>0.05</v>
      </c>
      <c r="D8" s="15">
        <f t="shared" si="0"/>
        <v>20</v>
      </c>
      <c r="E8" s="15">
        <v>2.5</v>
      </c>
      <c r="F8" s="15">
        <f t="shared" si="1"/>
        <v>0.61875000000000002</v>
      </c>
    </row>
    <row r="9" spans="1:11" ht="16.2" thickBot="1" x14ac:dyDescent="0.35">
      <c r="A9" s="14" t="s">
        <v>130</v>
      </c>
      <c r="B9" s="15">
        <f>Лист2!J47/1000000</f>
        <v>3.7668000000000001E-4</v>
      </c>
      <c r="C9" s="15">
        <f>Лист2!J85</f>
        <v>0.06</v>
      </c>
      <c r="D9" s="15">
        <f t="shared" si="0"/>
        <v>16.666666666666668</v>
      </c>
      <c r="E9" s="15">
        <v>1</v>
      </c>
      <c r="F9" s="15">
        <f t="shared" si="1"/>
        <v>6.2780000000000006E-3</v>
      </c>
    </row>
    <row r="10" spans="1:11" ht="18.600000000000001" thickBot="1" x14ac:dyDescent="0.35">
      <c r="A10" s="17" t="s">
        <v>221</v>
      </c>
      <c r="B10" s="18">
        <f>Лист2!J49/1000000</f>
        <v>1.5768E-9</v>
      </c>
      <c r="C10" s="19">
        <f>Лист2!J81</f>
        <v>9.9999999999999995E-7</v>
      </c>
      <c r="D10" s="18">
        <f t="shared" si="0"/>
        <v>1000000</v>
      </c>
      <c r="E10" s="20">
        <v>2.5</v>
      </c>
      <c r="F10" s="15">
        <f t="shared" si="1"/>
        <v>3.9420000000000002E-3</v>
      </c>
    </row>
    <row r="11" spans="1:11" ht="18.600000000000001" thickBot="1" x14ac:dyDescent="0.35">
      <c r="A11" s="21" t="s">
        <v>214</v>
      </c>
      <c r="B11" s="22"/>
      <c r="C11" s="22"/>
      <c r="D11" s="22"/>
      <c r="E11" s="23"/>
      <c r="F11" s="24">
        <f>SUM(F2:F10)</f>
        <v>181.53005575</v>
      </c>
    </row>
    <row r="13" spans="1:11" ht="18" x14ac:dyDescent="0.35">
      <c r="A13" s="8" t="s">
        <v>224</v>
      </c>
      <c r="B13" s="13">
        <v>2.4</v>
      </c>
      <c r="C13" s="13" t="s">
        <v>225</v>
      </c>
    </row>
    <row r="14" spans="1:11" ht="18" x14ac:dyDescent="0.35">
      <c r="A14" s="8" t="s">
        <v>226</v>
      </c>
      <c r="B14" s="13">
        <v>1.68</v>
      </c>
    </row>
    <row r="15" spans="1:11" ht="20.399999999999999" x14ac:dyDescent="0.45">
      <c r="A15" s="8" t="s">
        <v>222</v>
      </c>
      <c r="B15" s="13">
        <f>B13*B14*F11</f>
        <v>731.92918478399997</v>
      </c>
      <c r="C15" s="13" t="s">
        <v>223</v>
      </c>
      <c r="E15" s="4" t="s">
        <v>59</v>
      </c>
      <c r="F15" s="120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Лист2!_Hlk153478266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Пузынин</dc:creator>
  <cp:lastModifiedBy>luvidmi</cp:lastModifiedBy>
  <dcterms:created xsi:type="dcterms:W3CDTF">2015-06-05T18:19:34Z</dcterms:created>
  <dcterms:modified xsi:type="dcterms:W3CDTF">2025-04-15T02:36:08Z</dcterms:modified>
</cp:coreProperties>
</file>