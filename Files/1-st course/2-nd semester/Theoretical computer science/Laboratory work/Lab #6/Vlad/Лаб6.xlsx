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biat\Desktop\уник\ти\"/>
    </mc:Choice>
  </mc:AlternateContent>
  <bookViews>
    <workbookView xWindow="0" yWindow="0" windowWidth="21570" windowHeight="7485" activeTab="3"/>
  </bookViews>
  <sheets>
    <sheet name="Моя семья" sheetId="1" r:id="rId1"/>
    <sheet name="Даты" sheetId="2" r:id="rId2"/>
    <sheet name="Дни Рождения" sheetId="3" r:id="rId3"/>
    <sheet name="Электронная почта" sheetId="4" r:id="rId4"/>
    <sheet name="Следующий День Рождения" sheetId="5" r:id="rId5"/>
    <sheet name="ДЗ" sheetId="6" r:id="rId6"/>
  </sheets>
  <calcPr calcId="162913"/>
</workbook>
</file>

<file path=xl/calcChain.xml><?xml version="1.0" encoding="utf-8"?>
<calcChain xmlns="http://schemas.openxmlformats.org/spreadsheetml/2006/main">
  <c r="U3" i="6" l="1"/>
  <c r="U2" i="6"/>
  <c r="P21" i="6"/>
  <c r="P22" i="6"/>
  <c r="P20" i="6"/>
  <c r="L21" i="6"/>
  <c r="M21" i="6"/>
  <c r="N21" i="6"/>
  <c r="L22" i="6"/>
  <c r="M22" i="6"/>
  <c r="N22" i="6"/>
  <c r="M20" i="6"/>
  <c r="N20" i="6"/>
  <c r="L20" i="6"/>
  <c r="O21" i="6"/>
  <c r="O22" i="6"/>
  <c r="O20" i="6"/>
  <c r="N8" i="6"/>
  <c r="O6" i="6"/>
  <c r="O7" i="6"/>
  <c r="O8" i="6"/>
  <c r="N5" i="6"/>
  <c r="O5" i="6"/>
  <c r="M6" i="6"/>
  <c r="M7" i="6"/>
  <c r="M8" i="6"/>
  <c r="M5" i="6"/>
  <c r="H15" i="6"/>
  <c r="N6" i="6" s="1"/>
  <c r="I15" i="6"/>
  <c r="G15" i="6"/>
  <c r="J3" i="6"/>
  <c r="J4" i="6"/>
  <c r="J5" i="6"/>
  <c r="J6" i="6"/>
  <c r="J7" i="6"/>
  <c r="J8" i="6"/>
  <c r="J9" i="6"/>
  <c r="J10" i="6"/>
  <c r="J11" i="6"/>
  <c r="J12" i="6"/>
  <c r="J13" i="6"/>
  <c r="J14" i="6"/>
  <c r="J2" i="6"/>
  <c r="J15" i="6" s="1"/>
  <c r="E3" i="6"/>
  <c r="E4" i="6"/>
  <c r="E5" i="6"/>
  <c r="E6" i="6"/>
  <c r="E7" i="6"/>
  <c r="E8" i="6"/>
  <c r="E9" i="6"/>
  <c r="E10" i="6"/>
  <c r="E11" i="6"/>
  <c r="E12" i="6"/>
  <c r="E13" i="6"/>
  <c r="E14" i="6"/>
  <c r="E2" i="6"/>
  <c r="B4" i="5"/>
  <c r="C4" i="5" s="1"/>
  <c r="B5" i="5"/>
  <c r="C5" i="5" s="1"/>
  <c r="B6" i="5"/>
  <c r="C6" i="5" s="1"/>
  <c r="B7" i="5"/>
  <c r="C7" i="5" s="1"/>
  <c r="B3" i="5"/>
  <c r="C3" i="5" s="1"/>
  <c r="F4" i="4"/>
  <c r="F5" i="4"/>
  <c r="F6" i="4"/>
  <c r="F7" i="4"/>
  <c r="F3" i="4"/>
  <c r="E4" i="3"/>
  <c r="E5" i="3"/>
  <c r="E6" i="3"/>
  <c r="E7" i="3"/>
  <c r="E3" i="3"/>
  <c r="D4" i="3"/>
  <c r="D5" i="3"/>
  <c r="D6" i="3"/>
  <c r="D7" i="3"/>
  <c r="D3" i="3"/>
  <c r="C4" i="3"/>
  <c r="C5" i="3"/>
  <c r="C6" i="3"/>
  <c r="C7" i="3"/>
  <c r="C3" i="3"/>
  <c r="B4" i="3"/>
  <c r="B5" i="3"/>
  <c r="B6" i="3"/>
  <c r="B7" i="3"/>
  <c r="B3" i="3"/>
  <c r="C4" i="2"/>
  <c r="C5" i="2"/>
  <c r="C6" i="2"/>
  <c r="C7" i="2"/>
  <c r="C3" i="2"/>
  <c r="B4" i="2"/>
  <c r="B5" i="2"/>
  <c r="B6" i="2"/>
  <c r="B7" i="2"/>
  <c r="B3" i="2"/>
  <c r="N7" i="6" l="1"/>
  <c r="D7" i="5"/>
  <c r="E7" i="5" s="1"/>
  <c r="F7" i="5" s="1"/>
  <c r="D6" i="5"/>
  <c r="E6" i="5" s="1"/>
  <c r="F6" i="5" s="1"/>
  <c r="D5" i="5"/>
  <c r="E5" i="5" s="1"/>
  <c r="F5" i="5" s="1"/>
  <c r="D4" i="5"/>
  <c r="E4" i="5" s="1"/>
  <c r="F4" i="5" s="1"/>
  <c r="D3" i="5"/>
  <c r="E3" i="5" s="1"/>
  <c r="F3" i="5" s="1"/>
</calcChain>
</file>

<file path=xl/sharedStrings.xml><?xml version="1.0" encoding="utf-8"?>
<sst xmlns="http://schemas.openxmlformats.org/spreadsheetml/2006/main" count="159" uniqueCount="103">
  <si>
    <t>Фамилия</t>
  </si>
  <si>
    <t>Имя</t>
  </si>
  <si>
    <t>Отчество</t>
  </si>
  <si>
    <t>Число</t>
  </si>
  <si>
    <t>Месяц</t>
  </si>
  <si>
    <t>Год рождения</t>
  </si>
  <si>
    <t>я</t>
  </si>
  <si>
    <t>Николаева</t>
  </si>
  <si>
    <t>Анна</t>
  </si>
  <si>
    <t>Дмитриевна</t>
  </si>
  <si>
    <t>мама</t>
  </si>
  <si>
    <t>Екатерина</t>
  </si>
  <si>
    <t>Александровна</t>
  </si>
  <si>
    <t>папа</t>
  </si>
  <si>
    <t>Николаев</t>
  </si>
  <si>
    <t>Дмитрий</t>
  </si>
  <si>
    <t>Михайлович</t>
  </si>
  <si>
    <t>брат</t>
  </si>
  <si>
    <t>Алексей</t>
  </si>
  <si>
    <t>Дмитриевич</t>
  </si>
  <si>
    <t>сестра</t>
  </si>
  <si>
    <t>Елена</t>
  </si>
  <si>
    <t>ФИО</t>
  </si>
  <si>
    <t>Дата рождения</t>
  </si>
  <si>
    <t>Николаева Анна Дмитриевна</t>
  </si>
  <si>
    <t>Николаева Екатерина Александровна</t>
  </si>
  <si>
    <t>Николаев Дмитрий Михайлович</t>
  </si>
  <si>
    <t>Николаев Алексей Дмитриевич</t>
  </si>
  <si>
    <t>Николаева Елена Дмитриевна</t>
  </si>
  <si>
    <t>День недели</t>
  </si>
  <si>
    <t>Название дня недели</t>
  </si>
  <si>
    <t>Сколько дней прошло с Дня Рождения</t>
  </si>
  <si>
    <t>Фамилия с инициалами</t>
  </si>
  <si>
    <t>Адрес электронной почты</t>
  </si>
  <si>
    <t>mailto:anna_nikolaeva@starnet.ru</t>
  </si>
  <si>
    <t>mailto:nikolaeva1980@mail.ru</t>
  </si>
  <si>
    <t>mailto:dm_nikolaev@econ.msu.ru</t>
  </si>
  <si>
    <t>mailto:10062005@gmail.ru</t>
  </si>
  <si>
    <t>Текущий год</t>
  </si>
  <si>
    <t>Новый год</t>
  </si>
  <si>
    <t>День Рождения в этом году</t>
  </si>
  <si>
    <t>Следующий День Рождения</t>
  </si>
  <si>
    <t>Сколько дней до следующего Дня Рождения</t>
  </si>
  <si>
    <t>Моя семья</t>
  </si>
  <si>
    <t>Даты</t>
  </si>
  <si>
    <t>Дни Рождения</t>
  </si>
  <si>
    <t>Электронная почта</t>
  </si>
  <si>
    <t>№ п/п</t>
  </si>
  <si>
    <t>Фамилия, инициалы</t>
  </si>
  <si>
    <t>№ акад. группы</t>
  </si>
  <si>
    <t>Бух. учет</t>
  </si>
  <si>
    <t>Матем. анализ</t>
  </si>
  <si>
    <t>Средний балл</t>
  </si>
  <si>
    <t>Булахова</t>
  </si>
  <si>
    <t>Михайловна</t>
  </si>
  <si>
    <t>Галкина</t>
  </si>
  <si>
    <t>Дарья</t>
  </si>
  <si>
    <t>Сергеевна</t>
  </si>
  <si>
    <t>Коваль</t>
  </si>
  <si>
    <t>Артем</t>
  </si>
  <si>
    <t>Максимович</t>
  </si>
  <si>
    <t>Матчин</t>
  </si>
  <si>
    <t>Сергеевич</t>
  </si>
  <si>
    <t>Морева</t>
  </si>
  <si>
    <t>Полина</t>
  </si>
  <si>
    <t>Максимовна</t>
  </si>
  <si>
    <t>Новак</t>
  </si>
  <si>
    <t>Ольга</t>
  </si>
  <si>
    <t>Алексеевна</t>
  </si>
  <si>
    <t>Новиков</t>
  </si>
  <si>
    <t>Никита</t>
  </si>
  <si>
    <t>Андреевич</t>
  </si>
  <si>
    <t>Пронькина</t>
  </si>
  <si>
    <t>Лидия</t>
  </si>
  <si>
    <t>Викторовна</t>
  </si>
  <si>
    <t>Солянник</t>
  </si>
  <si>
    <t>Генриховна</t>
  </si>
  <si>
    <t>Судьина</t>
  </si>
  <si>
    <t>Антоновна</t>
  </si>
  <si>
    <t>Травкова</t>
  </si>
  <si>
    <t>Алина</t>
  </si>
  <si>
    <t>Васильевна</t>
  </si>
  <si>
    <t>Уралова</t>
  </si>
  <si>
    <t>Нина</t>
  </si>
  <si>
    <t>Ивановна</t>
  </si>
  <si>
    <t>Чубанова</t>
  </si>
  <si>
    <t>Заяна</t>
  </si>
  <si>
    <t>Информ-атика</t>
  </si>
  <si>
    <t>Распределение оценок</t>
  </si>
  <si>
    <t>Инф</t>
  </si>
  <si>
    <t>Бух-Уч</t>
  </si>
  <si>
    <t>Мат-Ан</t>
  </si>
  <si>
    <t>Кол-во "5" =</t>
  </si>
  <si>
    <t>Кол-во "4" =</t>
  </si>
  <si>
    <t>Кол-во "3" =</t>
  </si>
  <si>
    <t>Кол-во "2" =</t>
  </si>
  <si>
    <t>Средние баллы</t>
  </si>
  <si>
    <t>Инфор матика</t>
  </si>
  <si>
    <t>Бух. Учет</t>
  </si>
  <si>
    <t>Матем. Анализ</t>
  </si>
  <si>
    <t>Количество студентов</t>
  </si>
  <si>
    <t>Количество двоечников =</t>
  </si>
  <si>
    <t>Количество отличников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</si>
</sst>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i/>
      <sz val="11"/>
      <color theme="5" tint="-0.49998474074526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3" fillId="0" borderId="1" xfId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" fontId="0" fillId="0" borderId="1" xfId="0" applyNumberFormat="1" applyBorder="1"/>
    <xf numFmtId="0" fontId="4" fillId="6" borderId="1" xfId="0" applyFont="1" applyFill="1" applyBorder="1"/>
    <xf numFmtId="0" fontId="0" fillId="0" borderId="1" xfId="0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2" fontId="0" fillId="6" borderId="1" xfId="0" applyNumberFormat="1" applyFill="1" applyBorder="1" applyAlignment="1">
      <alignment vertical="center" wrapText="1"/>
    </xf>
    <xf numFmtId="0" fontId="0" fillId="6" borderId="1" xfId="0" applyFill="1" applyBorder="1"/>
    <xf numFmtId="0" fontId="0" fillId="8" borderId="1" xfId="0" applyFill="1" applyBorder="1" applyAlignment="1">
      <alignment vertical="center" wrapText="1"/>
    </xf>
    <xf numFmtId="2" fontId="0" fillId="6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dm_nikolaev@econ.msu.ru" TargetMode="External"/><Relationship Id="rId2" Type="http://schemas.openxmlformats.org/officeDocument/2006/relationships/hyperlink" Target="mailto:nikolaeva1980@mail.ru" TargetMode="External"/><Relationship Id="rId1" Type="http://schemas.openxmlformats.org/officeDocument/2006/relationships/hyperlink" Target="mailto:anna_nikolaeva@starnet.r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0062005@g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7"/>
  <sheetViews>
    <sheetView workbookViewId="0">
      <selection activeCell="D9" sqref="D9"/>
    </sheetView>
  </sheetViews>
  <sheetFormatPr defaultRowHeight="15" x14ac:dyDescent="0.25"/>
  <cols>
    <col min="1" max="1" width="6.7109375" bestFit="1" customWidth="1"/>
    <col min="2" max="2" width="10.5703125" bestFit="1" customWidth="1"/>
    <col min="3" max="3" width="10.140625" bestFit="1" customWidth="1"/>
    <col min="4" max="4" width="14.85546875" bestFit="1" customWidth="1"/>
    <col min="5" max="5" width="6.85546875" bestFit="1" customWidth="1"/>
    <col min="6" max="6" width="7.28515625" bestFit="1" customWidth="1"/>
    <col min="7" max="7" width="14.5703125" bestFit="1" customWidth="1"/>
  </cols>
  <sheetData>
    <row r="1" spans="1:7" x14ac:dyDescent="0.25">
      <c r="A1" s="21" t="s">
        <v>43</v>
      </c>
      <c r="B1" s="21"/>
      <c r="C1" s="21"/>
      <c r="D1" s="21"/>
      <c r="E1" s="21"/>
      <c r="F1" s="21"/>
      <c r="G1" s="21"/>
    </row>
    <row r="2" spans="1:7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x14ac:dyDescent="0.25">
      <c r="A3" s="1" t="s">
        <v>6</v>
      </c>
      <c r="B3" s="2" t="s">
        <v>7</v>
      </c>
      <c r="C3" s="2" t="s">
        <v>8</v>
      </c>
      <c r="D3" s="2" t="s">
        <v>9</v>
      </c>
      <c r="E3" s="2">
        <v>6</v>
      </c>
      <c r="F3" s="2">
        <v>12</v>
      </c>
      <c r="G3" s="2">
        <v>2001</v>
      </c>
    </row>
    <row r="4" spans="1:7" x14ac:dyDescent="0.25">
      <c r="A4" s="1" t="s">
        <v>10</v>
      </c>
      <c r="B4" s="2" t="s">
        <v>7</v>
      </c>
      <c r="C4" s="2" t="s">
        <v>11</v>
      </c>
      <c r="D4" s="2" t="s">
        <v>12</v>
      </c>
      <c r="E4" s="2">
        <v>10</v>
      </c>
      <c r="F4" s="2">
        <v>7</v>
      </c>
      <c r="G4" s="2">
        <v>1980</v>
      </c>
    </row>
    <row r="5" spans="1:7" x14ac:dyDescent="0.25">
      <c r="A5" s="1" t="s">
        <v>13</v>
      </c>
      <c r="B5" s="2" t="s">
        <v>14</v>
      </c>
      <c r="C5" s="2" t="s">
        <v>15</v>
      </c>
      <c r="D5" s="2" t="s">
        <v>16</v>
      </c>
      <c r="E5" s="2">
        <v>2</v>
      </c>
      <c r="F5" s="2">
        <v>4</v>
      </c>
      <c r="G5" s="2">
        <v>1977</v>
      </c>
    </row>
    <row r="6" spans="1:7" x14ac:dyDescent="0.25">
      <c r="A6" s="1" t="s">
        <v>17</v>
      </c>
      <c r="B6" s="2" t="s">
        <v>14</v>
      </c>
      <c r="C6" s="2" t="s">
        <v>18</v>
      </c>
      <c r="D6" s="2" t="s">
        <v>19</v>
      </c>
      <c r="E6" s="2">
        <v>10</v>
      </c>
      <c r="F6" s="2">
        <v>6</v>
      </c>
      <c r="G6" s="2">
        <v>2005</v>
      </c>
    </row>
    <row r="7" spans="1:7" x14ac:dyDescent="0.25">
      <c r="A7" s="1" t="s">
        <v>20</v>
      </c>
      <c r="B7" s="2" t="s">
        <v>7</v>
      </c>
      <c r="C7" s="2" t="s">
        <v>21</v>
      </c>
      <c r="D7" s="2" t="s">
        <v>9</v>
      </c>
      <c r="E7" s="2">
        <v>30</v>
      </c>
      <c r="F7" s="2">
        <v>10</v>
      </c>
      <c r="G7" s="2">
        <v>2010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7"/>
  <sheetViews>
    <sheetView workbookViewId="0">
      <selection activeCell="B34" sqref="B34"/>
    </sheetView>
  </sheetViews>
  <sheetFormatPr defaultRowHeight="15" x14ac:dyDescent="0.25"/>
  <cols>
    <col min="1" max="1" width="6.7109375" bestFit="1" customWidth="1"/>
    <col min="2" max="2" width="35.140625" bestFit="1" customWidth="1"/>
    <col min="3" max="3" width="16.5703125" bestFit="1" customWidth="1"/>
  </cols>
  <sheetData>
    <row r="1" spans="1:3" x14ac:dyDescent="0.25">
      <c r="A1" s="21" t="s">
        <v>44</v>
      </c>
      <c r="B1" s="21"/>
      <c r="C1" s="21"/>
    </row>
    <row r="2" spans="1:3" x14ac:dyDescent="0.25">
      <c r="A2" s="4"/>
      <c r="B2" s="4" t="s">
        <v>22</v>
      </c>
      <c r="C2" s="4" t="s">
        <v>23</v>
      </c>
    </row>
    <row r="3" spans="1:3" x14ac:dyDescent="0.25">
      <c r="A3" s="1" t="s">
        <v>6</v>
      </c>
      <c r="B3" s="2" t="str">
        <f>CONCATENATE('Моя семья'!B3," ",'Моя семья'!C3," ",'Моя семья'!D3)</f>
        <v>Николаева Анна Дмитриевна</v>
      </c>
      <c r="C3" s="5">
        <f>DATE('Моя семья'!G3,'Моя семья'!F3,'Моя семья'!E3)</f>
        <v>37231</v>
      </c>
    </row>
    <row r="4" spans="1:3" x14ac:dyDescent="0.25">
      <c r="A4" s="1" t="s">
        <v>10</v>
      </c>
      <c r="B4" s="2" t="str">
        <f>CONCATENATE('Моя семья'!B4," ",'Моя семья'!C4," ",'Моя семья'!D4)</f>
        <v>Николаева Екатерина Александровна</v>
      </c>
      <c r="C4" s="5">
        <f>DATE('Моя семья'!G4,'Моя семья'!F4,'Моя семья'!E4)</f>
        <v>29412</v>
      </c>
    </row>
    <row r="5" spans="1:3" x14ac:dyDescent="0.25">
      <c r="A5" s="1" t="s">
        <v>13</v>
      </c>
      <c r="B5" s="2" t="str">
        <f>CONCATENATE('Моя семья'!B5," ",'Моя семья'!C5," ",'Моя семья'!D5)</f>
        <v>Николаев Дмитрий Михайлович</v>
      </c>
      <c r="C5" s="5">
        <f>DATE('Моя семья'!G5,'Моя семья'!F5,'Моя семья'!E5)</f>
        <v>28217</v>
      </c>
    </row>
    <row r="6" spans="1:3" x14ac:dyDescent="0.25">
      <c r="A6" s="1" t="s">
        <v>17</v>
      </c>
      <c r="B6" s="2" t="str">
        <f>CONCATENATE('Моя семья'!B6," ",'Моя семья'!C6," ",'Моя семья'!D6)</f>
        <v>Николаев Алексей Дмитриевич</v>
      </c>
      <c r="C6" s="5">
        <f>DATE('Моя семья'!G6,'Моя семья'!F6,'Моя семья'!E6)</f>
        <v>38513</v>
      </c>
    </row>
    <row r="7" spans="1:3" x14ac:dyDescent="0.25">
      <c r="A7" s="1" t="s">
        <v>20</v>
      </c>
      <c r="B7" s="2" t="str">
        <f>CONCATENATE('Моя семья'!B7," ",'Моя семья'!C7," ",'Моя семья'!D7)</f>
        <v>Николаева Елена Дмитриевна</v>
      </c>
      <c r="C7" s="5">
        <f>DATE('Моя семья'!G7,'Моя семья'!F7,'Моя семья'!E7)</f>
        <v>40481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"/>
  <sheetViews>
    <sheetView workbookViewId="0">
      <selection activeCell="D20" sqref="D20"/>
    </sheetView>
  </sheetViews>
  <sheetFormatPr defaultRowHeight="15" x14ac:dyDescent="0.25"/>
  <cols>
    <col min="1" max="1" width="6.7109375" bestFit="1" customWidth="1"/>
    <col min="2" max="2" width="16.5703125" bestFit="1" customWidth="1"/>
    <col min="3" max="3" width="12.85546875" bestFit="1" customWidth="1"/>
    <col min="4" max="4" width="20.85546875" bestFit="1" customWidth="1"/>
    <col min="5" max="5" width="36.7109375" bestFit="1" customWidth="1"/>
  </cols>
  <sheetData>
    <row r="1" spans="1:5" x14ac:dyDescent="0.25">
      <c r="A1" s="21" t="s">
        <v>45</v>
      </c>
      <c r="B1" s="21"/>
      <c r="C1" s="21"/>
      <c r="D1" s="21"/>
      <c r="E1" s="21"/>
    </row>
    <row r="2" spans="1:5" x14ac:dyDescent="0.25">
      <c r="A2" s="7"/>
      <c r="B2" s="8" t="s">
        <v>23</v>
      </c>
      <c r="C2" s="8" t="s">
        <v>29</v>
      </c>
      <c r="D2" s="8" t="s">
        <v>30</v>
      </c>
      <c r="E2" s="8" t="s">
        <v>31</v>
      </c>
    </row>
    <row r="3" spans="1:5" x14ac:dyDescent="0.25">
      <c r="A3" s="1" t="s">
        <v>6</v>
      </c>
      <c r="B3" s="5">
        <f>DATE('Моя семья'!G3,'Моя семья'!F3,'Моя семья'!E3)</f>
        <v>37231</v>
      </c>
      <c r="C3" s="2">
        <f>WEEKDAY(B3,2)</f>
        <v>4</v>
      </c>
      <c r="D3" s="2" t="str">
        <f>CHOOSE(C3,"Понедельник","Вторник","Среда","Четверг", "Пятница","Суббота","Воскресенье")</f>
        <v>Четверг</v>
      </c>
      <c r="E3" s="9">
        <f ca="1">TODAY()-B3</f>
        <v>8538</v>
      </c>
    </row>
    <row r="4" spans="1:5" x14ac:dyDescent="0.25">
      <c r="A4" s="1" t="s">
        <v>10</v>
      </c>
      <c r="B4" s="5">
        <f>DATE('Моя семья'!G4,'Моя семья'!F4,'Моя семья'!E4)</f>
        <v>29412</v>
      </c>
      <c r="C4" s="2">
        <f t="shared" ref="C4:C7" si="0">WEEKDAY(B4,2)</f>
        <v>4</v>
      </c>
      <c r="D4" s="2" t="str">
        <f t="shared" ref="D4:D7" si="1">CHOOSE(C4,"Понедельник","Вторник","Среда","Четверг", "Пятница","Суббота","Воскресенье")</f>
        <v>Четверг</v>
      </c>
      <c r="E4" s="9">
        <f t="shared" ref="E4:E7" ca="1" si="2">TODAY()-B4</f>
        <v>16357</v>
      </c>
    </row>
    <row r="5" spans="1:5" x14ac:dyDescent="0.25">
      <c r="A5" s="1" t="s">
        <v>13</v>
      </c>
      <c r="B5" s="5">
        <f>DATE('Моя семья'!G5,'Моя семья'!F5,'Моя семья'!E5)</f>
        <v>28217</v>
      </c>
      <c r="C5" s="2">
        <f t="shared" si="0"/>
        <v>6</v>
      </c>
      <c r="D5" s="2" t="str">
        <f t="shared" si="1"/>
        <v>Суббота</v>
      </c>
      <c r="E5" s="9">
        <f t="shared" ca="1" si="2"/>
        <v>17552</v>
      </c>
    </row>
    <row r="6" spans="1:5" x14ac:dyDescent="0.25">
      <c r="A6" s="1" t="s">
        <v>17</v>
      </c>
      <c r="B6" s="5">
        <f>DATE('Моя семья'!G6,'Моя семья'!F6,'Моя семья'!E6)</f>
        <v>38513</v>
      </c>
      <c r="C6" s="2">
        <f t="shared" si="0"/>
        <v>5</v>
      </c>
      <c r="D6" s="2" t="str">
        <f t="shared" si="1"/>
        <v>Пятница</v>
      </c>
      <c r="E6" s="9">
        <f t="shared" ca="1" si="2"/>
        <v>7256</v>
      </c>
    </row>
    <row r="7" spans="1:5" x14ac:dyDescent="0.25">
      <c r="A7" s="1" t="s">
        <v>20</v>
      </c>
      <c r="B7" s="5">
        <f>DATE('Моя семья'!G7,'Моя семья'!F7,'Моя семья'!E7)</f>
        <v>40481</v>
      </c>
      <c r="C7" s="2">
        <f t="shared" si="0"/>
        <v>6</v>
      </c>
      <c r="D7" s="2" t="str">
        <f t="shared" si="1"/>
        <v>Суббота</v>
      </c>
      <c r="E7" s="9">
        <f t="shared" ca="1" si="2"/>
        <v>5288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G7"/>
  <sheetViews>
    <sheetView tabSelected="1" workbookViewId="0">
      <selection activeCell="C14" sqref="C14"/>
    </sheetView>
  </sheetViews>
  <sheetFormatPr defaultRowHeight="15" x14ac:dyDescent="0.25"/>
  <cols>
    <col min="1" max="1" width="6.7109375" bestFit="1" customWidth="1"/>
    <col min="2" max="2" width="35.140625" bestFit="1" customWidth="1"/>
    <col min="3" max="3" width="10.5703125" bestFit="1" customWidth="1"/>
    <col min="4" max="4" width="10.140625" bestFit="1" customWidth="1"/>
    <col min="5" max="5" width="14.85546875" bestFit="1" customWidth="1"/>
    <col min="6" max="6" width="22.28515625" bestFit="1" customWidth="1"/>
    <col min="7" max="7" width="31.5703125" bestFit="1" customWidth="1"/>
  </cols>
  <sheetData>
    <row r="1" spans="1:7" x14ac:dyDescent="0.25">
      <c r="A1" s="21" t="s">
        <v>46</v>
      </c>
      <c r="B1" s="21"/>
      <c r="C1" s="21"/>
      <c r="D1" s="21"/>
      <c r="E1" s="21"/>
      <c r="F1" s="21"/>
      <c r="G1" s="21"/>
    </row>
    <row r="2" spans="1:7" x14ac:dyDescent="0.25">
      <c r="A2" s="27"/>
      <c r="B2" s="27" t="s">
        <v>22</v>
      </c>
      <c r="C2" s="27" t="s">
        <v>0</v>
      </c>
      <c r="D2" s="27" t="s">
        <v>1</v>
      </c>
      <c r="E2" s="27" t="s">
        <v>2</v>
      </c>
      <c r="F2" s="27" t="s">
        <v>32</v>
      </c>
      <c r="G2" s="27" t="s">
        <v>33</v>
      </c>
    </row>
    <row r="3" spans="1:7" x14ac:dyDescent="0.25">
      <c r="A3" s="1" t="s">
        <v>6</v>
      </c>
      <c r="B3" s="2" t="s">
        <v>24</v>
      </c>
      <c r="C3" s="2" t="s">
        <v>7</v>
      </c>
      <c r="D3" s="2" t="s">
        <v>8</v>
      </c>
      <c r="E3" s="2" t="s">
        <v>9</v>
      </c>
      <c r="F3" s="2" t="str">
        <f>CONCATENATE('Моя семья'!B3, " ",LEFT('Моя семья'!C3,1),".",LEFT('Моя семья'!D3,1),".")</f>
        <v>Николаева А.Д.</v>
      </c>
      <c r="G3" s="6" t="s">
        <v>34</v>
      </c>
    </row>
    <row r="4" spans="1:7" x14ac:dyDescent="0.25">
      <c r="A4" s="1" t="s">
        <v>10</v>
      </c>
      <c r="B4" s="2" t="s">
        <v>25</v>
      </c>
      <c r="C4" s="2" t="s">
        <v>7</v>
      </c>
      <c r="D4" s="2" t="s">
        <v>11</v>
      </c>
      <c r="E4" s="2" t="s">
        <v>12</v>
      </c>
      <c r="F4" s="2" t="str">
        <f>CONCATENATE('Моя семья'!B4, " ",LEFT('Моя семья'!C4,1),".",LEFT('Моя семья'!D4,1),".")</f>
        <v>Николаева Е.А.</v>
      </c>
      <c r="G4" s="6" t="s">
        <v>35</v>
      </c>
    </row>
    <row r="5" spans="1:7" x14ac:dyDescent="0.25">
      <c r="A5" s="1" t="s">
        <v>13</v>
      </c>
      <c r="B5" s="2" t="s">
        <v>26</v>
      </c>
      <c r="C5" s="2" t="s">
        <v>14</v>
      </c>
      <c r="D5" s="2" t="s">
        <v>15</v>
      </c>
      <c r="E5" s="2" t="s">
        <v>16</v>
      </c>
      <c r="F5" s="2" t="str">
        <f>CONCATENATE('Моя семья'!B5, " ",LEFT('Моя семья'!C5,1),".",LEFT('Моя семья'!D5,1),".")</f>
        <v>Николаев Д.М.</v>
      </c>
      <c r="G5" s="6" t="s">
        <v>36</v>
      </c>
    </row>
    <row r="6" spans="1:7" x14ac:dyDescent="0.25">
      <c r="A6" s="1" t="s">
        <v>17</v>
      </c>
      <c r="B6" s="2" t="s">
        <v>27</v>
      </c>
      <c r="C6" s="2" t="s">
        <v>14</v>
      </c>
      <c r="D6" s="2" t="s">
        <v>18</v>
      </c>
      <c r="E6" s="2" t="s">
        <v>19</v>
      </c>
      <c r="F6" s="2" t="str">
        <f>CONCATENATE('Моя семья'!B6, " ",LEFT('Моя семья'!C6,1),".",LEFT('Моя семья'!D6,1),".")</f>
        <v>Николаев А.Д.</v>
      </c>
      <c r="G6" s="6" t="s">
        <v>37</v>
      </c>
    </row>
    <row r="7" spans="1:7" x14ac:dyDescent="0.25">
      <c r="A7" s="1" t="s">
        <v>20</v>
      </c>
      <c r="B7" s="2" t="s">
        <v>28</v>
      </c>
      <c r="C7" s="2" t="s">
        <v>7</v>
      </c>
      <c r="D7" s="2" t="s">
        <v>21</v>
      </c>
      <c r="E7" s="2" t="s">
        <v>9</v>
      </c>
      <c r="F7" s="2" t="str">
        <f>CONCATENATE('Моя семья'!B7, " ",LEFT('Моя семья'!C7,1),".",LEFT('Моя семья'!D7,1),".")</f>
        <v>Николаева Е.Д.</v>
      </c>
      <c r="G7" s="2"/>
    </row>
  </sheetData>
  <mergeCells count="1">
    <mergeCell ref="A1:G1"/>
  </mergeCells>
  <hyperlinks>
    <hyperlink ref="G3" r:id="rId1"/>
    <hyperlink ref="G4" r:id="rId2"/>
    <hyperlink ref="G5" r:id="rId3"/>
    <hyperlink ref="G6" r:id="rId4"/>
  </hyperlinks>
  <pageMargins left="0.75" right="0.75" top="1" bottom="1" header="0.5" footer="0.5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D08E"/>
  </sheetPr>
  <dimension ref="A1:F7"/>
  <sheetViews>
    <sheetView workbookViewId="0">
      <selection activeCell="E18" sqref="E18"/>
    </sheetView>
  </sheetViews>
  <sheetFormatPr defaultRowHeight="15" x14ac:dyDescent="0.25"/>
  <cols>
    <col min="1" max="1" width="6.7109375" bestFit="1" customWidth="1"/>
    <col min="2" max="2" width="12.140625" bestFit="1" customWidth="1"/>
    <col min="3" max="3" width="10.140625" bestFit="1" customWidth="1"/>
    <col min="4" max="4" width="26" bestFit="1" customWidth="1"/>
    <col min="5" max="5" width="26.7109375" bestFit="1" customWidth="1"/>
    <col min="6" max="6" width="41.7109375" bestFit="1" customWidth="1"/>
  </cols>
  <sheetData>
    <row r="1" spans="1:6" x14ac:dyDescent="0.25">
      <c r="A1" s="22" t="s">
        <v>41</v>
      </c>
      <c r="B1" s="22"/>
      <c r="C1" s="22"/>
      <c r="D1" s="22"/>
      <c r="E1" s="22"/>
      <c r="F1" s="22"/>
    </row>
    <row r="2" spans="1:6" x14ac:dyDescent="0.25">
      <c r="A2" s="10"/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</row>
    <row r="3" spans="1:6" x14ac:dyDescent="0.25">
      <c r="A3" s="1" t="s">
        <v>6</v>
      </c>
      <c r="B3" s="2">
        <f ca="1">YEAR(TODAY())</f>
        <v>2025</v>
      </c>
      <c r="C3" s="5">
        <f ca="1">DATE(B3+1,1,1)</f>
        <v>46023</v>
      </c>
      <c r="D3" s="5">
        <f ca="1">DATE(B3,'Моя семья'!F3,'Моя семья'!E3)</f>
        <v>45997</v>
      </c>
      <c r="E3" s="5">
        <f ca="1">IF(D3&gt;=TODAY(),D3,DATE(B3+1,'Моя семья'!F3,'Моя семья'!E3))</f>
        <v>45997</v>
      </c>
      <c r="F3" s="2">
        <f ca="1">E3-TODAY()</f>
        <v>228</v>
      </c>
    </row>
    <row r="4" spans="1:6" x14ac:dyDescent="0.25">
      <c r="A4" s="1" t="s">
        <v>10</v>
      </c>
      <c r="B4" s="2">
        <f t="shared" ref="B4:B7" ca="1" si="0">YEAR(TODAY())</f>
        <v>2025</v>
      </c>
      <c r="C4" s="5">
        <f t="shared" ref="C4:C7" ca="1" si="1">DATE(B4+1,1,1)</f>
        <v>46023</v>
      </c>
      <c r="D4" s="5">
        <f ca="1">DATE(B4,'Моя семья'!F4,'Моя семья'!E4)</f>
        <v>45848</v>
      </c>
      <c r="E4" s="5">
        <f ca="1">IF(D4&gt;=TODAY(),D4,DATE(B4+1,'Моя семья'!F4,'Моя семья'!E4))</f>
        <v>45848</v>
      </c>
      <c r="F4" s="2">
        <f t="shared" ref="F4:F7" ca="1" si="2">E4-TODAY()</f>
        <v>79</v>
      </c>
    </row>
    <row r="5" spans="1:6" x14ac:dyDescent="0.25">
      <c r="A5" s="1" t="s">
        <v>13</v>
      </c>
      <c r="B5" s="2">
        <f t="shared" ca="1" si="0"/>
        <v>2025</v>
      </c>
      <c r="C5" s="5">
        <f t="shared" ca="1" si="1"/>
        <v>46023</v>
      </c>
      <c r="D5" s="5">
        <f ca="1">DATE(B5,'Моя семья'!F5,'Моя семья'!E5)</f>
        <v>45749</v>
      </c>
      <c r="E5" s="5">
        <f ca="1">IF(D5&gt;=TODAY(),D5,DATE(B5+1,'Моя семья'!F5,'Моя семья'!E5))</f>
        <v>46114</v>
      </c>
      <c r="F5" s="2">
        <f t="shared" ca="1" si="2"/>
        <v>345</v>
      </c>
    </row>
    <row r="6" spans="1:6" x14ac:dyDescent="0.25">
      <c r="A6" s="1" t="s">
        <v>17</v>
      </c>
      <c r="B6" s="2">
        <f t="shared" ca="1" si="0"/>
        <v>2025</v>
      </c>
      <c r="C6" s="5">
        <f t="shared" ca="1" si="1"/>
        <v>46023</v>
      </c>
      <c r="D6" s="5">
        <f ca="1">DATE(B6,'Моя семья'!F6,'Моя семья'!E6)</f>
        <v>45818</v>
      </c>
      <c r="E6" s="5">
        <f ca="1">IF(D6&gt;=TODAY(),D6,DATE(B6+1,'Моя семья'!F6,'Моя семья'!E6))</f>
        <v>45818</v>
      </c>
      <c r="F6" s="2">
        <f t="shared" ca="1" si="2"/>
        <v>49</v>
      </c>
    </row>
    <row r="7" spans="1:6" x14ac:dyDescent="0.25">
      <c r="A7" s="1" t="s">
        <v>20</v>
      </c>
      <c r="B7" s="2">
        <f t="shared" ca="1" si="0"/>
        <v>2025</v>
      </c>
      <c r="C7" s="5">
        <f t="shared" ca="1" si="1"/>
        <v>46023</v>
      </c>
      <c r="D7" s="5">
        <f ca="1">DATE(B7,'Моя семья'!F7,'Моя семья'!E7)</f>
        <v>45960</v>
      </c>
      <c r="E7" s="5">
        <f ca="1">IF(D7&gt;=TODAY(),D7,DATE(B7+1,'Моя семья'!F7,'Моя семья'!E7))</f>
        <v>45960</v>
      </c>
      <c r="F7" s="2">
        <f t="shared" ca="1" si="2"/>
        <v>191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U22"/>
  <sheetViews>
    <sheetView topLeftCell="A6" workbookViewId="0">
      <selection activeCell="M32" sqref="M32"/>
    </sheetView>
  </sheetViews>
  <sheetFormatPr defaultRowHeight="15" x14ac:dyDescent="0.25"/>
  <cols>
    <col min="1" max="1" width="3.28515625" bestFit="1" customWidth="1"/>
    <col min="2" max="2" width="10.7109375" customWidth="1"/>
    <col min="3" max="3" width="7.7109375" bestFit="1" customWidth="1"/>
    <col min="4" max="4" width="12.140625" bestFit="1" customWidth="1"/>
    <col min="5" max="5" width="14.7109375" bestFit="1" customWidth="1"/>
    <col min="6" max="6" width="13.5703125" customWidth="1"/>
    <col min="7" max="7" width="8.5703125" bestFit="1" customWidth="1"/>
    <col min="9" max="9" width="7.7109375" bestFit="1" customWidth="1"/>
    <col min="13" max="13" width="6.7109375" customWidth="1"/>
    <col min="14" max="14" width="11.5703125" bestFit="1" customWidth="1"/>
    <col min="15" max="15" width="11.7109375" customWidth="1"/>
    <col min="19" max="19" width="8.85546875" hidden="1" customWidth="1"/>
    <col min="20" max="20" width="24.28515625" bestFit="1" customWidth="1"/>
  </cols>
  <sheetData>
    <row r="1" spans="1:21" ht="45" x14ac:dyDescent="0.25">
      <c r="A1" s="12" t="s">
        <v>47</v>
      </c>
      <c r="B1" s="12" t="s">
        <v>0</v>
      </c>
      <c r="C1" s="12" t="s">
        <v>1</v>
      </c>
      <c r="D1" s="12" t="s">
        <v>2</v>
      </c>
      <c r="E1" s="12" t="s">
        <v>48</v>
      </c>
      <c r="F1" s="12" t="s">
        <v>49</v>
      </c>
      <c r="G1" s="12" t="s">
        <v>87</v>
      </c>
      <c r="H1" s="12" t="s">
        <v>50</v>
      </c>
      <c r="I1" s="12" t="s">
        <v>51</v>
      </c>
      <c r="J1" s="12" t="s">
        <v>52</v>
      </c>
    </row>
    <row r="2" spans="1:21" ht="30" x14ac:dyDescent="0.25">
      <c r="A2" s="11">
        <v>1</v>
      </c>
      <c r="B2" s="11" t="s">
        <v>53</v>
      </c>
      <c r="C2" s="11" t="s">
        <v>21</v>
      </c>
      <c r="D2" s="11" t="s">
        <v>54</v>
      </c>
      <c r="E2" s="13" t="str">
        <f>CONCATENATE(B2," ",LEFT(C2,1),".",LEFT(D2,1),".")</f>
        <v>Булахова Е.М.</v>
      </c>
      <c r="F2" s="16">
        <v>101</v>
      </c>
      <c r="G2" s="11">
        <v>5</v>
      </c>
      <c r="H2" s="11">
        <v>5</v>
      </c>
      <c r="I2" s="11">
        <v>5</v>
      </c>
      <c r="J2" s="14">
        <f>AVERAGE(G2:I2)</f>
        <v>5</v>
      </c>
      <c r="S2">
        <v>101</v>
      </c>
      <c r="T2" s="18" t="s">
        <v>102</v>
      </c>
      <c r="U2" s="15">
        <f>COUNTIF(J2:J14,S5)</f>
        <v>2</v>
      </c>
    </row>
    <row r="3" spans="1:21" x14ac:dyDescent="0.25">
      <c r="A3" s="11">
        <v>2</v>
      </c>
      <c r="B3" s="11" t="s">
        <v>55</v>
      </c>
      <c r="C3" s="11" t="s">
        <v>56</v>
      </c>
      <c r="D3" s="11" t="s">
        <v>57</v>
      </c>
      <c r="E3" s="13" t="str">
        <f t="shared" ref="E3:E14" si="0">CONCATENATE(B3," ",LEFT(C3,1),".",LEFT(D3,1),".")</f>
        <v>Галкина Д.С.</v>
      </c>
      <c r="F3" s="16">
        <v>103</v>
      </c>
      <c r="G3" s="11">
        <v>4</v>
      </c>
      <c r="H3" s="11">
        <v>4</v>
      </c>
      <c r="I3" s="11">
        <v>4</v>
      </c>
      <c r="J3" s="14">
        <f t="shared" ref="J3:J14" si="1">AVERAGE(G3:I3)</f>
        <v>4</v>
      </c>
      <c r="L3" s="23" t="s">
        <v>88</v>
      </c>
      <c r="M3" s="24"/>
      <c r="N3" s="24"/>
      <c r="O3" s="25"/>
      <c r="S3">
        <v>102</v>
      </c>
      <c r="T3" s="18" t="s">
        <v>101</v>
      </c>
      <c r="U3" s="15">
        <f>COUNTIF(J2:J14,S8)</f>
        <v>1</v>
      </c>
    </row>
    <row r="4" spans="1:21" ht="30" x14ac:dyDescent="0.25">
      <c r="A4" s="11">
        <v>3</v>
      </c>
      <c r="B4" s="11" t="s">
        <v>58</v>
      </c>
      <c r="C4" s="11" t="s">
        <v>59</v>
      </c>
      <c r="D4" s="11" t="s">
        <v>60</v>
      </c>
      <c r="E4" s="13" t="str">
        <f t="shared" si="0"/>
        <v>Коваль А.М.</v>
      </c>
      <c r="F4" s="16">
        <v>102</v>
      </c>
      <c r="G4" s="11">
        <v>4</v>
      </c>
      <c r="H4" s="11">
        <v>4</v>
      </c>
      <c r="I4" s="11">
        <v>5</v>
      </c>
      <c r="J4" s="14">
        <f t="shared" si="1"/>
        <v>4.333333333333333</v>
      </c>
      <c r="L4" s="19"/>
      <c r="M4" s="19" t="s">
        <v>89</v>
      </c>
      <c r="N4" s="19" t="s">
        <v>90</v>
      </c>
      <c r="O4" s="19" t="s">
        <v>91</v>
      </c>
      <c r="S4">
        <v>103</v>
      </c>
    </row>
    <row r="5" spans="1:21" x14ac:dyDescent="0.25">
      <c r="A5" s="11">
        <v>4</v>
      </c>
      <c r="B5" s="11" t="s">
        <v>61</v>
      </c>
      <c r="C5" s="11" t="s">
        <v>59</v>
      </c>
      <c r="D5" s="11" t="s">
        <v>62</v>
      </c>
      <c r="E5" s="13" t="str">
        <f t="shared" si="0"/>
        <v>Матчин А.С.</v>
      </c>
      <c r="F5" s="16">
        <v>102</v>
      </c>
      <c r="G5" s="11">
        <v>2</v>
      </c>
      <c r="H5" s="11">
        <v>5</v>
      </c>
      <c r="I5" s="11">
        <v>3</v>
      </c>
      <c r="J5" s="14">
        <f t="shared" si="1"/>
        <v>3.3333333333333335</v>
      </c>
      <c r="L5" s="18" t="s">
        <v>92</v>
      </c>
      <c r="M5" s="15">
        <f t="shared" ref="M5:O8" si="2">COUNTIF(G2:G14,$S5)</f>
        <v>5</v>
      </c>
      <c r="N5" s="15">
        <f t="shared" si="2"/>
        <v>4</v>
      </c>
      <c r="O5" s="15">
        <f t="shared" si="2"/>
        <v>3</v>
      </c>
      <c r="S5">
        <v>5</v>
      </c>
    </row>
    <row r="6" spans="1:21" ht="30" x14ac:dyDescent="0.25">
      <c r="A6" s="11">
        <v>5</v>
      </c>
      <c r="B6" s="11" t="s">
        <v>63</v>
      </c>
      <c r="C6" s="11" t="s">
        <v>64</v>
      </c>
      <c r="D6" s="11" t="s">
        <v>65</v>
      </c>
      <c r="E6" s="13" t="str">
        <f t="shared" si="0"/>
        <v>Морева П.М.</v>
      </c>
      <c r="F6" s="16">
        <v>101</v>
      </c>
      <c r="G6" s="11">
        <v>5</v>
      </c>
      <c r="H6" s="11">
        <v>3</v>
      </c>
      <c r="I6" s="11">
        <v>2</v>
      </c>
      <c r="J6" s="14">
        <f t="shared" si="1"/>
        <v>3.3333333333333335</v>
      </c>
      <c r="L6" s="18" t="s">
        <v>93</v>
      </c>
      <c r="M6" s="15">
        <f t="shared" si="2"/>
        <v>4</v>
      </c>
      <c r="N6" s="15">
        <f t="shared" si="2"/>
        <v>4</v>
      </c>
      <c r="O6" s="15">
        <f t="shared" si="2"/>
        <v>5</v>
      </c>
      <c r="S6">
        <v>4</v>
      </c>
    </row>
    <row r="7" spans="1:21" x14ac:dyDescent="0.25">
      <c r="A7" s="11">
        <v>6</v>
      </c>
      <c r="B7" s="11" t="s">
        <v>66</v>
      </c>
      <c r="C7" s="11" t="s">
        <v>67</v>
      </c>
      <c r="D7" s="11" t="s">
        <v>68</v>
      </c>
      <c r="E7" s="13" t="str">
        <f t="shared" si="0"/>
        <v>Новак О.А.</v>
      </c>
      <c r="F7" s="16">
        <v>103</v>
      </c>
      <c r="G7" s="11">
        <v>5</v>
      </c>
      <c r="H7" s="11">
        <v>3</v>
      </c>
      <c r="I7" s="11">
        <v>4</v>
      </c>
      <c r="J7" s="14">
        <f t="shared" si="1"/>
        <v>4</v>
      </c>
      <c r="L7" s="18" t="s">
        <v>94</v>
      </c>
      <c r="M7" s="15">
        <f t="shared" si="2"/>
        <v>2</v>
      </c>
      <c r="N7" s="15">
        <f t="shared" si="2"/>
        <v>3</v>
      </c>
      <c r="O7" s="15">
        <f t="shared" si="2"/>
        <v>2</v>
      </c>
      <c r="S7">
        <v>3</v>
      </c>
    </row>
    <row r="8" spans="1:21" x14ac:dyDescent="0.25">
      <c r="A8" s="11">
        <v>7</v>
      </c>
      <c r="B8" s="11" t="s">
        <v>69</v>
      </c>
      <c r="C8" s="11" t="s">
        <v>70</v>
      </c>
      <c r="D8" s="11" t="s">
        <v>71</v>
      </c>
      <c r="E8" s="13" t="str">
        <f t="shared" si="0"/>
        <v>Новиков Н.А.</v>
      </c>
      <c r="F8" s="16">
        <v>102</v>
      </c>
      <c r="G8" s="11">
        <v>4</v>
      </c>
      <c r="H8" s="11">
        <v>4</v>
      </c>
      <c r="I8" s="11">
        <v>4</v>
      </c>
      <c r="J8" s="14">
        <f t="shared" si="1"/>
        <v>4</v>
      </c>
      <c r="L8" s="18" t="s">
        <v>95</v>
      </c>
      <c r="M8" s="15">
        <f t="shared" si="2"/>
        <v>2</v>
      </c>
      <c r="N8" s="15">
        <f t="shared" si="2"/>
        <v>2</v>
      </c>
      <c r="O8" s="15">
        <f t="shared" si="2"/>
        <v>3</v>
      </c>
      <c r="S8">
        <v>2</v>
      </c>
    </row>
    <row r="9" spans="1:21" ht="30" x14ac:dyDescent="0.25">
      <c r="A9" s="11">
        <v>8</v>
      </c>
      <c r="B9" s="11" t="s">
        <v>72</v>
      </c>
      <c r="C9" s="11" t="s">
        <v>73</v>
      </c>
      <c r="D9" s="11" t="s">
        <v>74</v>
      </c>
      <c r="E9" s="13" t="str">
        <f t="shared" si="0"/>
        <v>Пронькина Л.В.</v>
      </c>
      <c r="F9" s="16">
        <v>101</v>
      </c>
      <c r="G9" s="11">
        <v>5</v>
      </c>
      <c r="H9" s="11">
        <v>2</v>
      </c>
      <c r="I9" s="11">
        <v>2</v>
      </c>
      <c r="J9" s="14">
        <f t="shared" si="1"/>
        <v>3</v>
      </c>
    </row>
    <row r="10" spans="1:21" x14ac:dyDescent="0.25">
      <c r="A10" s="11">
        <v>9</v>
      </c>
      <c r="B10" s="11" t="s">
        <v>75</v>
      </c>
      <c r="C10" s="11" t="s">
        <v>8</v>
      </c>
      <c r="D10" s="11" t="s">
        <v>76</v>
      </c>
      <c r="E10" s="13" t="str">
        <f t="shared" si="0"/>
        <v>Солянник А.Г.</v>
      </c>
      <c r="F10" s="16">
        <v>103</v>
      </c>
      <c r="G10" s="11">
        <v>5</v>
      </c>
      <c r="H10" s="11">
        <v>5</v>
      </c>
      <c r="I10" s="11">
        <v>5</v>
      </c>
      <c r="J10" s="14">
        <f t="shared" si="1"/>
        <v>5</v>
      </c>
    </row>
    <row r="11" spans="1:21" x14ac:dyDescent="0.25">
      <c r="A11" s="11">
        <v>10</v>
      </c>
      <c r="B11" s="11" t="s">
        <v>77</v>
      </c>
      <c r="C11" s="11" t="s">
        <v>56</v>
      </c>
      <c r="D11" s="11" t="s">
        <v>78</v>
      </c>
      <c r="E11" s="13" t="str">
        <f t="shared" si="0"/>
        <v>Судьина Д.А.</v>
      </c>
      <c r="F11" s="16">
        <v>101</v>
      </c>
      <c r="G11" s="11">
        <v>3</v>
      </c>
      <c r="H11" s="11">
        <v>5</v>
      </c>
      <c r="I11" s="11">
        <v>4</v>
      </c>
      <c r="J11" s="14">
        <f t="shared" si="1"/>
        <v>4</v>
      </c>
    </row>
    <row r="12" spans="1:21" x14ac:dyDescent="0.25">
      <c r="A12" s="11">
        <v>11</v>
      </c>
      <c r="B12" s="11" t="s">
        <v>79</v>
      </c>
      <c r="C12" s="11" t="s">
        <v>80</v>
      </c>
      <c r="D12" s="11" t="s">
        <v>81</v>
      </c>
      <c r="E12" s="13" t="str">
        <f t="shared" si="0"/>
        <v>Травкова А.В.</v>
      </c>
      <c r="F12" s="16">
        <v>102</v>
      </c>
      <c r="G12" s="11">
        <v>4</v>
      </c>
      <c r="H12" s="11">
        <v>4</v>
      </c>
      <c r="I12" s="11">
        <v>3</v>
      </c>
      <c r="J12" s="14">
        <f t="shared" si="1"/>
        <v>3.6666666666666665</v>
      </c>
    </row>
    <row r="13" spans="1:21" x14ac:dyDescent="0.25">
      <c r="A13" s="11">
        <v>12</v>
      </c>
      <c r="B13" s="11" t="s">
        <v>82</v>
      </c>
      <c r="C13" s="11" t="s">
        <v>83</v>
      </c>
      <c r="D13" s="11" t="s">
        <v>84</v>
      </c>
      <c r="E13" s="13" t="str">
        <f t="shared" si="0"/>
        <v>Уралова Н.И.</v>
      </c>
      <c r="F13" s="16">
        <v>101</v>
      </c>
      <c r="G13" s="11">
        <v>2</v>
      </c>
      <c r="H13" s="11">
        <v>2</v>
      </c>
      <c r="I13" s="11">
        <v>2</v>
      </c>
      <c r="J13" s="14">
        <f t="shared" si="1"/>
        <v>2</v>
      </c>
    </row>
    <row r="14" spans="1:21" x14ac:dyDescent="0.25">
      <c r="A14" s="11">
        <v>13</v>
      </c>
      <c r="B14" s="11" t="s">
        <v>85</v>
      </c>
      <c r="C14" s="11" t="s">
        <v>86</v>
      </c>
      <c r="D14" s="11" t="s">
        <v>57</v>
      </c>
      <c r="E14" s="13" t="str">
        <f t="shared" si="0"/>
        <v>Чубанова З.С.</v>
      </c>
      <c r="F14" s="16">
        <v>102</v>
      </c>
      <c r="G14" s="11">
        <v>3</v>
      </c>
      <c r="H14" s="11">
        <v>3</v>
      </c>
      <c r="I14" s="11">
        <v>4</v>
      </c>
      <c r="J14" s="14">
        <f t="shared" si="1"/>
        <v>3.3333333333333335</v>
      </c>
    </row>
    <row r="15" spans="1:21" x14ac:dyDescent="0.25">
      <c r="F15" t="s">
        <v>52</v>
      </c>
      <c r="G15" s="17">
        <f>AVERAGE(G2:G14)</f>
        <v>3.9230769230769229</v>
      </c>
      <c r="H15" s="17">
        <f t="shared" ref="H15:J15" si="3">AVERAGE(H2:H14)</f>
        <v>3.7692307692307692</v>
      </c>
      <c r="I15" s="17">
        <f t="shared" si="3"/>
        <v>3.6153846153846154</v>
      </c>
      <c r="J15" s="17">
        <f t="shared" si="3"/>
        <v>3.7692307692307692</v>
      </c>
    </row>
    <row r="18" spans="11:16" x14ac:dyDescent="0.25">
      <c r="K18" s="26" t="s">
        <v>96</v>
      </c>
      <c r="L18" s="26"/>
      <c r="M18" s="26"/>
      <c r="N18" s="26"/>
      <c r="O18" s="26"/>
      <c r="P18" s="26"/>
    </row>
    <row r="19" spans="11:16" ht="30" x14ac:dyDescent="0.25">
      <c r="K19" s="20" t="s">
        <v>49</v>
      </c>
      <c r="L19" s="20" t="s">
        <v>97</v>
      </c>
      <c r="M19" s="20" t="s">
        <v>98</v>
      </c>
      <c r="N19" s="20" t="s">
        <v>99</v>
      </c>
      <c r="O19" s="20" t="s">
        <v>100</v>
      </c>
      <c r="P19" s="20" t="s">
        <v>52</v>
      </c>
    </row>
    <row r="20" spans="11:16" x14ac:dyDescent="0.25">
      <c r="K20" s="18">
        <v>101</v>
      </c>
      <c r="L20" s="17">
        <f>(SUMIF($F$2:$F$14,$K20,G$2:G$14)/$O20)</f>
        <v>4</v>
      </c>
      <c r="M20" s="17">
        <f t="shared" ref="M20:N20" si="4">(SUMIF($F$2:$F$14,$K20,H$2:H$14)/$O20)</f>
        <v>3.4</v>
      </c>
      <c r="N20" s="17">
        <f t="shared" si="4"/>
        <v>3</v>
      </c>
      <c r="O20" s="15">
        <f>COUNTIF($F$2:$F$14,K20)</f>
        <v>5</v>
      </c>
      <c r="P20" s="17">
        <f>AVERAGE(L20:N20)</f>
        <v>3.4666666666666668</v>
      </c>
    </row>
    <row r="21" spans="11:16" x14ac:dyDescent="0.25">
      <c r="K21" s="18">
        <v>102</v>
      </c>
      <c r="L21" s="17">
        <f t="shared" ref="L21:L22" si="5">(SUMIF($F$2:$F$14,$K21,G$2:G$14)/$O21)</f>
        <v>3.4</v>
      </c>
      <c r="M21" s="17">
        <f t="shared" ref="M21:M22" si="6">(SUMIF($F$2:$F$14,$K21,H$2:H$14)/$O21)</f>
        <v>4</v>
      </c>
      <c r="N21" s="17">
        <f t="shared" ref="N21:N22" si="7">(SUMIF($F$2:$F$14,$K21,I$2:I$14)/$O21)</f>
        <v>3.8</v>
      </c>
      <c r="O21" s="15">
        <f t="shared" ref="O21:O22" si="8">COUNTIF($F$2:$F$14,K21)</f>
        <v>5</v>
      </c>
      <c r="P21" s="17">
        <f t="shared" ref="P21:P22" si="9">AVERAGE(L21:N21)</f>
        <v>3.7333333333333329</v>
      </c>
    </row>
    <row r="22" spans="11:16" x14ac:dyDescent="0.25">
      <c r="K22" s="18">
        <v>103</v>
      </c>
      <c r="L22" s="17">
        <f t="shared" si="5"/>
        <v>4.666666666666667</v>
      </c>
      <c r="M22" s="17">
        <f t="shared" si="6"/>
        <v>4</v>
      </c>
      <c r="N22" s="17">
        <f t="shared" si="7"/>
        <v>4.333333333333333</v>
      </c>
      <c r="O22" s="15">
        <f t="shared" si="8"/>
        <v>3</v>
      </c>
      <c r="P22" s="17">
        <f t="shared" si="9"/>
        <v>4.333333333333333</v>
      </c>
    </row>
  </sheetData>
  <mergeCells count="2">
    <mergeCell ref="L3:O3"/>
    <mergeCell ref="K18:P18"/>
  </mergeCells>
  <dataValidations disablePrompts="1" count="1">
    <dataValidation type="list" allowBlank="1" showInputMessage="1" showErrorMessage="1" sqref="F2:F14">
      <formula1>$S$2:$S$4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Моя семья</vt:lpstr>
      <vt:lpstr>Даты</vt:lpstr>
      <vt:lpstr>Дни Рождения</vt:lpstr>
      <vt:lpstr>Электронная почта</vt:lpstr>
      <vt:lpstr>Следующий День Рождения</vt:lpstr>
      <vt:lpstr>ДЗ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Mila Ibiatova</cp:lastModifiedBy>
  <dcterms:created xsi:type="dcterms:W3CDTF">2025-04-17T10:19:30Z</dcterms:created>
  <dcterms:modified xsi:type="dcterms:W3CDTF">2025-04-22T16:22:56Z</dcterms:modified>
</cp:coreProperties>
</file>