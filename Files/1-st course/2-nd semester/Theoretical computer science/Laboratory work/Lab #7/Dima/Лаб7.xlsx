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vidmi\Desktop\gitRep\Codespace\Файлы\1 курс\2 семестр\Теоретическая информатика\Лабы\07.05.25 - Лаба №7\Дима\"/>
    </mc:Choice>
  </mc:AlternateContent>
  <xr:revisionPtr revIDLastSave="0" documentId="13_ncr:1_{A654A902-295E-4771-95E7-0093407FFD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D20" i="1"/>
  <c r="E20" i="1"/>
  <c r="F20" i="1"/>
  <c r="G20" i="1"/>
  <c r="B20" i="1"/>
  <c r="C15" i="1"/>
  <c r="C25" i="1" s="1"/>
  <c r="D15" i="1"/>
  <c r="D25" i="1" s="1"/>
  <c r="E15" i="1"/>
  <c r="E25" i="1" s="1"/>
  <c r="F15" i="1"/>
  <c r="F25" i="1" s="1"/>
  <c r="G15" i="1"/>
  <c r="G25" i="1" s="1"/>
  <c r="B15" i="1"/>
  <c r="B25" i="1" s="1"/>
  <c r="B23" i="1" l="1"/>
  <c r="B26" i="1" s="1"/>
  <c r="B32" i="1" s="1"/>
  <c r="B24" i="1"/>
  <c r="B30" i="1" s="1"/>
  <c r="B31" i="1" s="1"/>
  <c r="F24" i="1"/>
  <c r="F30" i="1" s="1"/>
  <c r="E24" i="1"/>
  <c r="E30" i="1" s="1"/>
  <c r="D24" i="1"/>
  <c r="D30" i="1" s="1"/>
  <c r="C24" i="1"/>
  <c r="C30" i="1" s="1"/>
  <c r="C31" i="1" s="1"/>
  <c r="B21" i="1"/>
  <c r="G23" i="1"/>
  <c r="G26" i="1" s="1"/>
  <c r="G32" i="1" s="1"/>
  <c r="F21" i="1"/>
  <c r="F23" i="1"/>
  <c r="F26" i="1" s="1"/>
  <c r="F32" i="1" s="1"/>
  <c r="E21" i="1"/>
  <c r="E23" i="1"/>
  <c r="E26" i="1" s="1"/>
  <c r="E32" i="1" s="1"/>
  <c r="G24" i="1"/>
  <c r="G30" i="1" s="1"/>
  <c r="G21" i="1"/>
  <c r="D21" i="1"/>
  <c r="D23" i="1"/>
  <c r="D26" i="1" s="1"/>
  <c r="D32" i="1" s="1"/>
  <c r="C21" i="1"/>
  <c r="C23" i="1"/>
  <c r="C26" i="1" s="1"/>
  <c r="C32" i="1" s="1"/>
  <c r="F31" i="1" l="1"/>
  <c r="E31" i="1"/>
  <c r="D31" i="1"/>
  <c r="G31" i="1"/>
</calcChain>
</file>

<file path=xl/sharedStrings.xml><?xml version="1.0" encoding="utf-8"?>
<sst xmlns="http://schemas.openxmlformats.org/spreadsheetml/2006/main" count="65" uniqueCount="49">
  <si>
    <t>Список сотрудников</t>
  </si>
  <si>
    <t>Табелный номер</t>
  </si>
  <si>
    <t>Сотрудник</t>
  </si>
  <si>
    <t>Иванов И.Е.</t>
  </si>
  <si>
    <t>Сидоров К.П.</t>
  </si>
  <si>
    <t>Петров Н.М.</t>
  </si>
  <si>
    <t>Захарова Т.П.</t>
  </si>
  <si>
    <t>Усова В.И.</t>
  </si>
  <si>
    <t>Николаев В.В.</t>
  </si>
  <si>
    <t>Размер суточных и стоимость проживания</t>
  </si>
  <si>
    <t>Регион</t>
  </si>
  <si>
    <t>Суточные</t>
  </si>
  <si>
    <t>Проживание в сутки</t>
  </si>
  <si>
    <t>Рудня</t>
  </si>
  <si>
    <t>Велиж</t>
  </si>
  <si>
    <t>Ельня</t>
  </si>
  <si>
    <t>Москва</t>
  </si>
  <si>
    <t>Иркутск</t>
  </si>
  <si>
    <t>Санкт-Петербург</t>
  </si>
  <si>
    <t>Cредняя стоимость проезда за 1 км в один конец</t>
  </si>
  <si>
    <t>Удалённость, км</t>
  </si>
  <si>
    <t>Самолёт</t>
  </si>
  <si>
    <t>Поезд</t>
  </si>
  <si>
    <t>Автобус</t>
  </si>
  <si>
    <t>Выходные данные</t>
  </si>
  <si>
    <t>Имя</t>
  </si>
  <si>
    <t>Табельный номер</t>
  </si>
  <si>
    <t>Цель поездки</t>
  </si>
  <si>
    <t>Установка оборудования</t>
  </si>
  <si>
    <t>Передача документации</t>
  </si>
  <si>
    <t>Стажировка</t>
  </si>
  <si>
    <t>Изучение опыта</t>
  </si>
  <si>
    <t>Обмен опытом</t>
  </si>
  <si>
    <t>Подписание договора</t>
  </si>
  <si>
    <t>Всего суток</t>
  </si>
  <si>
    <t>Транспорт</t>
  </si>
  <si>
    <t>На проживание</t>
  </si>
  <si>
    <t>Итого</t>
  </si>
  <si>
    <t>Место назначения</t>
  </si>
  <si>
    <t>Срок командировки</t>
  </si>
  <si>
    <t>С</t>
  </si>
  <si>
    <t>Аванс</t>
  </si>
  <si>
    <t>на проезд</t>
  </si>
  <si>
    <t>Расходы по факту</t>
  </si>
  <si>
    <t>На проезд</t>
  </si>
  <si>
    <t>Итого (с учётом суточных)</t>
  </si>
  <si>
    <t>Итого к выплате</t>
  </si>
  <si>
    <t>Итого к возврату</t>
  </si>
  <si>
    <t>По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</si>
</sst>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5" xfId="0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Изменение размера расходов на проживание и размера суточных по регионам</a:t>
            </a:r>
          </a:p>
        </c:rich>
      </c:tx>
      <c:layout>
        <c:manualLayout>
          <c:xMode val="edge"/>
          <c:yMode val="edge"/>
          <c:x val="0.10874853443014239"/>
          <c:y val="1.5312133296009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Лист1!$E$2</c:f>
              <c:strCache>
                <c:ptCount val="1"/>
                <c:pt idx="0">
                  <c:v>Суточные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Лист1!$D$3:$D$8</c:f>
              <c:strCache>
                <c:ptCount val="6"/>
                <c:pt idx="0">
                  <c:v>Рудня</c:v>
                </c:pt>
                <c:pt idx="1">
                  <c:v>Велиж</c:v>
                </c:pt>
                <c:pt idx="2">
                  <c:v>Ельня</c:v>
                </c:pt>
                <c:pt idx="3">
                  <c:v>Москва</c:v>
                </c:pt>
                <c:pt idx="4">
                  <c:v>Иркутск</c:v>
                </c:pt>
                <c:pt idx="5">
                  <c:v>Санкт-Петербург</c:v>
                </c:pt>
              </c:strCache>
            </c:strRef>
          </c:cat>
          <c:val>
            <c:numRef>
              <c:f>Лист1!$E$3:$E$8</c:f>
              <c:numCache>
                <c:formatCode>General</c:formatCode>
                <c:ptCount val="6"/>
                <c:pt idx="0">
                  <c:v>700</c:v>
                </c:pt>
                <c:pt idx="1">
                  <c:v>700</c:v>
                </c:pt>
                <c:pt idx="2">
                  <c:v>700</c:v>
                </c:pt>
                <c:pt idx="3">
                  <c:v>1000</c:v>
                </c:pt>
                <c:pt idx="4">
                  <c:v>1200</c:v>
                </c:pt>
                <c:pt idx="5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C6-4357-A977-888A5F3AF8F0}"/>
            </c:ext>
          </c:extLst>
        </c:ser>
        <c:ser>
          <c:idx val="1"/>
          <c:order val="1"/>
          <c:tx>
            <c:strRef>
              <c:f>Лист1!$F$2</c:f>
              <c:strCache>
                <c:ptCount val="1"/>
                <c:pt idx="0">
                  <c:v>Проживание в сутки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Лист1!$D$3:$D$8</c:f>
              <c:strCache>
                <c:ptCount val="6"/>
                <c:pt idx="0">
                  <c:v>Рудня</c:v>
                </c:pt>
                <c:pt idx="1">
                  <c:v>Велиж</c:v>
                </c:pt>
                <c:pt idx="2">
                  <c:v>Ельня</c:v>
                </c:pt>
                <c:pt idx="3">
                  <c:v>Москва</c:v>
                </c:pt>
                <c:pt idx="4">
                  <c:v>Иркутск</c:v>
                </c:pt>
                <c:pt idx="5">
                  <c:v>Санкт-Петербург</c:v>
                </c:pt>
              </c:strCache>
            </c:strRef>
          </c:cat>
          <c:val>
            <c:numRef>
              <c:f>Лист1!$F$3:$F$8</c:f>
              <c:numCache>
                <c:formatCode>General</c:formatCode>
                <c:ptCount val="6"/>
                <c:pt idx="0">
                  <c:v>800</c:v>
                </c:pt>
                <c:pt idx="1">
                  <c:v>800</c:v>
                </c:pt>
                <c:pt idx="2">
                  <c:v>800</c:v>
                </c:pt>
                <c:pt idx="3">
                  <c:v>2300</c:v>
                </c:pt>
                <c:pt idx="4">
                  <c:v>1800</c:v>
                </c:pt>
                <c:pt idx="5">
                  <c:v>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C6-4357-A977-888A5F3AF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071072"/>
        <c:axId val="29072320"/>
        <c:axId val="2056037088"/>
      </c:bar3DChart>
      <c:catAx>
        <c:axId val="2907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072320"/>
        <c:crosses val="autoZero"/>
        <c:auto val="1"/>
        <c:lblAlgn val="ctr"/>
        <c:lblOffset val="100"/>
        <c:noMultiLvlLbl val="0"/>
      </c:catAx>
      <c:valAx>
        <c:axId val="2907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071072"/>
        <c:crosses val="autoZero"/>
        <c:crossBetween val="between"/>
      </c:valAx>
      <c:serAx>
        <c:axId val="2056037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072320"/>
        <c:crosses val="autoZero"/>
      </c:ser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154276</xdr:colOff>
      <xdr:row>9</xdr:row>
      <xdr:rowOff>128717</xdr:rowOff>
    </xdr:from>
    <xdr:to>
      <xdr:col>19</xdr:col>
      <xdr:colOff>450506</xdr:colOff>
      <xdr:row>32</xdr:row>
      <xdr:rowOff>3453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771D39B-49EB-42E9-A1CC-936C5DAAF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zoomScale="74" zoomScaleNormal="85" workbookViewId="0">
      <selection activeCell="E15" sqref="E15"/>
    </sheetView>
  </sheetViews>
  <sheetFormatPr defaultRowHeight="15" x14ac:dyDescent="0.25"/>
  <cols>
    <col min="1" max="1" width="24.42578125" customWidth="1"/>
    <col min="2" max="2" width="16.28515625" customWidth="1"/>
    <col min="3" max="3" width="14.7109375" customWidth="1"/>
    <col min="4" max="4" width="13.85546875" customWidth="1"/>
    <col min="5" max="5" width="12.85546875" customWidth="1"/>
    <col min="6" max="6" width="21.42578125" customWidth="1"/>
    <col min="7" max="7" width="14.7109375" customWidth="1"/>
    <col min="8" max="8" width="13" customWidth="1"/>
  </cols>
  <sheetData>
    <row r="1" spans="1:13" ht="15.75" thickBot="1" x14ac:dyDescent="0.3">
      <c r="A1" t="s">
        <v>0</v>
      </c>
      <c r="D1" s="11" t="s">
        <v>9</v>
      </c>
      <c r="E1" s="11"/>
      <c r="F1" s="11"/>
      <c r="H1" t="s">
        <v>19</v>
      </c>
    </row>
    <row r="2" spans="1:13" ht="30.75" thickBot="1" x14ac:dyDescent="0.3">
      <c r="A2" s="21" t="s">
        <v>1</v>
      </c>
      <c r="B2" s="21" t="s">
        <v>2</v>
      </c>
      <c r="C2" s="1"/>
      <c r="D2" s="19" t="s">
        <v>10</v>
      </c>
      <c r="E2" s="19" t="s">
        <v>11</v>
      </c>
      <c r="F2" s="19" t="s">
        <v>12</v>
      </c>
      <c r="G2" s="1"/>
      <c r="H2" s="19" t="s">
        <v>20</v>
      </c>
      <c r="I2" s="19" t="s">
        <v>21</v>
      </c>
      <c r="J2" s="19" t="s">
        <v>22</v>
      </c>
      <c r="K2" s="19" t="s">
        <v>23</v>
      </c>
      <c r="L2" s="1"/>
      <c r="M2" s="1"/>
    </row>
    <row r="3" spans="1:13" ht="15.75" thickBot="1" x14ac:dyDescent="0.3">
      <c r="A3" s="22">
        <v>1001</v>
      </c>
      <c r="B3" s="23" t="s">
        <v>3</v>
      </c>
      <c r="D3" s="20" t="s">
        <v>13</v>
      </c>
      <c r="E3" s="24">
        <v>700</v>
      </c>
      <c r="F3" s="24">
        <v>800</v>
      </c>
      <c r="H3" s="24">
        <v>68</v>
      </c>
      <c r="I3" s="24">
        <v>15</v>
      </c>
      <c r="J3" s="24">
        <v>0.89</v>
      </c>
      <c r="K3" s="24">
        <v>0.95</v>
      </c>
    </row>
    <row r="4" spans="1:13" ht="15.75" thickBot="1" x14ac:dyDescent="0.3">
      <c r="A4" s="22">
        <v>1002</v>
      </c>
      <c r="B4" s="23" t="s">
        <v>4</v>
      </c>
      <c r="D4" s="20" t="s">
        <v>14</v>
      </c>
      <c r="E4" s="24">
        <v>700</v>
      </c>
      <c r="F4" s="24">
        <v>800</v>
      </c>
      <c r="H4" s="24">
        <v>128</v>
      </c>
      <c r="I4" s="24">
        <v>15</v>
      </c>
      <c r="J4" s="24">
        <v>0.89</v>
      </c>
      <c r="K4" s="24">
        <v>0.95</v>
      </c>
    </row>
    <row r="5" spans="1:13" ht="15.75" thickBot="1" x14ac:dyDescent="0.3">
      <c r="A5" s="22">
        <v>1003</v>
      </c>
      <c r="B5" s="23" t="s">
        <v>5</v>
      </c>
      <c r="D5" s="20" t="s">
        <v>15</v>
      </c>
      <c r="E5" s="24">
        <v>700</v>
      </c>
      <c r="F5" s="24">
        <v>800</v>
      </c>
      <c r="H5" s="24">
        <v>106</v>
      </c>
      <c r="I5" s="24">
        <v>15</v>
      </c>
      <c r="J5" s="24">
        <v>0.89</v>
      </c>
      <c r="K5" s="24">
        <v>0.95</v>
      </c>
    </row>
    <row r="6" spans="1:13" ht="15.75" thickBot="1" x14ac:dyDescent="0.3">
      <c r="A6" s="22">
        <v>1004</v>
      </c>
      <c r="B6" s="23" t="s">
        <v>6</v>
      </c>
      <c r="D6" s="20" t="s">
        <v>16</v>
      </c>
      <c r="E6" s="24">
        <v>1000</v>
      </c>
      <c r="F6" s="24">
        <v>2300</v>
      </c>
      <c r="H6" s="24">
        <v>419</v>
      </c>
      <c r="I6" s="24">
        <v>15</v>
      </c>
      <c r="J6" s="24">
        <v>0.89</v>
      </c>
      <c r="K6" s="24">
        <v>0.95</v>
      </c>
    </row>
    <row r="7" spans="1:13" ht="15.75" thickBot="1" x14ac:dyDescent="0.3">
      <c r="A7" s="22">
        <v>1005</v>
      </c>
      <c r="B7" s="23" t="s">
        <v>7</v>
      </c>
      <c r="D7" s="20" t="s">
        <v>17</v>
      </c>
      <c r="E7" s="24">
        <v>1200</v>
      </c>
      <c r="F7" s="24">
        <v>1800</v>
      </c>
      <c r="H7" s="24">
        <v>4587</v>
      </c>
      <c r="I7" s="24">
        <v>15</v>
      </c>
      <c r="J7" s="24">
        <v>0.89</v>
      </c>
      <c r="K7" s="24">
        <v>0.95</v>
      </c>
    </row>
    <row r="8" spans="1:13" ht="30.75" thickBot="1" x14ac:dyDescent="0.3">
      <c r="A8" s="22">
        <v>1006</v>
      </c>
      <c r="B8" s="23" t="s">
        <v>8</v>
      </c>
      <c r="D8" s="20" t="s">
        <v>18</v>
      </c>
      <c r="E8" s="24">
        <v>1000</v>
      </c>
      <c r="F8" s="24">
        <v>2300</v>
      </c>
      <c r="H8" s="24">
        <v>1057</v>
      </c>
      <c r="I8" s="24">
        <v>15</v>
      </c>
      <c r="J8" s="24">
        <v>0.89</v>
      </c>
      <c r="K8" s="24">
        <v>0.95</v>
      </c>
    </row>
    <row r="10" spans="1:13" x14ac:dyDescent="0.25">
      <c r="A10" s="18" t="s">
        <v>24</v>
      </c>
      <c r="B10" s="18"/>
      <c r="C10" s="18"/>
      <c r="D10" s="18"/>
      <c r="E10" s="18"/>
      <c r="F10" s="18"/>
      <c r="G10" s="18"/>
    </row>
    <row r="11" spans="1:13" x14ac:dyDescent="0.25">
      <c r="A11" s="8" t="s">
        <v>25</v>
      </c>
      <c r="B11" s="2" t="s">
        <v>3</v>
      </c>
      <c r="C11" s="4" t="s">
        <v>4</v>
      </c>
      <c r="D11" s="4" t="s">
        <v>5</v>
      </c>
      <c r="E11" s="4" t="s">
        <v>6</v>
      </c>
      <c r="F11" s="4" t="s">
        <v>7</v>
      </c>
      <c r="G11" s="4" t="s">
        <v>8</v>
      </c>
    </row>
    <row r="12" spans="1:13" x14ac:dyDescent="0.25">
      <c r="A12" s="3" t="s">
        <v>26</v>
      </c>
      <c r="B12" s="3">
        <v>1001</v>
      </c>
      <c r="C12" s="3">
        <v>1002</v>
      </c>
      <c r="D12" s="3">
        <v>1003</v>
      </c>
      <c r="E12" s="3">
        <v>1004</v>
      </c>
      <c r="F12" s="3">
        <v>1005</v>
      </c>
      <c r="G12" s="3">
        <v>1006</v>
      </c>
    </row>
    <row r="13" spans="1:13" x14ac:dyDescent="0.25">
      <c r="A13" s="15" t="s">
        <v>38</v>
      </c>
      <c r="B13" s="16"/>
      <c r="C13" s="16"/>
      <c r="D13" s="16"/>
      <c r="E13" s="16"/>
      <c r="F13" s="16"/>
      <c r="G13" s="17"/>
    </row>
    <row r="14" spans="1:13" ht="30" x14ac:dyDescent="0.25">
      <c r="A14" s="7" t="s">
        <v>10</v>
      </c>
      <c r="B14" s="6" t="s">
        <v>13</v>
      </c>
      <c r="C14" s="6" t="s">
        <v>14</v>
      </c>
      <c r="D14" s="6" t="s">
        <v>15</v>
      </c>
      <c r="E14" s="6" t="s">
        <v>16</v>
      </c>
      <c r="F14" s="6" t="s">
        <v>17</v>
      </c>
      <c r="G14" s="6" t="s">
        <v>18</v>
      </c>
    </row>
    <row r="15" spans="1:13" x14ac:dyDescent="0.25">
      <c r="A15" s="3" t="s">
        <v>20</v>
      </c>
      <c r="B15" s="9">
        <f>IF(B$14=$D$3,$H$3,IF(B$14=$D$4,$H$4,IF(B$14=$D$5,$H$5,IF(B$14=$D$6,$H$6,IF(B$14=$D$7,$H$7,$H$8)))))</f>
        <v>68</v>
      </c>
      <c r="C15" s="9">
        <f t="shared" ref="C15:G15" si="0">IF(C$14=$D$3,$H$3,IF(C$14=$D$4,$H$4,IF(C$14=$D$5,$H$5,IF(C$14=$D$6,$H$6,IF(C$14=$D$7,$H$7,$H$8)))))</f>
        <v>128</v>
      </c>
      <c r="D15" s="9">
        <f t="shared" si="0"/>
        <v>106</v>
      </c>
      <c r="E15" s="9">
        <f t="shared" si="0"/>
        <v>419</v>
      </c>
      <c r="F15" s="9">
        <f t="shared" si="0"/>
        <v>4587</v>
      </c>
      <c r="G15" s="9">
        <f t="shared" si="0"/>
        <v>1057</v>
      </c>
    </row>
    <row r="16" spans="1:13" ht="45" x14ac:dyDescent="0.25">
      <c r="A16" s="3" t="s">
        <v>27</v>
      </c>
      <c r="B16" s="6" t="s">
        <v>28</v>
      </c>
      <c r="C16" s="6" t="s">
        <v>29</v>
      </c>
      <c r="D16" s="6" t="s">
        <v>30</v>
      </c>
      <c r="E16" s="6" t="s">
        <v>31</v>
      </c>
      <c r="F16" s="6" t="s">
        <v>32</v>
      </c>
      <c r="G16" s="6" t="s">
        <v>33</v>
      </c>
    </row>
    <row r="17" spans="1:7" x14ac:dyDescent="0.25">
      <c r="A17" s="15" t="s">
        <v>39</v>
      </c>
      <c r="B17" s="16"/>
      <c r="C17" s="16"/>
      <c r="D17" s="16"/>
      <c r="E17" s="16"/>
      <c r="F17" s="16"/>
      <c r="G17" s="17"/>
    </row>
    <row r="18" spans="1:7" x14ac:dyDescent="0.25">
      <c r="A18" s="7" t="s">
        <v>40</v>
      </c>
      <c r="B18" s="5">
        <v>39944</v>
      </c>
      <c r="C18" s="5">
        <v>40006</v>
      </c>
      <c r="D18" s="5">
        <v>40111</v>
      </c>
      <c r="E18" s="5">
        <v>39854</v>
      </c>
      <c r="F18" s="5">
        <v>40118</v>
      </c>
      <c r="G18" s="5">
        <v>39886</v>
      </c>
    </row>
    <row r="19" spans="1:7" x14ac:dyDescent="0.25">
      <c r="A19" s="7" t="s">
        <v>48</v>
      </c>
      <c r="B19" s="5">
        <v>39946</v>
      </c>
      <c r="C19" s="5">
        <v>40006</v>
      </c>
      <c r="D19" s="5">
        <v>40116</v>
      </c>
      <c r="E19" s="5">
        <v>39862</v>
      </c>
      <c r="F19" s="5">
        <v>40132</v>
      </c>
      <c r="G19" s="5">
        <v>39889</v>
      </c>
    </row>
    <row r="20" spans="1:7" x14ac:dyDescent="0.25">
      <c r="A20" s="3" t="s">
        <v>34</v>
      </c>
      <c r="B20" s="3">
        <f>B19-B18+1</f>
        <v>3</v>
      </c>
      <c r="C20" s="3">
        <f t="shared" ref="C20:G20" si="1">C19-C18+1</f>
        <v>1</v>
      </c>
      <c r="D20" s="3">
        <f t="shared" si="1"/>
        <v>6</v>
      </c>
      <c r="E20" s="3">
        <f t="shared" si="1"/>
        <v>9</v>
      </c>
      <c r="F20" s="3">
        <f t="shared" si="1"/>
        <v>15</v>
      </c>
      <c r="G20" s="3">
        <f t="shared" si="1"/>
        <v>4</v>
      </c>
    </row>
    <row r="21" spans="1:7" x14ac:dyDescent="0.25">
      <c r="A21" s="3" t="s">
        <v>35</v>
      </c>
      <c r="B21" s="9" t="str">
        <f>IF(B$15&gt;=1500,$I$2,IF(AND(B$15=150),$J$2,$K$2))</f>
        <v>Автобус</v>
      </c>
      <c r="C21" s="9" t="str">
        <f t="shared" ref="C21:G21" si="2">IF(C$15&gt;=1500,$I$2,IF(AND(C$15=150),$J$2,$K$2))</f>
        <v>Автобус</v>
      </c>
      <c r="D21" s="9" t="str">
        <f t="shared" si="2"/>
        <v>Автобус</v>
      </c>
      <c r="E21" s="9" t="str">
        <f t="shared" si="2"/>
        <v>Автобус</v>
      </c>
      <c r="F21" s="9" t="str">
        <f t="shared" si="2"/>
        <v>Самолёт</v>
      </c>
      <c r="G21" s="9" t="str">
        <f t="shared" si="2"/>
        <v>Автобус</v>
      </c>
    </row>
    <row r="22" spans="1:7" x14ac:dyDescent="0.25">
      <c r="A22" s="15" t="s">
        <v>41</v>
      </c>
      <c r="B22" s="16"/>
      <c r="C22" s="16"/>
      <c r="D22" s="16"/>
      <c r="E22" s="16"/>
      <c r="F22" s="16"/>
      <c r="G22" s="17"/>
    </row>
    <row r="23" spans="1:7" x14ac:dyDescent="0.25">
      <c r="A23" s="3" t="s">
        <v>42</v>
      </c>
      <c r="B23" s="9">
        <f>IF(B$15&gt;=1500,$I$3*2*B15,IF(AND(B$15=150),$J$3*2*B15,$K$3*2*B15))</f>
        <v>129.19999999999999</v>
      </c>
      <c r="C23" s="9">
        <f t="shared" ref="C23:G23" si="3">IF(C$15&gt;=1500,$I$3*2*C15,IF(AND(C$15=150),$J$3*2*C15,$K$3*2*C15))</f>
        <v>243.2</v>
      </c>
      <c r="D23" s="9">
        <f t="shared" si="3"/>
        <v>201.39999999999998</v>
      </c>
      <c r="E23" s="9">
        <f t="shared" si="3"/>
        <v>796.09999999999991</v>
      </c>
      <c r="F23" s="9">
        <f t="shared" si="3"/>
        <v>137610</v>
      </c>
      <c r="G23" s="9">
        <f t="shared" si="3"/>
        <v>2008.3</v>
      </c>
    </row>
    <row r="24" spans="1:7" x14ac:dyDescent="0.25">
      <c r="A24" s="3" t="s">
        <v>11</v>
      </c>
      <c r="B24" s="9">
        <f>IF(B$15&gt;=1500,$E$7*B$20,IF(AND(B$15=150),$E$6*B$20,$E$3*B$20))</f>
        <v>2100</v>
      </c>
      <c r="C24" s="9">
        <f t="shared" ref="C24:G24" si="4">IF(C$15&gt;=1500,$E$7*C$20,IF(AND(C$15=150),$E$6*C$20,$E$3*C$20))</f>
        <v>700</v>
      </c>
      <c r="D24" s="9">
        <f t="shared" si="4"/>
        <v>4200</v>
      </c>
      <c r="E24" s="9">
        <f t="shared" si="4"/>
        <v>6300</v>
      </c>
      <c r="F24" s="9">
        <f t="shared" si="4"/>
        <v>18000</v>
      </c>
      <c r="G24" s="9">
        <f t="shared" si="4"/>
        <v>2800</v>
      </c>
    </row>
    <row r="25" spans="1:7" x14ac:dyDescent="0.25">
      <c r="A25" s="3" t="s">
        <v>36</v>
      </c>
      <c r="B25" s="9">
        <f>IF(B$15&gt;=1500,$F$7*B$20,IF(AND(B$15=150),$F$6*B$20,$F$3*B$20))</f>
        <v>2400</v>
      </c>
      <c r="C25" s="9">
        <f t="shared" ref="C25:G25" si="5">IF(C$15&gt;=1500,$F$7*C$20,IF(AND(C$15=150),$F$6*C$20,$F$3*C$20))</f>
        <v>800</v>
      </c>
      <c r="D25" s="9">
        <f t="shared" si="5"/>
        <v>4800</v>
      </c>
      <c r="E25" s="9">
        <f t="shared" si="5"/>
        <v>7200</v>
      </c>
      <c r="F25" s="9">
        <f t="shared" si="5"/>
        <v>27000</v>
      </c>
      <c r="G25" s="9">
        <f t="shared" si="5"/>
        <v>3200</v>
      </c>
    </row>
    <row r="26" spans="1:7" x14ac:dyDescent="0.25">
      <c r="A26" s="3" t="s">
        <v>37</v>
      </c>
      <c r="B26" s="3">
        <f>SUM(B23:B25)</f>
        <v>4629.2</v>
      </c>
      <c r="C26" s="3">
        <f t="shared" ref="C26:G26" si="6">SUM(C23:C25)</f>
        <v>1743.2</v>
      </c>
      <c r="D26" s="3">
        <f t="shared" si="6"/>
        <v>9201.4</v>
      </c>
      <c r="E26" s="3">
        <f t="shared" si="6"/>
        <v>14296.1</v>
      </c>
      <c r="F26" s="3">
        <f t="shared" si="6"/>
        <v>182610</v>
      </c>
      <c r="G26" s="3">
        <f t="shared" si="6"/>
        <v>8008.3</v>
      </c>
    </row>
    <row r="27" spans="1:7" x14ac:dyDescent="0.25">
      <c r="A27" s="12" t="s">
        <v>43</v>
      </c>
      <c r="B27" s="13"/>
      <c r="C27" s="13"/>
      <c r="D27" s="13"/>
      <c r="E27" s="13"/>
      <c r="F27" s="13"/>
      <c r="G27" s="14"/>
    </row>
    <row r="28" spans="1:7" x14ac:dyDescent="0.25">
      <c r="A28" s="3" t="s">
        <v>44</v>
      </c>
      <c r="B28" s="6">
        <v>135</v>
      </c>
      <c r="C28" s="6">
        <v>210</v>
      </c>
      <c r="D28" s="6">
        <v>188</v>
      </c>
      <c r="E28" s="6">
        <v>800</v>
      </c>
      <c r="F28" s="6">
        <v>136000</v>
      </c>
      <c r="G28" s="6">
        <v>1881</v>
      </c>
    </row>
    <row r="29" spans="1:7" x14ac:dyDescent="0.25">
      <c r="A29" s="3" t="s">
        <v>36</v>
      </c>
      <c r="B29" s="6">
        <v>2054</v>
      </c>
      <c r="C29" s="6">
        <v>800</v>
      </c>
      <c r="D29" s="6">
        <v>4758</v>
      </c>
      <c r="E29" s="6">
        <v>21854</v>
      </c>
      <c r="F29" s="6">
        <v>9874</v>
      </c>
      <c r="G29" s="6">
        <v>12250</v>
      </c>
    </row>
    <row r="30" spans="1:7" ht="30" x14ac:dyDescent="0.25">
      <c r="A30" s="3" t="s">
        <v>45</v>
      </c>
      <c r="B30" s="9">
        <f>SUM(B28:B29)+B24</f>
        <v>4289</v>
      </c>
      <c r="C30" s="9">
        <f t="shared" ref="C30:G30" si="7">SUM(C28:C29)+C24</f>
        <v>1710</v>
      </c>
      <c r="D30" s="9">
        <f t="shared" si="7"/>
        <v>9146</v>
      </c>
      <c r="E30" s="9">
        <f t="shared" si="7"/>
        <v>28954</v>
      </c>
      <c r="F30" s="9">
        <f t="shared" si="7"/>
        <v>163874</v>
      </c>
      <c r="G30" s="9">
        <f t="shared" si="7"/>
        <v>16931</v>
      </c>
    </row>
    <row r="31" spans="1:7" x14ac:dyDescent="0.25">
      <c r="A31" s="10" t="s">
        <v>46</v>
      </c>
      <c r="B31" s="9">
        <f>IF(B30-B26&gt;0,B30-B26,0)</f>
        <v>0</v>
      </c>
      <c r="C31" s="9">
        <f t="shared" ref="C31:G31" si="8">IF(C30-C26&gt;0,C30-C26,0)</f>
        <v>0</v>
      </c>
      <c r="D31" s="9">
        <f t="shared" si="8"/>
        <v>0</v>
      </c>
      <c r="E31" s="9">
        <f t="shared" si="8"/>
        <v>14657.9</v>
      </c>
      <c r="F31" s="9">
        <f t="shared" si="8"/>
        <v>0</v>
      </c>
      <c r="G31" s="9">
        <f t="shared" si="8"/>
        <v>8922.7000000000007</v>
      </c>
    </row>
    <row r="32" spans="1:7" x14ac:dyDescent="0.25">
      <c r="A32" s="10" t="s">
        <v>47</v>
      </c>
      <c r="B32" s="9">
        <f>IF(B26-B30&gt;0,B26-B30,0)</f>
        <v>340.19999999999982</v>
      </c>
      <c r="C32" s="9">
        <f t="shared" ref="C32:G32" si="9">IF(C26-C30&gt;0,C26-C30,0)</f>
        <v>33.200000000000045</v>
      </c>
      <c r="D32" s="9">
        <f t="shared" si="9"/>
        <v>55.399999999999636</v>
      </c>
      <c r="E32" s="9">
        <f t="shared" si="9"/>
        <v>0</v>
      </c>
      <c r="F32" s="9">
        <f t="shared" si="9"/>
        <v>18736</v>
      </c>
      <c r="G32" s="9">
        <f t="shared" si="9"/>
        <v>0</v>
      </c>
    </row>
  </sheetData>
  <mergeCells count="6">
    <mergeCell ref="D1:F1"/>
    <mergeCell ref="A27:G27"/>
    <mergeCell ref="A22:G22"/>
    <mergeCell ref="A17:G17"/>
    <mergeCell ref="A13:G13"/>
    <mergeCell ref="A10:G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Ibiatova</dc:creator>
  <cp:lastModifiedBy>Дмитрий Пузынин</cp:lastModifiedBy>
  <dcterms:created xsi:type="dcterms:W3CDTF">2015-06-05T18:19:34Z</dcterms:created>
  <dcterms:modified xsi:type="dcterms:W3CDTF">2025-05-15T04:46:37Z</dcterms:modified>
</cp:coreProperties>
</file>