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Теоретическая информатика\Лабы\Контрольная\Дима\"/>
    </mc:Choice>
  </mc:AlternateContent>
  <xr:revisionPtr revIDLastSave="0" documentId="13_ncr:1_{531739FC-9C30-4C43-A471-4F43A97E1C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Лист1!$A$1:$E$8</definedName>
    <definedName name="_xlnm.Extract" localSheetId="0">Лист1!$H$5:$L$5</definedName>
    <definedName name="_xlnm.Criteria" localSheetId="0">Лист1!$H$1:$L$3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2" i="1"/>
  <c r="D2" i="1" s="1"/>
  <c r="D8" i="1" l="1"/>
  <c r="D7" i="1"/>
  <c r="D6" i="1"/>
  <c r="D5" i="1"/>
  <c r="D4" i="1"/>
  <c r="D3" i="1"/>
  <c r="E2" i="1"/>
</calcChain>
</file>

<file path=xl/sharedStrings.xml><?xml version="1.0" encoding="utf-8"?>
<sst xmlns="http://schemas.openxmlformats.org/spreadsheetml/2006/main" count="54" uniqueCount="21">
  <si>
    <t>Артикул товара</t>
  </si>
  <si>
    <t>Оптовая цена (руб.)</t>
  </si>
  <si>
    <t>Розничная цена (руб.)</t>
  </si>
  <si>
    <t>Цена со скидкой (руб.)</t>
  </si>
  <si>
    <t>23456А</t>
  </si>
  <si>
    <t>56789А</t>
  </si>
  <si>
    <t>985412В</t>
  </si>
  <si>
    <t>56789С</t>
  </si>
  <si>
    <t>456856В</t>
  </si>
  <si>
    <t>45698А</t>
  </si>
  <si>
    <t>7895621В</t>
  </si>
  <si>
    <t>Коэффициент опта</t>
  </si>
  <si>
    <t>Коэффициент скидки</t>
  </si>
  <si>
    <t>Ценовая категория</t>
  </si>
  <si>
    <t>&gt;=3000</t>
  </si>
  <si>
    <t>&lt;=6000</t>
  </si>
  <si>
    <t>нижняя</t>
  </si>
  <si>
    <t>средняя</t>
  </si>
  <si>
    <t>высшая</t>
  </si>
  <si>
    <t>&gt;=2000</t>
  </si>
  <si>
    <t>&lt;=5000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</si>
</sst>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Стоимость</a:t>
            </a:r>
            <a:r>
              <a:rPr lang="ru-RU" baseline="0"/>
              <a:t>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Оптовая цена (руб.)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Лист1!$A$2:$A$8</c:f>
              <c:strCache>
                <c:ptCount val="7"/>
                <c:pt idx="0">
                  <c:v>23456А</c:v>
                </c:pt>
                <c:pt idx="1">
                  <c:v>56789А</c:v>
                </c:pt>
                <c:pt idx="2">
                  <c:v>985412В</c:v>
                </c:pt>
                <c:pt idx="3">
                  <c:v>56789С</c:v>
                </c:pt>
                <c:pt idx="4">
                  <c:v>456856В</c:v>
                </c:pt>
                <c:pt idx="5">
                  <c:v>45698А</c:v>
                </c:pt>
                <c:pt idx="6">
                  <c:v>7895621В</c:v>
                </c:pt>
              </c:strCache>
            </c:strRef>
          </c:cat>
          <c:val>
            <c:numRef>
              <c:f>Лист1!$B$2:$B$8</c:f>
              <c:numCache>
                <c:formatCode>General</c:formatCode>
                <c:ptCount val="7"/>
                <c:pt idx="0">
                  <c:v>1500</c:v>
                </c:pt>
                <c:pt idx="1">
                  <c:v>2300</c:v>
                </c:pt>
                <c:pt idx="2">
                  <c:v>4580</c:v>
                </c:pt>
                <c:pt idx="3">
                  <c:v>5620</c:v>
                </c:pt>
                <c:pt idx="4">
                  <c:v>2280</c:v>
                </c:pt>
                <c:pt idx="5">
                  <c:v>2450</c:v>
                </c:pt>
                <c:pt idx="6">
                  <c:v>6540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5-4CDD-B31D-4105A35B7976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Розничная цена (руб.)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Лист1!$A$2:$A$8</c:f>
              <c:strCache>
                <c:ptCount val="7"/>
                <c:pt idx="0">
                  <c:v>23456А</c:v>
                </c:pt>
                <c:pt idx="1">
                  <c:v>56789А</c:v>
                </c:pt>
                <c:pt idx="2">
                  <c:v>985412В</c:v>
                </c:pt>
                <c:pt idx="3">
                  <c:v>56789С</c:v>
                </c:pt>
                <c:pt idx="4">
                  <c:v>456856В</c:v>
                </c:pt>
                <c:pt idx="5">
                  <c:v>45698А</c:v>
                </c:pt>
                <c:pt idx="6">
                  <c:v>7895621В</c:v>
                </c:pt>
              </c:strCache>
            </c:strRef>
          </c:cat>
          <c:val>
            <c:numRef>
              <c:f>Лист1!$C$2:$C$8</c:f>
              <c:numCache>
                <c:formatCode>General</c:formatCode>
                <c:ptCount val="7"/>
                <c:pt idx="0">
                  <c:v>1650</c:v>
                </c:pt>
                <c:pt idx="1">
                  <c:v>2530</c:v>
                </c:pt>
                <c:pt idx="2">
                  <c:v>5038</c:v>
                </c:pt>
                <c:pt idx="3">
                  <c:v>6182</c:v>
                </c:pt>
                <c:pt idx="4">
                  <c:v>2508</c:v>
                </c:pt>
                <c:pt idx="5">
                  <c:v>2695</c:v>
                </c:pt>
                <c:pt idx="6">
                  <c:v>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5-4CDD-B31D-4105A35B7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9139472"/>
        <c:axId val="439140912"/>
        <c:axId val="0"/>
      </c:bar3DChart>
      <c:catAx>
        <c:axId val="43913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140912"/>
        <c:crosses val="autoZero"/>
        <c:auto val="1"/>
        <c:lblAlgn val="ctr"/>
        <c:lblOffset val="100"/>
        <c:noMultiLvlLbl val="0"/>
      </c:catAx>
      <c:valAx>
        <c:axId val="43914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13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12</xdr:row>
      <xdr:rowOff>128587</xdr:rowOff>
    </xdr:from>
    <xdr:to>
      <xdr:col>13</xdr:col>
      <xdr:colOff>504825</xdr:colOff>
      <xdr:row>27</xdr:row>
      <xdr:rowOff>14287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F429F28-6BF1-5FEB-CECE-5971962C3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E5" sqref="E5"/>
    </sheetView>
  </sheetViews>
  <sheetFormatPr defaultRowHeight="15" x14ac:dyDescent="0.25"/>
  <cols>
    <col min="1" max="1" width="13.42578125" customWidth="1"/>
    <col min="2" max="2" width="12.85546875" customWidth="1"/>
    <col min="3" max="3" width="12.28515625" customWidth="1"/>
    <col min="4" max="4" width="15.85546875" customWidth="1"/>
    <col min="5" max="5" width="12.28515625" customWidth="1"/>
  </cols>
  <sheetData>
    <row r="1" spans="1:17" ht="42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" t="s">
        <v>13</v>
      </c>
      <c r="H1" s="10" t="s">
        <v>0</v>
      </c>
      <c r="I1" s="10" t="s">
        <v>1</v>
      </c>
      <c r="J1" s="10" t="s">
        <v>2</v>
      </c>
      <c r="K1" s="10" t="s">
        <v>3</v>
      </c>
      <c r="L1" s="1" t="s">
        <v>13</v>
      </c>
      <c r="N1" s="1" t="s">
        <v>13</v>
      </c>
      <c r="P1" s="10" t="s">
        <v>2</v>
      </c>
    </row>
    <row r="2" spans="1:17" ht="16.5" thickBot="1" x14ac:dyDescent="0.3">
      <c r="A2" s="2" t="s">
        <v>4</v>
      </c>
      <c r="B2" s="3">
        <v>1500</v>
      </c>
      <c r="C2" s="4">
        <f>B2+B2*$B$10</f>
        <v>1650</v>
      </c>
      <c r="D2" s="4">
        <f>C2-C2*$B$11</f>
        <v>1402.5</v>
      </c>
      <c r="E2" s="4" t="str">
        <f>IF(C2&lt;2000,"нижняя",IF(C2&lt;5000,"средняя",IF(C2&gt;5000,"высшая")))</f>
        <v>нижняя</v>
      </c>
      <c r="I2" t="s">
        <v>14</v>
      </c>
      <c r="N2" s="4" t="s">
        <v>17</v>
      </c>
      <c r="P2" t="s">
        <v>19</v>
      </c>
      <c r="Q2" t="s">
        <v>20</v>
      </c>
    </row>
    <row r="3" spans="1:17" ht="16.5" thickBot="1" x14ac:dyDescent="0.3">
      <c r="A3" s="2" t="s">
        <v>5</v>
      </c>
      <c r="B3" s="3">
        <v>2300</v>
      </c>
      <c r="C3" s="4">
        <f t="shared" ref="C3:C8" si="0">B3+B3*$B$10</f>
        <v>2530</v>
      </c>
      <c r="D3" s="4">
        <f t="shared" ref="D3:D8" si="1">C3-C3*$B$11</f>
        <v>2150.5</v>
      </c>
      <c r="E3" s="4" t="str">
        <f t="shared" ref="E3:E8" si="2">IF(C3&lt;2000,"нижняя",IF(C3&lt;5000,"средняя",IF(C3&gt;5000,"высшая")))</f>
        <v>средняя</v>
      </c>
      <c r="I3" t="s">
        <v>15</v>
      </c>
    </row>
    <row r="4" spans="1:17" ht="16.5" thickBot="1" x14ac:dyDescent="0.3">
      <c r="A4" s="2" t="s">
        <v>6</v>
      </c>
      <c r="B4" s="3">
        <v>4580</v>
      </c>
      <c r="C4" s="4">
        <f t="shared" si="0"/>
        <v>5038</v>
      </c>
      <c r="D4" s="4">
        <f t="shared" si="1"/>
        <v>4282.3</v>
      </c>
      <c r="E4" s="4" t="str">
        <f t="shared" si="2"/>
        <v>высшая</v>
      </c>
    </row>
    <row r="5" spans="1:17" ht="63.75" thickBot="1" x14ac:dyDescent="0.3">
      <c r="A5" s="2" t="s">
        <v>7</v>
      </c>
      <c r="B5" s="3">
        <v>5620</v>
      </c>
      <c r="C5" s="4">
        <f t="shared" si="0"/>
        <v>6182</v>
      </c>
      <c r="D5" s="4">
        <f t="shared" si="1"/>
        <v>5254.7</v>
      </c>
      <c r="E5" s="4" t="str">
        <f t="shared" si="2"/>
        <v>высшая</v>
      </c>
      <c r="H5" s="10" t="s">
        <v>0</v>
      </c>
      <c r="I5" s="10" t="s">
        <v>1</v>
      </c>
      <c r="J5" s="10" t="s">
        <v>2</v>
      </c>
      <c r="K5" s="10" t="s">
        <v>3</v>
      </c>
      <c r="L5" s="1" t="s">
        <v>13</v>
      </c>
    </row>
    <row r="6" spans="1:17" ht="32.25" thickBot="1" x14ac:dyDescent="0.3">
      <c r="A6" s="2" t="s">
        <v>8</v>
      </c>
      <c r="B6" s="3">
        <v>2280</v>
      </c>
      <c r="C6" s="4">
        <f t="shared" si="0"/>
        <v>2508</v>
      </c>
      <c r="D6" s="4">
        <f t="shared" si="1"/>
        <v>2131.8000000000002</v>
      </c>
      <c r="E6" s="4" t="str">
        <f t="shared" si="2"/>
        <v>средняя</v>
      </c>
      <c r="H6" s="2" t="s">
        <v>6</v>
      </c>
      <c r="I6" s="3">
        <v>4580</v>
      </c>
      <c r="J6" s="4">
        <v>5038</v>
      </c>
      <c r="K6" s="4">
        <v>4282.3</v>
      </c>
      <c r="L6" s="4" t="s">
        <v>18</v>
      </c>
    </row>
    <row r="7" spans="1:17" ht="16.5" thickBot="1" x14ac:dyDescent="0.3">
      <c r="A7" s="2" t="s">
        <v>9</v>
      </c>
      <c r="B7" s="3">
        <v>2450</v>
      </c>
      <c r="C7" s="4">
        <f t="shared" si="0"/>
        <v>2695</v>
      </c>
      <c r="D7" s="4">
        <f t="shared" si="1"/>
        <v>2290.75</v>
      </c>
      <c r="E7" s="4" t="str">
        <f t="shared" si="2"/>
        <v>средняя</v>
      </c>
      <c r="H7" s="2" t="s">
        <v>7</v>
      </c>
      <c r="I7" s="3">
        <v>5620</v>
      </c>
      <c r="J7" s="4">
        <v>6182</v>
      </c>
      <c r="K7" s="4">
        <v>5254.7</v>
      </c>
      <c r="L7" s="4" t="s">
        <v>18</v>
      </c>
    </row>
    <row r="8" spans="1:17" ht="16.5" thickBot="1" x14ac:dyDescent="0.3">
      <c r="A8" s="2" t="s">
        <v>10</v>
      </c>
      <c r="B8" s="3">
        <v>6540</v>
      </c>
      <c r="C8" s="4">
        <f t="shared" si="0"/>
        <v>7194</v>
      </c>
      <c r="D8" s="4">
        <f t="shared" si="1"/>
        <v>6114.9</v>
      </c>
      <c r="E8" s="4" t="str">
        <f t="shared" si="2"/>
        <v>высшая</v>
      </c>
    </row>
    <row r="9" spans="1:17" ht="16.5" thickBot="1" x14ac:dyDescent="0.3">
      <c r="A9" s="7"/>
      <c r="B9" s="8"/>
      <c r="C9" s="8"/>
      <c r="D9" s="8"/>
      <c r="E9" s="9"/>
    </row>
    <row r="10" spans="1:17" ht="32.25" thickBot="1" x14ac:dyDescent="0.3">
      <c r="A10" s="5" t="s">
        <v>11</v>
      </c>
      <c r="B10" s="6">
        <v>0.1</v>
      </c>
      <c r="C10" s="4"/>
      <c r="D10" s="4"/>
      <c r="E10" s="4"/>
      <c r="H10">
        <f>DCOUNT(A14:E21,E14,N1:N2)</f>
        <v>0</v>
      </c>
      <c r="I10">
        <f>COUNTIF(E1:E8,E6)</f>
        <v>3</v>
      </c>
    </row>
    <row r="11" spans="1:17" ht="32.25" thickBot="1" x14ac:dyDescent="0.3">
      <c r="A11" s="5" t="s">
        <v>12</v>
      </c>
      <c r="B11" s="6">
        <v>0.15</v>
      </c>
      <c r="C11" s="4"/>
      <c r="D11" s="4"/>
      <c r="E11" s="4"/>
    </row>
    <row r="14" spans="1:17" x14ac:dyDescent="0.25">
      <c r="A14" t="s">
        <v>0</v>
      </c>
      <c r="B14" t="s">
        <v>1</v>
      </c>
      <c r="C14" t="s">
        <v>2</v>
      </c>
      <c r="D14" t="s">
        <v>3</v>
      </c>
      <c r="E14" t="s">
        <v>13</v>
      </c>
    </row>
    <row r="15" spans="1:17" x14ac:dyDescent="0.25">
      <c r="A15" t="s">
        <v>4</v>
      </c>
      <c r="B15">
        <v>1500</v>
      </c>
      <c r="C15">
        <v>1650</v>
      </c>
      <c r="D15">
        <v>1402.5</v>
      </c>
      <c r="E15" t="s">
        <v>16</v>
      </c>
    </row>
    <row r="16" spans="1:17" x14ac:dyDescent="0.25">
      <c r="A16" t="s">
        <v>5</v>
      </c>
      <c r="B16">
        <v>2300</v>
      </c>
      <c r="C16">
        <v>2530</v>
      </c>
      <c r="D16">
        <v>2150.5</v>
      </c>
      <c r="E16" t="s">
        <v>17</v>
      </c>
    </row>
    <row r="17" spans="1:5" x14ac:dyDescent="0.25">
      <c r="A17" t="s">
        <v>6</v>
      </c>
      <c r="B17">
        <v>4580</v>
      </c>
      <c r="C17">
        <v>5038</v>
      </c>
      <c r="D17">
        <v>4282.3</v>
      </c>
      <c r="E17" t="s">
        <v>18</v>
      </c>
    </row>
    <row r="18" spans="1:5" x14ac:dyDescent="0.25">
      <c r="A18" t="s">
        <v>7</v>
      </c>
      <c r="B18">
        <v>5620</v>
      </c>
      <c r="C18">
        <v>6182</v>
      </c>
      <c r="D18">
        <v>5254.7</v>
      </c>
      <c r="E18" t="s">
        <v>18</v>
      </c>
    </row>
    <row r="19" spans="1:5" x14ac:dyDescent="0.25">
      <c r="A19" t="s">
        <v>8</v>
      </c>
      <c r="B19">
        <v>2280</v>
      </c>
      <c r="C19">
        <v>2508</v>
      </c>
      <c r="D19">
        <v>2131.8000000000002</v>
      </c>
      <c r="E19" t="s">
        <v>17</v>
      </c>
    </row>
    <row r="20" spans="1:5" x14ac:dyDescent="0.25">
      <c r="A20" t="s">
        <v>9</v>
      </c>
      <c r="B20">
        <v>2450</v>
      </c>
      <c r="C20">
        <v>2695</v>
      </c>
      <c r="D20">
        <v>2290.75</v>
      </c>
      <c r="E20" t="s">
        <v>17</v>
      </c>
    </row>
    <row r="21" spans="1:5" x14ac:dyDescent="0.25">
      <c r="A21" t="s">
        <v>10</v>
      </c>
      <c r="B21">
        <v>6540</v>
      </c>
      <c r="C21">
        <v>7194</v>
      </c>
      <c r="D21">
        <v>6114.9</v>
      </c>
      <c r="E21" t="s">
        <v>18</v>
      </c>
    </row>
  </sheetData>
  <mergeCells count="1">
    <mergeCell ref="A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Лист1!Извлечь</vt:lpstr>
      <vt:lpstr>Лист1!Критерии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luvidmi</dc:creator>
  <cp:lastModifiedBy>Дмитрий Пузынин</cp:lastModifiedBy>
  <dcterms:created xsi:type="dcterms:W3CDTF">2015-06-05T18:19:34Z</dcterms:created>
  <dcterms:modified xsi:type="dcterms:W3CDTF">2025-05-21T04:00:03Z</dcterms:modified>
</cp:coreProperties>
</file>