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Codespace\Файлы\1 курс\2 семестр\Теоретическая информатика\Лабы\Контрольная\Влад\"/>
    </mc:Choice>
  </mc:AlternateContent>
  <xr:revisionPtr revIDLastSave="0" documentId="13_ncr:1_{B18E89C2-9FFF-4ABE-A02A-3A589F105622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Лист1!$A$1:$G$11</definedName>
    <definedName name="_xlnm.Extract" localSheetId="0">Лист1!$A$17:$G$17</definedName>
    <definedName name="_xlnm.Criteria" localSheetId="0">Лист1!$A$13:$D$14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1" l="1"/>
  <c r="D11" i="1"/>
  <c r="C11" i="1"/>
  <c r="E3" i="1"/>
  <c r="G3" i="1" s="1"/>
  <c r="E4" i="1"/>
  <c r="G4" i="1" s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2" i="1"/>
  <c r="G2" i="1" s="1"/>
  <c r="F3" i="1"/>
  <c r="F4" i="1"/>
  <c r="F5" i="1"/>
  <c r="F6" i="1"/>
  <c r="F7" i="1"/>
  <c r="F8" i="1"/>
  <c r="F9" i="1"/>
  <c r="F10" i="1"/>
  <c r="F2" i="1"/>
  <c r="F11" i="1" l="1"/>
  <c r="E11" i="1"/>
  <c r="G11" i="1"/>
</calcChain>
</file>

<file path=xl/sharedStrings.xml><?xml version="1.0" encoding="utf-8"?>
<sst xmlns="http://schemas.openxmlformats.org/spreadsheetml/2006/main" count="41" uniqueCount="20">
  <si>
    <t>№</t>
  </si>
  <si>
    <t>Наименование объекта</t>
  </si>
  <si>
    <t>Балансовая стоимость</t>
  </si>
  <si>
    <t>Износ</t>
  </si>
  <si>
    <t>Остаточная стоимость</t>
  </si>
  <si>
    <t>Восстановительная полная стоимость</t>
  </si>
  <si>
    <t>Восстановительная остаточная стоимость</t>
  </si>
  <si>
    <t>Заводоуправление</t>
  </si>
  <si>
    <t>Диспетчерская</t>
  </si>
  <si>
    <t>Цех 1</t>
  </si>
  <si>
    <t>Цех 2</t>
  </si>
  <si>
    <t>Цех 3</t>
  </si>
  <si>
    <t>Склад 1</t>
  </si>
  <si>
    <t>Склад 2</t>
  </si>
  <si>
    <t>Склад 3</t>
  </si>
  <si>
    <t>Склад 4</t>
  </si>
  <si>
    <t>Итого</t>
  </si>
  <si>
    <t>&gt;400</t>
  </si>
  <si>
    <t>&lt;800</t>
  </si>
  <si>
    <t>&gt;100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</si>
</sst>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Fill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3"/>
          <c:order val="0"/>
          <c:tx>
            <c:strRef>
              <c:f>Лист1!$F$1</c:f>
              <c:strCache>
                <c:ptCount val="1"/>
                <c:pt idx="0">
                  <c:v>Восстановительная полная стоимость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Лист1!$B$2:$B$10</c:f>
              <c:strCache>
                <c:ptCount val="9"/>
                <c:pt idx="0">
                  <c:v>Заводоуправление</c:v>
                </c:pt>
                <c:pt idx="1">
                  <c:v>Диспетчерская</c:v>
                </c:pt>
                <c:pt idx="2">
                  <c:v>Цех 1</c:v>
                </c:pt>
                <c:pt idx="3">
                  <c:v>Цех 2</c:v>
                </c:pt>
                <c:pt idx="4">
                  <c:v>Цех 3</c:v>
                </c:pt>
                <c:pt idx="5">
                  <c:v>Склад 1</c:v>
                </c:pt>
                <c:pt idx="6">
                  <c:v>Склад 2</c:v>
                </c:pt>
                <c:pt idx="7">
                  <c:v>Склад 3</c:v>
                </c:pt>
                <c:pt idx="8">
                  <c:v>Склад 4</c:v>
                </c:pt>
              </c:strCache>
            </c:strRef>
          </c:cat>
          <c:val>
            <c:numRef>
              <c:f>Лист1!$F$2:$F$10</c:f>
              <c:numCache>
                <c:formatCode>General</c:formatCode>
                <c:ptCount val="9"/>
                <c:pt idx="0">
                  <c:v>40371</c:v>
                </c:pt>
                <c:pt idx="1">
                  <c:v>374.8</c:v>
                </c:pt>
                <c:pt idx="2">
                  <c:v>2797.8</c:v>
                </c:pt>
                <c:pt idx="3">
                  <c:v>2613.8999999999996</c:v>
                </c:pt>
                <c:pt idx="4">
                  <c:v>2306.3999999999996</c:v>
                </c:pt>
                <c:pt idx="5">
                  <c:v>1729.5</c:v>
                </c:pt>
                <c:pt idx="6">
                  <c:v>689.2</c:v>
                </c:pt>
                <c:pt idx="7">
                  <c:v>1702.1999999999998</c:v>
                </c:pt>
                <c:pt idx="8">
                  <c:v>625.20000000000005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2E-4079-958E-36EF05429D4F}"/>
            </c:ext>
          </c:extLst>
        </c:ser>
        <c:ser>
          <c:idx val="4"/>
          <c:order val="1"/>
          <c:tx>
            <c:strRef>
              <c:f>Лист1!$G$1</c:f>
              <c:strCache>
                <c:ptCount val="1"/>
                <c:pt idx="0">
                  <c:v>Восстановительная остаточная стоимость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Лист1!$B$2:$B$10</c:f>
              <c:strCache>
                <c:ptCount val="9"/>
                <c:pt idx="0">
                  <c:v>Заводоуправление</c:v>
                </c:pt>
                <c:pt idx="1">
                  <c:v>Диспетчерская</c:v>
                </c:pt>
                <c:pt idx="2">
                  <c:v>Цех 1</c:v>
                </c:pt>
                <c:pt idx="3">
                  <c:v>Цех 2</c:v>
                </c:pt>
                <c:pt idx="4">
                  <c:v>Цех 3</c:v>
                </c:pt>
                <c:pt idx="5">
                  <c:v>Склад 1</c:v>
                </c:pt>
                <c:pt idx="6">
                  <c:v>Склад 2</c:v>
                </c:pt>
                <c:pt idx="7">
                  <c:v>Склад 3</c:v>
                </c:pt>
                <c:pt idx="8">
                  <c:v>Склад 4</c:v>
                </c:pt>
              </c:strCache>
            </c:strRef>
          </c:cat>
          <c:val>
            <c:numRef>
              <c:f>Лист1!$G$2:$G$10</c:f>
              <c:numCache>
                <c:formatCode>General</c:formatCode>
                <c:ptCount val="9"/>
                <c:pt idx="0">
                  <c:v>38603.100000000006</c:v>
                </c:pt>
                <c:pt idx="1">
                  <c:v>272</c:v>
                </c:pt>
                <c:pt idx="2">
                  <c:v>2119.5</c:v>
                </c:pt>
                <c:pt idx="3">
                  <c:v>1972.5</c:v>
                </c:pt>
                <c:pt idx="4">
                  <c:v>1901.6999999999998</c:v>
                </c:pt>
                <c:pt idx="5">
                  <c:v>1070.6999999999998</c:v>
                </c:pt>
                <c:pt idx="6">
                  <c:v>492.40000000000003</c:v>
                </c:pt>
                <c:pt idx="7">
                  <c:v>1331.6999999999998</c:v>
                </c:pt>
                <c:pt idx="8">
                  <c:v>471.6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2E-4079-958E-36EF05429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26184712"/>
        <c:axId val="826185072"/>
        <c:axId val="0"/>
      </c:bar3DChart>
      <c:catAx>
        <c:axId val="82618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6185072"/>
        <c:crosses val="autoZero"/>
        <c:auto val="1"/>
        <c:lblAlgn val="ctr"/>
        <c:lblOffset val="100"/>
        <c:noMultiLvlLbl val="0"/>
      </c:catAx>
      <c:valAx>
        <c:axId val="82618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6184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1</xdr:row>
      <xdr:rowOff>38100</xdr:rowOff>
    </xdr:from>
    <xdr:to>
      <xdr:col>15</xdr:col>
      <xdr:colOff>428625</xdr:colOff>
      <xdr:row>12</xdr:row>
      <xdr:rowOff>685800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D2B7438-11E4-0207-028B-9011AE862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B25" sqref="B25"/>
    </sheetView>
  </sheetViews>
  <sheetFormatPr defaultRowHeight="15" x14ac:dyDescent="0.25"/>
  <cols>
    <col min="1" max="1" width="3.28515625" bestFit="1" customWidth="1"/>
    <col min="2" max="2" width="18.7109375" bestFit="1" customWidth="1"/>
    <col min="3" max="3" width="11.42578125" bestFit="1" customWidth="1"/>
    <col min="5" max="5" width="13.28515625" customWidth="1"/>
    <col min="6" max="6" width="20" customWidth="1"/>
    <col min="7" max="7" width="18.85546875" bestFit="1" customWidth="1"/>
  </cols>
  <sheetData>
    <row r="1" spans="1: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2">
        <v>13457</v>
      </c>
      <c r="D2" s="2">
        <v>589.29999999999995</v>
      </c>
      <c r="E2" s="2">
        <f>C2-D2</f>
        <v>12867.7</v>
      </c>
      <c r="F2" s="2">
        <f>IF(C2&gt;500,C2*3,C2*2)</f>
        <v>40371</v>
      </c>
      <c r="G2" s="2">
        <f>IF(C2&gt;500,E2*3,E2*2)</f>
        <v>38603.100000000006</v>
      </c>
    </row>
    <row r="3" spans="1:7" x14ac:dyDescent="0.25">
      <c r="A3" s="2">
        <v>2</v>
      </c>
      <c r="B3" s="2" t="s">
        <v>8</v>
      </c>
      <c r="C3" s="2">
        <v>187.4</v>
      </c>
      <c r="D3" s="2">
        <v>51.4</v>
      </c>
      <c r="E3" s="2">
        <f t="shared" ref="E3:E10" si="0">C3-D3</f>
        <v>136</v>
      </c>
      <c r="F3" s="2">
        <f t="shared" ref="F3:F10" si="1">IF(C3&gt;500,C3*3,C3*2)</f>
        <v>374.8</v>
      </c>
      <c r="G3" s="2">
        <f t="shared" ref="G3:G10" si="2">IF(C3&gt;500,E3*3,E3*2)</f>
        <v>272</v>
      </c>
    </row>
    <row r="4" spans="1:7" x14ac:dyDescent="0.25">
      <c r="A4" s="2">
        <v>3</v>
      </c>
      <c r="B4" s="2" t="s">
        <v>9</v>
      </c>
      <c r="C4" s="2">
        <v>932.6</v>
      </c>
      <c r="D4" s="2">
        <v>226.1</v>
      </c>
      <c r="E4" s="2">
        <f t="shared" si="0"/>
        <v>706.5</v>
      </c>
      <c r="F4" s="2">
        <f t="shared" si="1"/>
        <v>2797.8</v>
      </c>
      <c r="G4" s="2">
        <f t="shared" si="2"/>
        <v>2119.5</v>
      </c>
    </row>
    <row r="5" spans="1:7" x14ac:dyDescent="0.25">
      <c r="A5" s="2">
        <v>4</v>
      </c>
      <c r="B5" s="2" t="s">
        <v>10</v>
      </c>
      <c r="C5" s="2">
        <v>871.3</v>
      </c>
      <c r="D5" s="2">
        <v>213.8</v>
      </c>
      <c r="E5" s="2">
        <f t="shared" si="0"/>
        <v>657.5</v>
      </c>
      <c r="F5" s="2">
        <f t="shared" si="1"/>
        <v>2613.8999999999996</v>
      </c>
      <c r="G5" s="2">
        <f t="shared" si="2"/>
        <v>1972.5</v>
      </c>
    </row>
    <row r="6" spans="1:7" x14ac:dyDescent="0.25">
      <c r="A6" s="2">
        <v>5</v>
      </c>
      <c r="B6" s="2" t="s">
        <v>11</v>
      </c>
      <c r="C6" s="2">
        <v>768.8</v>
      </c>
      <c r="D6" s="2">
        <v>134.9</v>
      </c>
      <c r="E6" s="2">
        <f t="shared" si="0"/>
        <v>633.9</v>
      </c>
      <c r="F6" s="2">
        <f t="shared" si="1"/>
        <v>2306.3999999999996</v>
      </c>
      <c r="G6" s="2">
        <f t="shared" si="2"/>
        <v>1901.6999999999998</v>
      </c>
    </row>
    <row r="7" spans="1:7" x14ac:dyDescent="0.25">
      <c r="A7" s="2">
        <v>6</v>
      </c>
      <c r="B7" s="2" t="s">
        <v>12</v>
      </c>
      <c r="C7" s="2">
        <v>576.5</v>
      </c>
      <c r="D7" s="2">
        <v>219.6</v>
      </c>
      <c r="E7" s="2">
        <f t="shared" si="0"/>
        <v>356.9</v>
      </c>
      <c r="F7" s="2">
        <f t="shared" si="1"/>
        <v>1729.5</v>
      </c>
      <c r="G7" s="2">
        <f t="shared" si="2"/>
        <v>1070.6999999999998</v>
      </c>
    </row>
    <row r="8" spans="1:7" x14ac:dyDescent="0.25">
      <c r="A8" s="2">
        <v>7</v>
      </c>
      <c r="B8" s="2" t="s">
        <v>13</v>
      </c>
      <c r="C8" s="2">
        <v>344.6</v>
      </c>
      <c r="D8" s="2">
        <v>98.4</v>
      </c>
      <c r="E8" s="2">
        <f t="shared" si="0"/>
        <v>246.20000000000002</v>
      </c>
      <c r="F8" s="2">
        <f t="shared" si="1"/>
        <v>689.2</v>
      </c>
      <c r="G8" s="2">
        <f t="shared" si="2"/>
        <v>492.40000000000003</v>
      </c>
    </row>
    <row r="9" spans="1:7" x14ac:dyDescent="0.25">
      <c r="A9" s="2">
        <v>8</v>
      </c>
      <c r="B9" s="2" t="s">
        <v>14</v>
      </c>
      <c r="C9" s="2">
        <v>567.4</v>
      </c>
      <c r="D9" s="2">
        <v>123.5</v>
      </c>
      <c r="E9" s="2">
        <f t="shared" si="0"/>
        <v>443.9</v>
      </c>
      <c r="F9" s="2">
        <f t="shared" si="1"/>
        <v>1702.1999999999998</v>
      </c>
      <c r="G9" s="2">
        <f t="shared" si="2"/>
        <v>1331.6999999999998</v>
      </c>
    </row>
    <row r="10" spans="1:7" x14ac:dyDescent="0.25">
      <c r="A10" s="2">
        <v>9</v>
      </c>
      <c r="B10" s="2" t="s">
        <v>15</v>
      </c>
      <c r="C10" s="2">
        <v>312.60000000000002</v>
      </c>
      <c r="D10" s="2">
        <v>76.8</v>
      </c>
      <c r="E10" s="2">
        <f t="shared" si="0"/>
        <v>235.8</v>
      </c>
      <c r="F10" s="2">
        <f t="shared" si="1"/>
        <v>625.20000000000005</v>
      </c>
      <c r="G10" s="2">
        <f t="shared" si="2"/>
        <v>471.6</v>
      </c>
    </row>
    <row r="11" spans="1:7" x14ac:dyDescent="0.25">
      <c r="A11" s="2"/>
      <c r="B11" s="3" t="s">
        <v>16</v>
      </c>
      <c r="C11" s="2">
        <f>SUM(C2:C10)</f>
        <v>18018.199999999997</v>
      </c>
      <c r="D11" s="2">
        <f t="shared" ref="D11:G11" si="3">SUM(D2:D10)</f>
        <v>1733.8</v>
      </c>
      <c r="E11" s="2">
        <f t="shared" si="3"/>
        <v>16284.4</v>
      </c>
      <c r="F11" s="2">
        <f t="shared" si="3"/>
        <v>53210</v>
      </c>
      <c r="G11" s="2">
        <f t="shared" si="3"/>
        <v>48235.199999999997</v>
      </c>
    </row>
    <row r="13" spans="1:7" ht="60" x14ac:dyDescent="0.25">
      <c r="A13" s="1" t="s">
        <v>0</v>
      </c>
      <c r="B13" s="1" t="s">
        <v>1</v>
      </c>
      <c r="C13" s="1" t="s">
        <v>2</v>
      </c>
      <c r="D13" s="1" t="s">
        <v>2</v>
      </c>
    </row>
    <row r="14" spans="1:7" x14ac:dyDescent="0.25">
      <c r="C14" t="s">
        <v>17</v>
      </c>
      <c r="D14" t="s">
        <v>18</v>
      </c>
    </row>
    <row r="17" spans="1:7" ht="45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 x14ac:dyDescent="0.25">
      <c r="A18" s="2">
        <v>5</v>
      </c>
      <c r="B18" s="2" t="s">
        <v>11</v>
      </c>
      <c r="C18" s="2">
        <v>768.8</v>
      </c>
      <c r="D18" s="2">
        <v>134.9</v>
      </c>
      <c r="E18" s="2">
        <v>633.9</v>
      </c>
      <c r="F18" s="2">
        <v>2306.3999999999996</v>
      </c>
      <c r="G18" s="2">
        <v>1901.6999999999998</v>
      </c>
    </row>
    <row r="19" spans="1:7" x14ac:dyDescent="0.25">
      <c r="A19" s="2">
        <v>6</v>
      </c>
      <c r="B19" s="2" t="s">
        <v>12</v>
      </c>
      <c r="C19" s="2">
        <v>576.5</v>
      </c>
      <c r="D19" s="2">
        <v>219.6</v>
      </c>
      <c r="E19" s="2">
        <v>356.9</v>
      </c>
      <c r="F19" s="2">
        <v>1729.5</v>
      </c>
      <c r="G19" s="2">
        <v>1070.6999999999998</v>
      </c>
    </row>
    <row r="20" spans="1:7" x14ac:dyDescent="0.25">
      <c r="A20" s="2">
        <v>8</v>
      </c>
      <c r="B20" s="2" t="s">
        <v>14</v>
      </c>
      <c r="C20" s="2">
        <v>567.4</v>
      </c>
      <c r="D20" s="2">
        <v>123.5</v>
      </c>
      <c r="E20" s="2">
        <v>443.9</v>
      </c>
      <c r="F20" s="2">
        <v>1702.1999999999998</v>
      </c>
      <c r="G20" s="2">
        <v>1331.6999999999998</v>
      </c>
    </row>
    <row r="23" spans="1:7" ht="45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</row>
    <row r="24" spans="1:7" x14ac:dyDescent="0.25">
      <c r="G24" t="s">
        <v>19</v>
      </c>
    </row>
    <row r="25" spans="1:7" x14ac:dyDescent="0.25">
      <c r="B25" s="4">
        <f>DSUM(A1:G11,G1,A23:G24)</f>
        <v>96470.399999999994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Лист1!Извлечь</vt:lpstr>
      <vt:lpstr>Лист1!Критерии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Vladisalv</dc:creator>
  <cp:lastModifiedBy>Vlad G</cp:lastModifiedBy>
  <dcterms:created xsi:type="dcterms:W3CDTF">2015-06-05T18:19:34Z</dcterms:created>
  <dcterms:modified xsi:type="dcterms:W3CDTF">2025-05-14T13:19:35Z</dcterms:modified>
</cp:coreProperties>
</file>