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Codespace\Файлы\2 курс\3 семестр\Информационные технологии\Лабораторные работы\Лабораторная работа №7\Влад\"/>
    </mc:Choice>
  </mc:AlternateContent>
  <xr:revisionPtr revIDLastSave="0" documentId="13_ncr:1_{49ECC363-91B0-4A97-84E8-A804B40FCA27}" xr6:coauthVersionLast="47" xr6:coauthVersionMax="47" xr10:uidLastSave="{00000000-0000-0000-0000-000000000000}"/>
  <bookViews>
    <workbookView xWindow="-120" yWindow="330" windowWidth="29040" windowHeight="15990" activeTab="1" xr2:uid="{971508CA-6B8B-45ED-9E7E-C3F3C42AFEC7}"/>
  </bookViews>
  <sheets>
    <sheet name="Макрос" sheetId="1" r:id="rId1"/>
    <sheet name="Формулы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3" i="2"/>
  <c r="C3" i="2" s="1"/>
  <c r="C2" i="2"/>
  <c r="D3" i="2"/>
  <c r="D4" i="2"/>
  <c r="D5" i="2"/>
  <c r="D6" i="2"/>
  <c r="D7" i="2"/>
  <c r="D8" i="2"/>
  <c r="D9" i="2"/>
  <c r="D2" i="2"/>
  <c r="B2" i="2"/>
  <c r="C4" i="2" l="1"/>
  <c r="B5" i="2" s="1"/>
  <c r="C5" i="2" l="1"/>
  <c r="B6" i="2" s="1"/>
  <c r="C6" i="2" l="1"/>
  <c r="B7" i="2" s="1"/>
  <c r="C7" i="2" l="1"/>
  <c r="B8" i="2" s="1"/>
  <c r="C8" i="2" l="1"/>
  <c r="B9" i="2" l="1"/>
  <c r="C9" i="2" s="1"/>
</calcChain>
</file>

<file path=xl/sharedStrings.xml><?xml version="1.0" encoding="utf-8"?>
<sst xmlns="http://schemas.openxmlformats.org/spreadsheetml/2006/main" count="26" uniqueCount="11">
  <si>
    <t>Урок</t>
  </si>
  <si>
    <t>Начало</t>
  </si>
  <si>
    <t>Окончание</t>
  </si>
  <si>
    <t>Тип перерыва</t>
  </si>
  <si>
    <t>Длительность урока (мин)</t>
  </si>
  <si>
    <t>Длительность обычного перерыва (мин)</t>
  </si>
  <si>
    <t>Длительность большого перерыва (мин)</t>
  </si>
  <si>
    <t>Номер урока перед большим перерывом</t>
  </si>
  <si>
    <t>Время начала</t>
  </si>
  <si>
    <t>Обычный перерыв</t>
  </si>
  <si>
    <t>Большой перерыв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</si>
</sst>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9" formatCode="[$-F400]h:mm:ss\ AM/PM"/>
    <numFmt numFmtId="171" formatCode="hh:mm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169" fontId="0" fillId="0" borderId="1" xfId="0" applyNumberFormat="1" applyFont="1" applyBorder="1" applyAlignment="1">
      <alignment horizontal="left" vertical="center"/>
    </xf>
    <xf numFmtId="0" fontId="2" fillId="0" borderId="1" xfId="1" applyBorder="1"/>
    <xf numFmtId="0" fontId="2" fillId="0" borderId="1" xfId="1" applyNumberFormat="1" applyBorder="1"/>
    <xf numFmtId="171" fontId="2" fillId="0" borderId="1" xfId="1" applyNumberFormat="1" applyBorder="1"/>
    <xf numFmtId="171" fontId="0" fillId="0" borderId="1" xfId="0" applyNumberFormat="1" applyBorder="1"/>
    <xf numFmtId="0" fontId="4" fillId="0" borderId="1" xfId="1" applyFont="1" applyBorder="1"/>
  </cellXfs>
  <cellStyles count="2">
    <cellStyle name="Обычный" xfId="0" builtinId="0"/>
    <cellStyle name="Обычный 2" xfId="1" xr:uid="{362AC43E-12D4-46E3-87F7-450E2B2BFC7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17</xdr:row>
          <xdr:rowOff>133350</xdr:rowOff>
        </xdr:from>
        <xdr:to>
          <xdr:col>7</xdr:col>
          <xdr:colOff>85725</xdr:colOff>
          <xdr:row>22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расписание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56679-795C-495F-AC55-C2961D44AFD5}">
  <sheetPr codeName="Лист1"/>
  <dimension ref="A1:J9"/>
  <sheetViews>
    <sheetView workbookViewId="0">
      <selection activeCell="H8" sqref="A1:XFD1048576"/>
    </sheetView>
  </sheetViews>
  <sheetFormatPr defaultRowHeight="15" x14ac:dyDescent="0.25"/>
  <cols>
    <col min="1" max="1" width="6" bestFit="1" customWidth="1"/>
    <col min="2" max="2" width="8.28515625" bestFit="1" customWidth="1"/>
    <col min="3" max="3" width="12.28515625" bestFit="1" customWidth="1"/>
    <col min="4" max="4" width="20" bestFit="1" customWidth="1"/>
    <col min="9" max="9" width="42" customWidth="1"/>
    <col min="10" max="10" width="17.42578125" bestFit="1" customWidth="1"/>
  </cols>
  <sheetData>
    <row r="1" spans="1:10" ht="15.75" x14ac:dyDescent="0.25">
      <c r="A1" s="12" t="s">
        <v>0</v>
      </c>
      <c r="B1" s="12" t="s">
        <v>1</v>
      </c>
      <c r="C1" s="12" t="s">
        <v>2</v>
      </c>
      <c r="D1" s="12" t="s">
        <v>3</v>
      </c>
      <c r="I1" s="4" t="s">
        <v>8</v>
      </c>
      <c r="J1" s="7">
        <v>0.33333333333333331</v>
      </c>
    </row>
    <row r="2" spans="1:10" ht="15.75" x14ac:dyDescent="0.25">
      <c r="A2" s="9">
        <v>1</v>
      </c>
      <c r="B2" s="10">
        <v>0.33333333333333331</v>
      </c>
      <c r="C2" s="10">
        <v>0.36458333333333331</v>
      </c>
      <c r="D2" s="8" t="s">
        <v>9</v>
      </c>
      <c r="I2" s="2" t="s">
        <v>4</v>
      </c>
      <c r="J2" s="5">
        <v>45</v>
      </c>
    </row>
    <row r="3" spans="1:10" ht="15.75" x14ac:dyDescent="0.25">
      <c r="A3" s="8">
        <v>2</v>
      </c>
      <c r="B3" s="10">
        <v>0.37152777777777779</v>
      </c>
      <c r="C3" s="10">
        <v>0.40277777777777779</v>
      </c>
      <c r="D3" s="8" t="s">
        <v>9</v>
      </c>
      <c r="I3" s="2" t="s">
        <v>5</v>
      </c>
      <c r="J3" s="5">
        <v>10</v>
      </c>
    </row>
    <row r="4" spans="1:10" ht="15.75" x14ac:dyDescent="0.25">
      <c r="A4" s="8">
        <v>3</v>
      </c>
      <c r="B4" s="10">
        <v>0.40972222222222221</v>
      </c>
      <c r="C4" s="10">
        <v>0.44097222222222221</v>
      </c>
      <c r="D4" s="8" t="s">
        <v>10</v>
      </c>
      <c r="I4" s="2" t="s">
        <v>6</v>
      </c>
      <c r="J4" s="5">
        <v>30</v>
      </c>
    </row>
    <row r="5" spans="1:10" ht="15.75" x14ac:dyDescent="0.25">
      <c r="A5" s="9">
        <v>4</v>
      </c>
      <c r="B5" s="11">
        <v>0.46180555555555558</v>
      </c>
      <c r="C5" s="11">
        <v>0.49305555555555558</v>
      </c>
      <c r="D5" s="1" t="s">
        <v>9</v>
      </c>
      <c r="I5" s="3" t="s">
        <v>7</v>
      </c>
      <c r="J5" s="6">
        <v>3</v>
      </c>
    </row>
    <row r="6" spans="1:10" ht="15.75" x14ac:dyDescent="0.25">
      <c r="A6" s="8">
        <v>5</v>
      </c>
      <c r="B6" s="11">
        <v>0.5</v>
      </c>
      <c r="C6" s="11">
        <v>0.53125</v>
      </c>
      <c r="D6" s="1" t="s">
        <v>9</v>
      </c>
    </row>
    <row r="7" spans="1:10" ht="15.75" x14ac:dyDescent="0.25">
      <c r="A7" s="8">
        <v>6</v>
      </c>
      <c r="B7" s="11">
        <v>0.53819444444444442</v>
      </c>
      <c r="C7" s="11">
        <v>0.56944444444444442</v>
      </c>
      <c r="D7" s="1" t="s">
        <v>9</v>
      </c>
    </row>
    <row r="8" spans="1:10" ht="15.75" x14ac:dyDescent="0.25">
      <c r="A8" s="9">
        <v>7</v>
      </c>
      <c r="B8" s="11">
        <v>0.57638888888888884</v>
      </c>
      <c r="C8" s="11">
        <v>0.60763888888888884</v>
      </c>
      <c r="D8" s="1" t="s">
        <v>9</v>
      </c>
    </row>
    <row r="9" spans="1:10" ht="15.75" x14ac:dyDescent="0.25">
      <c r="A9" s="8">
        <v>8</v>
      </c>
      <c r="B9" s="11">
        <v>0.61458333333333337</v>
      </c>
      <c r="C9" s="11">
        <v>0.64583333333333337</v>
      </c>
      <c r="D9" s="1" t="s">
        <v>9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teSchedule">
                <anchor moveWithCells="1" sizeWithCells="1">
                  <from>
                    <xdr:col>3</xdr:col>
                    <xdr:colOff>142875</xdr:colOff>
                    <xdr:row>17</xdr:row>
                    <xdr:rowOff>133350</xdr:rowOff>
                  </from>
                  <to>
                    <xdr:col>7</xdr:col>
                    <xdr:colOff>85725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10B9-4E3B-4D62-93E9-E342D3E67F68}">
  <sheetPr codeName="Лист2"/>
  <dimension ref="A1:J9"/>
  <sheetViews>
    <sheetView tabSelected="1" workbookViewId="0">
      <selection activeCell="F10" sqref="F10"/>
    </sheetView>
  </sheetViews>
  <sheetFormatPr defaultRowHeight="15" x14ac:dyDescent="0.25"/>
  <cols>
    <col min="1" max="1" width="6" bestFit="1" customWidth="1"/>
    <col min="2" max="2" width="8.28515625" bestFit="1" customWidth="1"/>
    <col min="3" max="3" width="12.28515625" bestFit="1" customWidth="1"/>
    <col min="4" max="4" width="20" bestFit="1" customWidth="1"/>
    <col min="9" max="9" width="42" customWidth="1"/>
    <col min="10" max="10" width="17.42578125" bestFit="1" customWidth="1"/>
  </cols>
  <sheetData>
    <row r="1" spans="1:10" ht="15.75" x14ac:dyDescent="0.25">
      <c r="A1" s="12" t="s">
        <v>0</v>
      </c>
      <c r="B1" s="12" t="s">
        <v>1</v>
      </c>
      <c r="C1" s="12" t="s">
        <v>2</v>
      </c>
      <c r="D1" s="12" t="s">
        <v>3</v>
      </c>
      <c r="I1" s="4" t="s">
        <v>8</v>
      </c>
      <c r="J1" s="7">
        <v>0.33333333333333331</v>
      </c>
    </row>
    <row r="2" spans="1:10" ht="15.75" x14ac:dyDescent="0.25">
      <c r="A2" s="9">
        <v>1</v>
      </c>
      <c r="B2" s="10">
        <f>J1</f>
        <v>0.33333333333333331</v>
      </c>
      <c r="C2" s="10">
        <f>B2+TIME(0,$J$2,0)</f>
        <v>0.36458333333333331</v>
      </c>
      <c r="D2" s="8" t="str">
        <f>IF(A2=$J$5,"Большой перерыв","Обычный перерыв")</f>
        <v>Обычный перерыв</v>
      </c>
      <c r="I2" s="2" t="s">
        <v>4</v>
      </c>
      <c r="J2" s="5">
        <v>45</v>
      </c>
    </row>
    <row r="3" spans="1:10" ht="15.75" x14ac:dyDescent="0.25">
      <c r="A3" s="8">
        <v>2</v>
      </c>
      <c r="B3" s="10">
        <f>IF(D2="Большой перерыв",C2+TIME(0,$J$4,0),C2+TIME(0,$J$3,0))</f>
        <v>0.37152777777777773</v>
      </c>
      <c r="C3" s="10">
        <f t="shared" ref="C3:C8" si="0">B3+TIME(0,$J$2,0)</f>
        <v>0.40277777777777773</v>
      </c>
      <c r="D3" s="8" t="str">
        <f t="shared" ref="D3:D9" si="1">IF(A3=$J$5,"Большой перерыв","Обычный перерыв")</f>
        <v>Обычный перерыв</v>
      </c>
      <c r="I3" s="2" t="s">
        <v>5</v>
      </c>
      <c r="J3" s="5">
        <v>10</v>
      </c>
    </row>
    <row r="4" spans="1:10" ht="15.75" x14ac:dyDescent="0.25">
      <c r="A4" s="8">
        <v>3</v>
      </c>
      <c r="B4" s="10">
        <f t="shared" ref="B4:B9" si="2">IF(D3="Большой перерыв",C3+TIME(0,$J$4,0),C3+TIME(0,$J$3,0))</f>
        <v>0.40972222222222215</v>
      </c>
      <c r="C4" s="10">
        <f t="shared" si="0"/>
        <v>0.44097222222222215</v>
      </c>
      <c r="D4" s="8" t="str">
        <f t="shared" si="1"/>
        <v>Большой перерыв</v>
      </c>
      <c r="I4" s="2" t="s">
        <v>6</v>
      </c>
      <c r="J4" s="5">
        <v>30</v>
      </c>
    </row>
    <row r="5" spans="1:10" ht="15.75" x14ac:dyDescent="0.25">
      <c r="A5" s="9">
        <v>4</v>
      </c>
      <c r="B5" s="10">
        <f t="shared" si="2"/>
        <v>0.46180555555555547</v>
      </c>
      <c r="C5" s="10">
        <f t="shared" si="0"/>
        <v>0.49305555555555547</v>
      </c>
      <c r="D5" s="8" t="str">
        <f t="shared" si="1"/>
        <v>Обычный перерыв</v>
      </c>
      <c r="I5" s="3" t="s">
        <v>7</v>
      </c>
      <c r="J5" s="6">
        <v>3</v>
      </c>
    </row>
    <row r="6" spans="1:10" ht="15.75" x14ac:dyDescent="0.25">
      <c r="A6" s="8">
        <v>5</v>
      </c>
      <c r="B6" s="10">
        <f t="shared" si="2"/>
        <v>0.49999999999999989</v>
      </c>
      <c r="C6" s="10">
        <f t="shared" si="0"/>
        <v>0.53124999999999989</v>
      </c>
      <c r="D6" s="8" t="str">
        <f t="shared" si="1"/>
        <v>Обычный перерыв</v>
      </c>
    </row>
    <row r="7" spans="1:10" ht="15.75" x14ac:dyDescent="0.25">
      <c r="A7" s="8">
        <v>6</v>
      </c>
      <c r="B7" s="10">
        <f t="shared" si="2"/>
        <v>0.53819444444444431</v>
      </c>
      <c r="C7" s="10">
        <f t="shared" si="0"/>
        <v>0.56944444444444431</v>
      </c>
      <c r="D7" s="8" t="str">
        <f t="shared" si="1"/>
        <v>Обычный перерыв</v>
      </c>
    </row>
    <row r="8" spans="1:10" ht="15.75" x14ac:dyDescent="0.25">
      <c r="A8" s="9">
        <v>7</v>
      </c>
      <c r="B8" s="10">
        <f t="shared" si="2"/>
        <v>0.57638888888888873</v>
      </c>
      <c r="C8" s="10">
        <f t="shared" si="0"/>
        <v>0.60763888888888873</v>
      </c>
      <c r="D8" s="8" t="str">
        <f t="shared" si="1"/>
        <v>Обычный перерыв</v>
      </c>
    </row>
    <row r="9" spans="1:10" ht="15.75" x14ac:dyDescent="0.25">
      <c r="A9" s="8">
        <v>8</v>
      </c>
      <c r="B9" s="10">
        <f t="shared" si="2"/>
        <v>0.61458333333333315</v>
      </c>
      <c r="C9" s="10">
        <f>B9+TIME(0,$J$2,0)</f>
        <v>0.64583333333333315</v>
      </c>
      <c r="D9" s="8" t="str">
        <f t="shared" si="1"/>
        <v>Обычный перерыв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Макрос</vt:lpstr>
      <vt:lpstr>Формулы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G</dc:creator>
  <cp:lastModifiedBy>Vlad G</cp:lastModifiedBy>
  <dcterms:created xsi:type="dcterms:W3CDTF">2025-11-04T05:18:38Z</dcterms:created>
  <dcterms:modified xsi:type="dcterms:W3CDTF">2025-11-04T06:22:00Z</dcterms:modified>
</cp:coreProperties>
</file>