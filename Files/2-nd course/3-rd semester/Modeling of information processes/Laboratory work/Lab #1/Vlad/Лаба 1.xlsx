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space\Файлы\2 курс\3 семестр\Моделирование информационных процессов\Лабораторные работы\Лабораторная работа №1\Влад\"/>
    </mc:Choice>
  </mc:AlternateContent>
  <xr:revisionPtr revIDLastSave="0" documentId="13_ncr:1_{96023D7B-06EA-431C-8CCA-425530CAEF05}" xr6:coauthVersionLast="47" xr6:coauthVersionMax="47" xr10:uidLastSave="{00000000-0000-0000-0000-000000000000}"/>
  <bookViews>
    <workbookView xWindow="14400" yWindow="450" windowWidth="14400" windowHeight="15750" firstSheet="1" activeTab="3" xr2:uid="{97B3B689-7A48-46E9-85B4-2B85A19FB769}"/>
  </bookViews>
  <sheets>
    <sheet name="Задание 1" sheetId="1" r:id="rId1"/>
    <sheet name="Задание 1 (график)" sheetId="2" r:id="rId2"/>
    <sheet name="Задание 3" sheetId="4" r:id="rId3"/>
    <sheet name="Задание 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" l="1"/>
  <c r="A23" i="5"/>
  <c r="A22" i="5"/>
  <c r="A21" i="5"/>
  <c r="A20" i="5"/>
  <c r="A19" i="5"/>
  <c r="A18" i="5"/>
  <c r="A17" i="5"/>
  <c r="A15" i="5"/>
  <c r="A14" i="5"/>
  <c r="A13" i="5"/>
  <c r="A12" i="5"/>
  <c r="A11" i="5"/>
  <c r="A10" i="5"/>
  <c r="A9" i="5"/>
  <c r="A8" i="5"/>
  <c r="A7" i="5"/>
  <c r="A6" i="5"/>
  <c r="A5" i="5"/>
  <c r="A4" i="5"/>
  <c r="B13" i="5"/>
  <c r="C13" i="5"/>
  <c r="D13" i="5"/>
  <c r="B14" i="5"/>
  <c r="C14" i="5"/>
  <c r="D14" i="5"/>
  <c r="B15" i="5"/>
  <c r="C15" i="5"/>
  <c r="D15" i="5"/>
  <c r="A16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A24" i="5"/>
  <c r="B24" i="5"/>
  <c r="C24" i="5"/>
  <c r="D24" i="5"/>
  <c r="A25" i="5"/>
  <c r="B25" i="5"/>
  <c r="C25" i="5"/>
  <c r="D25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B5" i="5"/>
  <c r="B6" i="5"/>
  <c r="B7" i="5"/>
  <c r="B8" i="5"/>
  <c r="B9" i="5"/>
  <c r="B10" i="5"/>
  <c r="B11" i="5"/>
  <c r="B12" i="5"/>
  <c r="B4" i="5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8" i="4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B352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B360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C366" i="1"/>
  <c r="B367" i="1"/>
  <c r="C367" i="1"/>
  <c r="B368" i="1"/>
  <c r="C368" i="1"/>
  <c r="B369" i="1"/>
  <c r="C369" i="1"/>
  <c r="B370" i="1"/>
  <c r="C370" i="1"/>
  <c r="B6" i="1"/>
  <c r="C6" i="1"/>
  <c r="B7" i="4" l="1"/>
  <c r="C7" i="4" s="1"/>
  <c r="F4" i="5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E4" i="5"/>
  <c r="E5" i="5" s="1"/>
  <c r="E6" i="5" s="1"/>
  <c r="E7" i="5" s="1"/>
  <c r="E8" i="5" s="1"/>
  <c r="E9" i="5" s="1"/>
  <c r="E10" i="5" s="1"/>
  <c r="E11" i="5" s="1"/>
  <c r="E12" i="5" s="1"/>
  <c r="E13" i="5" s="1"/>
  <c r="D205" i="1"/>
  <c r="D35" i="1"/>
  <c r="D240" i="1"/>
  <c r="D231" i="1"/>
  <c r="D225" i="1"/>
  <c r="D135" i="1"/>
  <c r="D132" i="1"/>
  <c r="D51" i="1"/>
  <c r="D48" i="1"/>
  <c r="D228" i="1"/>
  <c r="D222" i="1"/>
  <c r="D138" i="1"/>
  <c r="D329" i="1"/>
  <c r="D317" i="1"/>
  <c r="D209" i="1"/>
  <c r="D236" i="1"/>
  <c r="D232" i="1"/>
  <c r="D211" i="1"/>
  <c r="D330" i="1"/>
  <c r="D145" i="1"/>
  <c r="D121" i="1"/>
  <c r="D118" i="1"/>
  <c r="D115" i="1"/>
  <c r="D34" i="1"/>
  <c r="D31" i="1"/>
  <c r="D28" i="1"/>
  <c r="D25" i="1"/>
  <c r="D159" i="1"/>
  <c r="D343" i="1"/>
  <c r="D349" i="1"/>
  <c r="D351" i="1"/>
  <c r="D316" i="1"/>
  <c r="D307" i="1"/>
  <c r="D250" i="1"/>
  <c r="D173" i="1"/>
  <c r="D125" i="1"/>
  <c r="D363" i="1"/>
  <c r="D340" i="1"/>
  <c r="D325" i="1"/>
  <c r="D304" i="1"/>
  <c r="D253" i="1"/>
  <c r="D155" i="1"/>
  <c r="D368" i="1"/>
  <c r="D336" i="1"/>
  <c r="D300" i="1"/>
  <c r="D288" i="1"/>
  <c r="D273" i="1"/>
  <c r="D264" i="1"/>
  <c r="D261" i="1"/>
  <c r="D199" i="1"/>
  <c r="D196" i="1"/>
  <c r="D190" i="1"/>
  <c r="D178" i="1"/>
  <c r="D169" i="1"/>
  <c r="D157" i="1"/>
  <c r="D151" i="1"/>
  <c r="D17" i="1"/>
  <c r="D11" i="1"/>
  <c r="D8" i="1"/>
  <c r="D366" i="1"/>
  <c r="D337" i="1"/>
  <c r="D322" i="1"/>
  <c r="D289" i="1"/>
  <c r="D271" i="1"/>
  <c r="D152" i="1"/>
  <c r="D353" i="1"/>
  <c r="D347" i="1"/>
  <c r="D344" i="1"/>
  <c r="D213" i="1"/>
  <c r="D210" i="1"/>
  <c r="D207" i="1"/>
  <c r="D64" i="1"/>
  <c r="D328" i="1"/>
  <c r="D313" i="1"/>
  <c r="D283" i="1"/>
  <c r="D259" i="1"/>
  <c r="D161" i="1"/>
  <c r="D362" i="1"/>
  <c r="D245" i="1"/>
  <c r="D186" i="1"/>
  <c r="D183" i="1"/>
  <c r="D180" i="1"/>
  <c r="D302" i="1"/>
  <c r="D293" i="1"/>
  <c r="D281" i="1"/>
  <c r="D258" i="1"/>
  <c r="D249" i="1"/>
  <c r="D226" i="1"/>
  <c r="D217" i="1"/>
  <c r="D177" i="1"/>
  <c r="D122" i="1"/>
  <c r="D65" i="1"/>
  <c r="D33" i="1"/>
  <c r="D30" i="1"/>
  <c r="D21" i="1"/>
  <c r="D18" i="1"/>
  <c r="D335" i="1"/>
  <c r="D299" i="1"/>
  <c r="D284" i="1"/>
  <c r="D275" i="1"/>
  <c r="D255" i="1"/>
  <c r="D252" i="1"/>
  <c r="D223" i="1"/>
  <c r="D214" i="1"/>
  <c r="D191" i="1"/>
  <c r="D369" i="1"/>
  <c r="D354" i="1"/>
  <c r="D269" i="1"/>
  <c r="D263" i="1"/>
  <c r="D237" i="1"/>
  <c r="D234" i="1"/>
  <c r="D182" i="1"/>
  <c r="D171" i="1"/>
  <c r="D153" i="1"/>
  <c r="D62" i="1"/>
  <c r="D53" i="1"/>
  <c r="D348" i="1"/>
  <c r="D265" i="1"/>
  <c r="D187" i="1"/>
  <c r="D184" i="1"/>
  <c r="D112" i="1"/>
  <c r="D61" i="1"/>
  <c r="E317" i="1"/>
  <c r="D324" i="1"/>
  <c r="D309" i="1"/>
  <c r="D306" i="1"/>
  <c r="D294" i="1"/>
  <c r="D285" i="1"/>
  <c r="D282" i="1"/>
  <c r="D244" i="1"/>
  <c r="D241" i="1"/>
  <c r="D238" i="1"/>
  <c r="D218" i="1"/>
  <c r="D204" i="1"/>
  <c r="D201" i="1"/>
  <c r="D198" i="1"/>
  <c r="D195" i="1"/>
  <c r="D172" i="1"/>
  <c r="D154" i="1"/>
  <c r="D301" i="1"/>
  <c r="D295" i="1"/>
  <c r="D243" i="1"/>
  <c r="D227" i="1"/>
  <c r="D219" i="1"/>
  <c r="D208" i="1"/>
  <c r="D200" i="1"/>
  <c r="D192" i="1"/>
  <c r="D181" i="1"/>
  <c r="D162" i="1"/>
  <c r="D143" i="1"/>
  <c r="D137" i="1"/>
  <c r="D123" i="1"/>
  <c r="D120" i="1"/>
  <c r="D117" i="1"/>
  <c r="D47" i="1"/>
  <c r="D44" i="1"/>
  <c r="D41" i="1"/>
  <c r="D15" i="1"/>
  <c r="D12" i="1"/>
  <c r="D341" i="1"/>
  <c r="D298" i="1"/>
  <c r="D290" i="1"/>
  <c r="D262" i="1"/>
  <c r="D254" i="1"/>
  <c r="D246" i="1"/>
  <c r="D235" i="1"/>
  <c r="D216" i="1"/>
  <c r="D189" i="1"/>
  <c r="D165" i="1"/>
  <c r="D360" i="1"/>
  <c r="D357" i="1"/>
  <c r="D321" i="1"/>
  <c r="D315" i="1"/>
  <c r="D297" i="1"/>
  <c r="E294" i="1"/>
  <c r="D256" i="1"/>
  <c r="D229" i="1"/>
  <c r="D202" i="1"/>
  <c r="D167" i="1"/>
  <c r="D139" i="1"/>
  <c r="D136" i="1"/>
  <c r="D131" i="1"/>
  <c r="D128" i="1"/>
  <c r="D52" i="1"/>
  <c r="D49" i="1"/>
  <c r="D32" i="1"/>
  <c r="D29" i="1"/>
  <c r="D26" i="1"/>
  <c r="D23" i="1"/>
  <c r="D359" i="1"/>
  <c r="D356" i="1"/>
  <c r="D345" i="1"/>
  <c r="D342" i="1"/>
  <c r="D323" i="1"/>
  <c r="D320" i="1"/>
  <c r="D305" i="1"/>
  <c r="D277" i="1"/>
  <c r="D247" i="1"/>
  <c r="D220" i="1"/>
  <c r="D193" i="1"/>
  <c r="D158" i="1"/>
  <c r="D147" i="1"/>
  <c r="D133" i="1"/>
  <c r="D127" i="1"/>
  <c r="D124" i="1"/>
  <c r="D113" i="1"/>
  <c r="D57" i="1"/>
  <c r="D54" i="1"/>
  <c r="D16" i="1"/>
  <c r="D13" i="1"/>
  <c r="D160" i="1"/>
  <c r="D149" i="1"/>
  <c r="D59" i="1"/>
  <c r="D370" i="1"/>
  <c r="D358" i="1"/>
  <c r="E340" i="1"/>
  <c r="D334" i="1"/>
  <c r="D326" i="1"/>
  <c r="D314" i="1"/>
  <c r="D287" i="1"/>
  <c r="D267" i="1"/>
  <c r="D144" i="1"/>
  <c r="D134" i="1"/>
  <c r="D129" i="1"/>
  <c r="D119" i="1"/>
  <c r="D114" i="1"/>
  <c r="D56" i="1"/>
  <c r="D45" i="1"/>
  <c r="D42" i="1"/>
  <c r="D20" i="1"/>
  <c r="D9" i="1"/>
  <c r="D361" i="1"/>
  <c r="D331" i="1"/>
  <c r="D319" i="1"/>
  <c r="D292" i="1"/>
  <c r="D272" i="1"/>
  <c r="E369" i="1"/>
  <c r="D365" i="1"/>
  <c r="D355" i="1"/>
  <c r="D350" i="1"/>
  <c r="D338" i="1"/>
  <c r="D333" i="1"/>
  <c r="E330" i="1"/>
  <c r="D318" i="1"/>
  <c r="D311" i="1"/>
  <c r="E286" i="1"/>
  <c r="D276" i="1"/>
  <c r="D274" i="1"/>
  <c r="E266" i="1"/>
  <c r="D260" i="1"/>
  <c r="D251" i="1"/>
  <c r="D242" i="1"/>
  <c r="D233" i="1"/>
  <c r="D224" i="1"/>
  <c r="D215" i="1"/>
  <c r="D206" i="1"/>
  <c r="D197" i="1"/>
  <c r="D188" i="1"/>
  <c r="D179" i="1"/>
  <c r="D174" i="1"/>
  <c r="D166" i="1"/>
  <c r="D163" i="1"/>
  <c r="D156" i="1"/>
  <c r="D148" i="1"/>
  <c r="D146" i="1"/>
  <c r="D141" i="1"/>
  <c r="D126" i="1"/>
  <c r="D116" i="1"/>
  <c r="D111" i="1"/>
  <c r="D108" i="1"/>
  <c r="D105" i="1"/>
  <c r="D102" i="1"/>
  <c r="D99" i="1"/>
  <c r="D96" i="1"/>
  <c r="D93" i="1"/>
  <c r="D90" i="1"/>
  <c r="D87" i="1"/>
  <c r="D84" i="1"/>
  <c r="D81" i="1"/>
  <c r="D78" i="1"/>
  <c r="D75" i="1"/>
  <c r="D72" i="1"/>
  <c r="D69" i="1"/>
  <c r="D66" i="1"/>
  <c r="D58" i="1"/>
  <c r="D55" i="1"/>
  <c r="D50" i="1"/>
  <c r="D39" i="1"/>
  <c r="D36" i="1"/>
  <c r="D22" i="1"/>
  <c r="D19" i="1"/>
  <c r="D14" i="1"/>
  <c r="E268" i="1"/>
  <c r="E276" i="1"/>
  <c r="D367" i="1"/>
  <c r="D364" i="1"/>
  <c r="D352" i="1"/>
  <c r="E346" i="1"/>
  <c r="E322" i="1"/>
  <c r="D310" i="1"/>
  <c r="D286" i="1"/>
  <c r="D278" i="1"/>
  <c r="D270" i="1"/>
  <c r="D266" i="1"/>
  <c r="D257" i="1"/>
  <c r="D248" i="1"/>
  <c r="D239" i="1"/>
  <c r="D230" i="1"/>
  <c r="D221" i="1"/>
  <c r="D212" i="1"/>
  <c r="D203" i="1"/>
  <c r="D194" i="1"/>
  <c r="D185" i="1"/>
  <c r="D176" i="1"/>
  <c r="D168" i="1"/>
  <c r="D150" i="1"/>
  <c r="D140" i="1"/>
  <c r="D130" i="1"/>
  <c r="D110" i="1"/>
  <c r="D107" i="1"/>
  <c r="D104" i="1"/>
  <c r="D101" i="1"/>
  <c r="D98" i="1"/>
  <c r="D95" i="1"/>
  <c r="D92" i="1"/>
  <c r="D89" i="1"/>
  <c r="D86" i="1"/>
  <c r="D83" i="1"/>
  <c r="D80" i="1"/>
  <c r="D77" i="1"/>
  <c r="D74" i="1"/>
  <c r="D71" i="1"/>
  <c r="D68" i="1"/>
  <c r="D63" i="1"/>
  <c r="D60" i="1"/>
  <c r="D46" i="1"/>
  <c r="D43" i="1"/>
  <c r="D38" i="1"/>
  <c r="D27" i="1"/>
  <c r="D24" i="1"/>
  <c r="D10" i="1"/>
  <c r="D7" i="1"/>
  <c r="E117" i="1"/>
  <c r="E363" i="1"/>
  <c r="E353" i="1"/>
  <c r="D312" i="1"/>
  <c r="E304" i="1"/>
  <c r="D175" i="1"/>
  <c r="D142" i="1"/>
  <c r="D109" i="1"/>
  <c r="D106" i="1"/>
  <c r="D103" i="1"/>
  <c r="D100" i="1"/>
  <c r="D97" i="1"/>
  <c r="D94" i="1"/>
  <c r="D91" i="1"/>
  <c r="D88" i="1"/>
  <c r="D85" i="1"/>
  <c r="D82" i="1"/>
  <c r="D79" i="1"/>
  <c r="D76" i="1"/>
  <c r="D73" i="1"/>
  <c r="D70" i="1"/>
  <c r="D67" i="1"/>
  <c r="D40" i="1"/>
  <c r="D37" i="1"/>
  <c r="E364" i="1"/>
  <c r="E358" i="1"/>
  <c r="E350" i="1"/>
  <c r="E325" i="1"/>
  <c r="E289" i="1"/>
  <c r="D279" i="1"/>
  <c r="E111" i="1"/>
  <c r="E84" i="1"/>
  <c r="E42" i="1"/>
  <c r="E365" i="1"/>
  <c r="E359" i="1"/>
  <c r="E355" i="1"/>
  <c r="E347" i="1"/>
  <c r="D346" i="1"/>
  <c r="E344" i="1"/>
  <c r="E341" i="1"/>
  <c r="E328" i="1"/>
  <c r="E318" i="1"/>
  <c r="E310" i="1"/>
  <c r="E305" i="1"/>
  <c r="E292" i="1"/>
  <c r="E282" i="1"/>
  <c r="E269" i="1"/>
  <c r="D268" i="1"/>
  <c r="E164" i="1"/>
  <c r="E370" i="1"/>
  <c r="E354" i="1"/>
  <c r="E338" i="1"/>
  <c r="D332" i="1"/>
  <c r="D327" i="1"/>
  <c r="E320" i="1"/>
  <c r="E312" i="1"/>
  <c r="E302" i="1"/>
  <c r="D296" i="1"/>
  <c r="D291" i="1"/>
  <c r="E284" i="1"/>
  <c r="E366" i="1"/>
  <c r="E360" i="1"/>
  <c r="E336" i="1"/>
  <c r="E326" i="1"/>
  <c r="E313" i="1"/>
  <c r="E308" i="1"/>
  <c r="E300" i="1"/>
  <c r="E290" i="1"/>
  <c r="E280" i="1"/>
  <c r="E278" i="1"/>
  <c r="E168" i="1"/>
  <c r="E152" i="1"/>
  <c r="E102" i="1"/>
  <c r="E75" i="1"/>
  <c r="E54" i="1"/>
  <c r="E18" i="1"/>
  <c r="E367" i="1"/>
  <c r="E361" i="1"/>
  <c r="E356" i="1"/>
  <c r="E348" i="1"/>
  <c r="E342" i="1"/>
  <c r="E334" i="1"/>
  <c r="E329" i="1"/>
  <c r="E298" i="1"/>
  <c r="E293" i="1"/>
  <c r="E274" i="1"/>
  <c r="E272" i="1"/>
  <c r="E140" i="1"/>
  <c r="E352" i="1"/>
  <c r="E316" i="1"/>
  <c r="E306" i="1"/>
  <c r="E10" i="1"/>
  <c r="E16" i="1"/>
  <c r="E22" i="1"/>
  <c r="E28" i="1"/>
  <c r="E34" i="1"/>
  <c r="E40" i="1"/>
  <c r="E46" i="1"/>
  <c r="E52" i="1"/>
  <c r="E58" i="1"/>
  <c r="E64" i="1"/>
  <c r="E70" i="1"/>
  <c r="E76" i="1"/>
  <c r="E82" i="1"/>
  <c r="E88" i="1"/>
  <c r="E94" i="1"/>
  <c r="E100" i="1"/>
  <c r="E106" i="1"/>
  <c r="E112" i="1"/>
  <c r="E118" i="1"/>
  <c r="E9" i="1"/>
  <c r="E15" i="1"/>
  <c r="E21" i="1"/>
  <c r="E27" i="1"/>
  <c r="E33" i="1"/>
  <c r="E39" i="1"/>
  <c r="E45" i="1"/>
  <c r="E51" i="1"/>
  <c r="E57" i="1"/>
  <c r="E8" i="1"/>
  <c r="E14" i="1"/>
  <c r="E20" i="1"/>
  <c r="E26" i="1"/>
  <c r="E32" i="1"/>
  <c r="E38" i="1"/>
  <c r="E44" i="1"/>
  <c r="E50" i="1"/>
  <c r="E56" i="1"/>
  <c r="E62" i="1"/>
  <c r="E68" i="1"/>
  <c r="E7" i="1"/>
  <c r="E13" i="1"/>
  <c r="E19" i="1"/>
  <c r="E25" i="1"/>
  <c r="E31" i="1"/>
  <c r="E37" i="1"/>
  <c r="E43" i="1"/>
  <c r="E49" i="1"/>
  <c r="E55" i="1"/>
  <c r="E61" i="1"/>
  <c r="E67" i="1"/>
  <c r="E73" i="1"/>
  <c r="E79" i="1"/>
  <c r="E85" i="1"/>
  <c r="E91" i="1"/>
  <c r="E97" i="1"/>
  <c r="E103" i="1"/>
  <c r="E109" i="1"/>
  <c r="E115" i="1"/>
  <c r="E121" i="1"/>
  <c r="E127" i="1"/>
  <c r="E133" i="1"/>
  <c r="E139" i="1"/>
  <c r="E145" i="1"/>
  <c r="E151" i="1"/>
  <c r="E157" i="1"/>
  <c r="E163" i="1"/>
  <c r="E169" i="1"/>
  <c r="E175" i="1"/>
  <c r="E66" i="1"/>
  <c r="E131" i="1"/>
  <c r="E143" i="1"/>
  <c r="E155" i="1"/>
  <c r="E167" i="1"/>
  <c r="E180" i="1"/>
  <c r="E186" i="1"/>
  <c r="E192" i="1"/>
  <c r="E198" i="1"/>
  <c r="E204" i="1"/>
  <c r="E210" i="1"/>
  <c r="E216" i="1"/>
  <c r="E222" i="1"/>
  <c r="E228" i="1"/>
  <c r="E234" i="1"/>
  <c r="E240" i="1"/>
  <c r="E246" i="1"/>
  <c r="E252" i="1"/>
  <c r="E258" i="1"/>
  <c r="E264" i="1"/>
  <c r="E11" i="1"/>
  <c r="E17" i="1"/>
  <c r="E23" i="1"/>
  <c r="E29" i="1"/>
  <c r="E35" i="1"/>
  <c r="E41" i="1"/>
  <c r="E47" i="1"/>
  <c r="E53" i="1"/>
  <c r="E59" i="1"/>
  <c r="E63" i="1"/>
  <c r="E71" i="1"/>
  <c r="E74" i="1"/>
  <c r="E77" i="1"/>
  <c r="E80" i="1"/>
  <c r="E83" i="1"/>
  <c r="E86" i="1"/>
  <c r="E89" i="1"/>
  <c r="E92" i="1"/>
  <c r="E95" i="1"/>
  <c r="E98" i="1"/>
  <c r="E101" i="1"/>
  <c r="E104" i="1"/>
  <c r="E107" i="1"/>
  <c r="E110" i="1"/>
  <c r="E113" i="1"/>
  <c r="E116" i="1"/>
  <c r="E119" i="1"/>
  <c r="E122" i="1"/>
  <c r="E126" i="1"/>
  <c r="E130" i="1"/>
  <c r="E134" i="1"/>
  <c r="E138" i="1"/>
  <c r="E142" i="1"/>
  <c r="E146" i="1"/>
  <c r="E150" i="1"/>
  <c r="E154" i="1"/>
  <c r="E158" i="1"/>
  <c r="E162" i="1"/>
  <c r="E166" i="1"/>
  <c r="E170" i="1"/>
  <c r="E129" i="1"/>
  <c r="E141" i="1"/>
  <c r="E153" i="1"/>
  <c r="E65" i="1"/>
  <c r="E125" i="1"/>
  <c r="E137" i="1"/>
  <c r="E149" i="1"/>
  <c r="E161" i="1"/>
  <c r="E173" i="1"/>
  <c r="E177" i="1"/>
  <c r="E183" i="1"/>
  <c r="E189" i="1"/>
  <c r="E195" i="1"/>
  <c r="E201" i="1"/>
  <c r="E207" i="1"/>
  <c r="E213" i="1"/>
  <c r="E219" i="1"/>
  <c r="E225" i="1"/>
  <c r="E231" i="1"/>
  <c r="E237" i="1"/>
  <c r="E243" i="1"/>
  <c r="E249" i="1"/>
  <c r="E255" i="1"/>
  <c r="E261" i="1"/>
  <c r="E267" i="1"/>
  <c r="E273" i="1"/>
  <c r="E279" i="1"/>
  <c r="E285" i="1"/>
  <c r="E291" i="1"/>
  <c r="E297" i="1"/>
  <c r="E303" i="1"/>
  <c r="E309" i="1"/>
  <c r="E315" i="1"/>
  <c r="E321" i="1"/>
  <c r="E327" i="1"/>
  <c r="E333" i="1"/>
  <c r="E339" i="1"/>
  <c r="E345" i="1"/>
  <c r="E351" i="1"/>
  <c r="E357" i="1"/>
  <c r="E123" i="1"/>
  <c r="E135" i="1"/>
  <c r="E147" i="1"/>
  <c r="E159" i="1"/>
  <c r="E172" i="1"/>
  <c r="E178" i="1"/>
  <c r="E181" i="1"/>
  <c r="E184" i="1"/>
  <c r="E187" i="1"/>
  <c r="E190" i="1"/>
  <c r="E193" i="1"/>
  <c r="E196" i="1"/>
  <c r="E199" i="1"/>
  <c r="E202" i="1"/>
  <c r="E205" i="1"/>
  <c r="E208" i="1"/>
  <c r="E211" i="1"/>
  <c r="E214" i="1"/>
  <c r="E217" i="1"/>
  <c r="E220" i="1"/>
  <c r="E223" i="1"/>
  <c r="E226" i="1"/>
  <c r="E229" i="1"/>
  <c r="E232" i="1"/>
  <c r="E235" i="1"/>
  <c r="E238" i="1"/>
  <c r="E241" i="1"/>
  <c r="E244" i="1"/>
  <c r="E247" i="1"/>
  <c r="E250" i="1"/>
  <c r="E253" i="1"/>
  <c r="E256" i="1"/>
  <c r="E259" i="1"/>
  <c r="E262" i="1"/>
  <c r="E265" i="1"/>
  <c r="E277" i="1"/>
  <c r="E12" i="1"/>
  <c r="E24" i="1"/>
  <c r="E36" i="1"/>
  <c r="E48" i="1"/>
  <c r="E60" i="1"/>
  <c r="E69" i="1"/>
  <c r="E78" i="1"/>
  <c r="E87" i="1"/>
  <c r="E96" i="1"/>
  <c r="E105" i="1"/>
  <c r="E114" i="1"/>
  <c r="E120" i="1"/>
  <c r="E132" i="1"/>
  <c r="E144" i="1"/>
  <c r="E156" i="1"/>
  <c r="E165" i="1"/>
  <c r="E174" i="1"/>
  <c r="E275" i="1"/>
  <c r="E287" i="1"/>
  <c r="E299" i="1"/>
  <c r="E311" i="1"/>
  <c r="E323" i="1"/>
  <c r="E335" i="1"/>
  <c r="E72" i="1"/>
  <c r="E81" i="1"/>
  <c r="E90" i="1"/>
  <c r="E99" i="1"/>
  <c r="E108" i="1"/>
  <c r="E124" i="1"/>
  <c r="E136" i="1"/>
  <c r="E148" i="1"/>
  <c r="E160" i="1"/>
  <c r="E171" i="1"/>
  <c r="E176" i="1"/>
  <c r="E179" i="1"/>
  <c r="E182" i="1"/>
  <c r="E185" i="1"/>
  <c r="E188" i="1"/>
  <c r="E191" i="1"/>
  <c r="E194" i="1"/>
  <c r="E197" i="1"/>
  <c r="E200" i="1"/>
  <c r="E203" i="1"/>
  <c r="E206" i="1"/>
  <c r="E209" i="1"/>
  <c r="E212" i="1"/>
  <c r="E215" i="1"/>
  <c r="E218" i="1"/>
  <c r="E221" i="1"/>
  <c r="E224" i="1"/>
  <c r="E227" i="1"/>
  <c r="E230" i="1"/>
  <c r="E233" i="1"/>
  <c r="E236" i="1"/>
  <c r="E239" i="1"/>
  <c r="E242" i="1"/>
  <c r="E245" i="1"/>
  <c r="E248" i="1"/>
  <c r="E251" i="1"/>
  <c r="E254" i="1"/>
  <c r="E257" i="1"/>
  <c r="E260" i="1"/>
  <c r="E263" i="1"/>
  <c r="E271" i="1"/>
  <c r="E283" i="1"/>
  <c r="E295" i="1"/>
  <c r="E307" i="1"/>
  <c r="E319" i="1"/>
  <c r="E331" i="1"/>
  <c r="E343" i="1"/>
  <c r="E368" i="1"/>
  <c r="E362" i="1"/>
  <c r="E349" i="1"/>
  <c r="D339" i="1"/>
  <c r="E337" i="1"/>
  <c r="E332" i="1"/>
  <c r="E324" i="1"/>
  <c r="E314" i="1"/>
  <c r="D308" i="1"/>
  <c r="D303" i="1"/>
  <c r="E301" i="1"/>
  <c r="E296" i="1"/>
  <c r="E288" i="1"/>
  <c r="E281" i="1"/>
  <c r="D280" i="1"/>
  <c r="E270" i="1"/>
  <c r="D170" i="1"/>
  <c r="E128" i="1"/>
  <c r="E93" i="1"/>
  <c r="E30" i="1"/>
  <c r="D164" i="1"/>
  <c r="E6" i="1"/>
  <c r="D6" i="1"/>
  <c r="D7" i="4" l="1"/>
  <c r="B8" i="4"/>
  <c r="B9" i="4" s="1"/>
  <c r="B10" i="4" s="1"/>
  <c r="B11" i="4" s="1"/>
  <c r="B12" i="4" s="1"/>
  <c r="B13" i="4" s="1"/>
  <c r="B14" i="4" s="1"/>
  <c r="B15" i="4" s="1"/>
  <c r="B16" i="4" s="1"/>
  <c r="G13" i="5"/>
  <c r="E14" i="5"/>
  <c r="G8" i="5"/>
  <c r="G4" i="5"/>
  <c r="G6" i="5"/>
  <c r="G12" i="5"/>
  <c r="G10" i="5"/>
  <c r="G7" i="5"/>
  <c r="G9" i="5"/>
  <c r="G11" i="5"/>
  <c r="G5" i="5"/>
  <c r="F11" i="1"/>
  <c r="F17" i="1"/>
  <c r="F23" i="1"/>
  <c r="F29" i="1"/>
  <c r="F35" i="1"/>
  <c r="F41" i="1"/>
  <c r="F47" i="1"/>
  <c r="F53" i="1"/>
  <c r="F59" i="1"/>
  <c r="F65" i="1"/>
  <c r="F71" i="1"/>
  <c r="F77" i="1"/>
  <c r="F83" i="1"/>
  <c r="F89" i="1"/>
  <c r="F95" i="1"/>
  <c r="F101" i="1"/>
  <c r="F107" i="1"/>
  <c r="F113" i="1"/>
  <c r="F119" i="1"/>
  <c r="F10" i="1"/>
  <c r="F16" i="1"/>
  <c r="F22" i="1"/>
  <c r="F28" i="1"/>
  <c r="F34" i="1"/>
  <c r="F40" i="1"/>
  <c r="F46" i="1"/>
  <c r="F52" i="1"/>
  <c r="F58" i="1"/>
  <c r="F9" i="1"/>
  <c r="F15" i="1"/>
  <c r="F21" i="1"/>
  <c r="F27" i="1"/>
  <c r="F33" i="1"/>
  <c r="F39" i="1"/>
  <c r="F45" i="1"/>
  <c r="F51" i="1"/>
  <c r="F57" i="1"/>
  <c r="F63" i="1"/>
  <c r="F8" i="1"/>
  <c r="F14" i="1"/>
  <c r="F20" i="1"/>
  <c r="F26" i="1"/>
  <c r="F32" i="1"/>
  <c r="F38" i="1"/>
  <c r="F44" i="1"/>
  <c r="F50" i="1"/>
  <c r="F56" i="1"/>
  <c r="F62" i="1"/>
  <c r="F68" i="1"/>
  <c r="F74" i="1"/>
  <c r="F80" i="1"/>
  <c r="F86" i="1"/>
  <c r="F92" i="1"/>
  <c r="F98" i="1"/>
  <c r="F104" i="1"/>
  <c r="F110" i="1"/>
  <c r="F116" i="1"/>
  <c r="F122" i="1"/>
  <c r="F128" i="1"/>
  <c r="F134" i="1"/>
  <c r="F140" i="1"/>
  <c r="F146" i="1"/>
  <c r="F152" i="1"/>
  <c r="F158" i="1"/>
  <c r="F164" i="1"/>
  <c r="F170" i="1"/>
  <c r="F123" i="1"/>
  <c r="F127" i="1"/>
  <c r="F135" i="1"/>
  <c r="F139" i="1"/>
  <c r="F147" i="1"/>
  <c r="F151" i="1"/>
  <c r="F159" i="1"/>
  <c r="F163" i="1"/>
  <c r="F171" i="1"/>
  <c r="F175" i="1"/>
  <c r="F181" i="1"/>
  <c r="F187" i="1"/>
  <c r="F193" i="1"/>
  <c r="F199" i="1"/>
  <c r="F205" i="1"/>
  <c r="F211" i="1"/>
  <c r="F217" i="1"/>
  <c r="F223" i="1"/>
  <c r="F229" i="1"/>
  <c r="F235" i="1"/>
  <c r="F241" i="1"/>
  <c r="F247" i="1"/>
  <c r="F253" i="1"/>
  <c r="F259" i="1"/>
  <c r="F66" i="1"/>
  <c r="F131" i="1"/>
  <c r="F143" i="1"/>
  <c r="F155" i="1"/>
  <c r="F167" i="1"/>
  <c r="F7" i="1"/>
  <c r="F13" i="1"/>
  <c r="F19" i="1"/>
  <c r="F25" i="1"/>
  <c r="F31" i="1"/>
  <c r="F37" i="1"/>
  <c r="F43" i="1"/>
  <c r="F49" i="1"/>
  <c r="F55" i="1"/>
  <c r="F61" i="1"/>
  <c r="F126" i="1"/>
  <c r="F130" i="1"/>
  <c r="F138" i="1"/>
  <c r="F142" i="1"/>
  <c r="F150" i="1"/>
  <c r="F154" i="1"/>
  <c r="F70" i="1"/>
  <c r="F73" i="1"/>
  <c r="F76" i="1"/>
  <c r="F79" i="1"/>
  <c r="F82" i="1"/>
  <c r="F85" i="1"/>
  <c r="F88" i="1"/>
  <c r="F91" i="1"/>
  <c r="F94" i="1"/>
  <c r="F97" i="1"/>
  <c r="F100" i="1"/>
  <c r="F103" i="1"/>
  <c r="F106" i="1"/>
  <c r="F109" i="1"/>
  <c r="F112" i="1"/>
  <c r="F115" i="1"/>
  <c r="F118" i="1"/>
  <c r="F121" i="1"/>
  <c r="F129" i="1"/>
  <c r="F133" i="1"/>
  <c r="F141" i="1"/>
  <c r="F145" i="1"/>
  <c r="F153" i="1"/>
  <c r="F157" i="1"/>
  <c r="F165" i="1"/>
  <c r="F169" i="1"/>
  <c r="F178" i="1"/>
  <c r="F184" i="1"/>
  <c r="F190" i="1"/>
  <c r="F196" i="1"/>
  <c r="F202" i="1"/>
  <c r="F208" i="1"/>
  <c r="F214" i="1"/>
  <c r="F220" i="1"/>
  <c r="F226" i="1"/>
  <c r="F232" i="1"/>
  <c r="F238" i="1"/>
  <c r="F244" i="1"/>
  <c r="F250" i="1"/>
  <c r="F256" i="1"/>
  <c r="F262" i="1"/>
  <c r="F268" i="1"/>
  <c r="F274" i="1"/>
  <c r="F280" i="1"/>
  <c r="F286" i="1"/>
  <c r="F292" i="1"/>
  <c r="F298" i="1"/>
  <c r="F304" i="1"/>
  <c r="F310" i="1"/>
  <c r="F316" i="1"/>
  <c r="F322" i="1"/>
  <c r="F328" i="1"/>
  <c r="F334" i="1"/>
  <c r="F340" i="1"/>
  <c r="F346" i="1"/>
  <c r="F352" i="1"/>
  <c r="F64" i="1"/>
  <c r="F75" i="1"/>
  <c r="F84" i="1"/>
  <c r="F93" i="1"/>
  <c r="F102" i="1"/>
  <c r="F111" i="1"/>
  <c r="F117" i="1"/>
  <c r="F168" i="1"/>
  <c r="F269" i="1"/>
  <c r="F273" i="1"/>
  <c r="F281" i="1"/>
  <c r="F172" i="1"/>
  <c r="F12" i="1"/>
  <c r="F24" i="1"/>
  <c r="F36" i="1"/>
  <c r="F48" i="1"/>
  <c r="F60" i="1"/>
  <c r="F67" i="1"/>
  <c r="F69" i="1"/>
  <c r="F78" i="1"/>
  <c r="F87" i="1"/>
  <c r="F96" i="1"/>
  <c r="F105" i="1"/>
  <c r="F125" i="1"/>
  <c r="F137" i="1"/>
  <c r="F149" i="1"/>
  <c r="F161" i="1"/>
  <c r="F177" i="1"/>
  <c r="F180" i="1"/>
  <c r="F183" i="1"/>
  <c r="F186" i="1"/>
  <c r="F189" i="1"/>
  <c r="F192" i="1"/>
  <c r="F195" i="1"/>
  <c r="F198" i="1"/>
  <c r="F201" i="1"/>
  <c r="F204" i="1"/>
  <c r="F207" i="1"/>
  <c r="F210" i="1"/>
  <c r="F213" i="1"/>
  <c r="F216" i="1"/>
  <c r="F219" i="1"/>
  <c r="F222" i="1"/>
  <c r="F225" i="1"/>
  <c r="F228" i="1"/>
  <c r="F231" i="1"/>
  <c r="F234" i="1"/>
  <c r="F237" i="1"/>
  <c r="F240" i="1"/>
  <c r="F243" i="1"/>
  <c r="F246" i="1"/>
  <c r="F249" i="1"/>
  <c r="F252" i="1"/>
  <c r="F255" i="1"/>
  <c r="F258" i="1"/>
  <c r="F261" i="1"/>
  <c r="F264" i="1"/>
  <c r="F272" i="1"/>
  <c r="F276" i="1"/>
  <c r="F284" i="1"/>
  <c r="F288" i="1"/>
  <c r="F296" i="1"/>
  <c r="F300" i="1"/>
  <c r="F308" i="1"/>
  <c r="F312" i="1"/>
  <c r="F320" i="1"/>
  <c r="F324" i="1"/>
  <c r="F332" i="1"/>
  <c r="F336" i="1"/>
  <c r="F114" i="1"/>
  <c r="F120" i="1"/>
  <c r="F132" i="1"/>
  <c r="F144" i="1"/>
  <c r="F156" i="1"/>
  <c r="F174" i="1"/>
  <c r="F267" i="1"/>
  <c r="F275" i="1"/>
  <c r="F279" i="1"/>
  <c r="F287" i="1"/>
  <c r="F291" i="1"/>
  <c r="F299" i="1"/>
  <c r="F303" i="1"/>
  <c r="F311" i="1"/>
  <c r="F315" i="1"/>
  <c r="F323" i="1"/>
  <c r="F327" i="1"/>
  <c r="F335" i="1"/>
  <c r="F339" i="1"/>
  <c r="F347" i="1"/>
  <c r="F266" i="1"/>
  <c r="F294" i="1"/>
  <c r="F309" i="1"/>
  <c r="F317" i="1"/>
  <c r="F330" i="1"/>
  <c r="F343" i="1"/>
  <c r="F353" i="1"/>
  <c r="F357" i="1"/>
  <c r="F363" i="1"/>
  <c r="F369" i="1"/>
  <c r="F239" i="1"/>
  <c r="F349" i="1"/>
  <c r="F362" i="1"/>
  <c r="F368" i="1"/>
  <c r="F350" i="1"/>
  <c r="F354" i="1"/>
  <c r="F358" i="1"/>
  <c r="F30" i="1"/>
  <c r="F72" i="1"/>
  <c r="F99" i="1"/>
  <c r="F124" i="1"/>
  <c r="F179" i="1"/>
  <c r="F185" i="1"/>
  <c r="F191" i="1"/>
  <c r="F197" i="1"/>
  <c r="F203" i="1"/>
  <c r="F209" i="1"/>
  <c r="F215" i="1"/>
  <c r="F221" i="1"/>
  <c r="F227" i="1"/>
  <c r="F233" i="1"/>
  <c r="F245" i="1"/>
  <c r="F251" i="1"/>
  <c r="F257" i="1"/>
  <c r="F263" i="1"/>
  <c r="F270" i="1"/>
  <c r="F283" i="1"/>
  <c r="F301" i="1"/>
  <c r="F314" i="1"/>
  <c r="F319" i="1"/>
  <c r="F337" i="1"/>
  <c r="F277" i="1"/>
  <c r="F289" i="1"/>
  <c r="F325" i="1"/>
  <c r="F136" i="1"/>
  <c r="F166" i="1"/>
  <c r="F265" i="1"/>
  <c r="F285" i="1"/>
  <c r="F293" i="1"/>
  <c r="F306" i="1"/>
  <c r="F321" i="1"/>
  <c r="F329" i="1"/>
  <c r="F342" i="1"/>
  <c r="F345" i="1"/>
  <c r="F348" i="1"/>
  <c r="F356" i="1"/>
  <c r="F361" i="1"/>
  <c r="F367" i="1"/>
  <c r="F182" i="1"/>
  <c r="F206" i="1"/>
  <c r="F218" i="1"/>
  <c r="F230" i="1"/>
  <c r="F236" i="1"/>
  <c r="F242" i="1"/>
  <c r="F254" i="1"/>
  <c r="F305" i="1"/>
  <c r="F341" i="1"/>
  <c r="F359" i="1"/>
  <c r="F365" i="1"/>
  <c r="F90" i="1"/>
  <c r="F338" i="1"/>
  <c r="F18" i="1"/>
  <c r="F54" i="1"/>
  <c r="F81" i="1"/>
  <c r="F108" i="1"/>
  <c r="F148" i="1"/>
  <c r="F173" i="1"/>
  <c r="F278" i="1"/>
  <c r="F290" i="1"/>
  <c r="F295" i="1"/>
  <c r="F313" i="1"/>
  <c r="F326" i="1"/>
  <c r="F331" i="1"/>
  <c r="F351" i="1"/>
  <c r="F360" i="1"/>
  <c r="F366" i="1"/>
  <c r="F160" i="1"/>
  <c r="F162" i="1"/>
  <c r="F176" i="1"/>
  <c r="F188" i="1"/>
  <c r="F194" i="1"/>
  <c r="F200" i="1"/>
  <c r="F212" i="1"/>
  <c r="F224" i="1"/>
  <c r="F248" i="1"/>
  <c r="F260" i="1"/>
  <c r="F271" i="1"/>
  <c r="F282" i="1"/>
  <c r="F297" i="1"/>
  <c r="F318" i="1"/>
  <c r="F333" i="1"/>
  <c r="F344" i="1"/>
  <c r="F355" i="1"/>
  <c r="F42" i="1"/>
  <c r="F302" i="1"/>
  <c r="F307" i="1"/>
  <c r="F364" i="1"/>
  <c r="F370" i="1"/>
  <c r="F6" i="1"/>
  <c r="C9" i="4" l="1"/>
  <c r="D9" i="4"/>
  <c r="D8" i="4"/>
  <c r="C8" i="4"/>
  <c r="E15" i="5"/>
  <c r="G14" i="5"/>
  <c r="C10" i="4"/>
  <c r="D10" i="4"/>
  <c r="E16" i="5" l="1"/>
  <c r="G15" i="5"/>
  <c r="C11" i="4"/>
  <c r="D11" i="4"/>
  <c r="E17" i="5" l="1"/>
  <c r="G16" i="5"/>
  <c r="C12" i="4"/>
  <c r="D12" i="4"/>
  <c r="E18" i="5" l="1"/>
  <c r="G17" i="5"/>
  <c r="C13" i="4"/>
  <c r="D13" i="4"/>
  <c r="E19" i="5" l="1"/>
  <c r="G18" i="5"/>
  <c r="D14" i="4"/>
  <c r="C14" i="4"/>
  <c r="G19" i="5" l="1"/>
  <c r="E20" i="5"/>
  <c r="C15" i="4"/>
  <c r="D15" i="4"/>
  <c r="E21" i="5" l="1"/>
  <c r="G20" i="5"/>
  <c r="C16" i="4"/>
  <c r="D16" i="4"/>
  <c r="B17" i="4"/>
  <c r="E22" i="5" l="1"/>
  <c r="G21" i="5"/>
  <c r="C17" i="4"/>
  <c r="D17" i="4"/>
  <c r="B18" i="4"/>
  <c r="E23" i="5" l="1"/>
  <c r="G22" i="5"/>
  <c r="C18" i="4"/>
  <c r="D18" i="4"/>
  <c r="B19" i="4"/>
  <c r="E24" i="5" l="1"/>
  <c r="G23" i="5"/>
  <c r="C19" i="4"/>
  <c r="D19" i="4"/>
  <c r="B20" i="4"/>
  <c r="E25" i="5" l="1"/>
  <c r="G25" i="5" s="1"/>
  <c r="G24" i="5"/>
  <c r="C20" i="4"/>
  <c r="D20" i="4"/>
  <c r="B21" i="4"/>
  <c r="C21" i="4" l="1"/>
  <c r="D21" i="4"/>
  <c r="B22" i="4"/>
  <c r="C22" i="4" l="1"/>
  <c r="D22" i="4"/>
  <c r="B23" i="4"/>
  <c r="C23" i="4" l="1"/>
  <c r="D23" i="4"/>
  <c r="B24" i="4"/>
  <c r="C24" i="4" l="1"/>
  <c r="D24" i="4"/>
  <c r="B25" i="4"/>
  <c r="C25" i="4" l="1"/>
  <c r="D25" i="4"/>
  <c r="B26" i="4"/>
  <c r="D26" i="4" l="1"/>
  <c r="C26" i="4"/>
  <c r="B27" i="4"/>
  <c r="C27" i="4" l="1"/>
  <c r="D27" i="4"/>
  <c r="B28" i="4"/>
  <c r="C28" i="4" l="1"/>
  <c r="D28" i="4"/>
  <c r="B29" i="4"/>
  <c r="C29" i="4" l="1"/>
  <c r="D29" i="4"/>
</calcChain>
</file>

<file path=xl/sharedStrings.xml><?xml version="1.0" encoding="utf-8"?>
<sst xmlns="http://schemas.openxmlformats.org/spreadsheetml/2006/main" count="45" uniqueCount="36">
  <si>
    <t>Интервал ожидания</t>
  </si>
  <si>
    <t>1 автобус</t>
  </si>
  <si>
    <t>2 автобус</t>
  </si>
  <si>
    <t>Период расчёта</t>
  </si>
  <si>
    <t>№ дня</t>
  </si>
  <si>
    <t>Ожидание 1 автобуса w1</t>
  </si>
  <si>
    <t>Ожидание 2 автобуса w2</t>
  </si>
  <si>
    <t>Ожидание автобуса x</t>
  </si>
  <si>
    <t>Среднее время ожидания на текущий день t'ср</t>
  </si>
  <si>
    <t>Среднее время ожидания на за год t ср</t>
  </si>
  <si>
    <t>a=</t>
  </si>
  <si>
    <t>b=</t>
  </si>
  <si>
    <t>d=</t>
  </si>
  <si>
    <t>Бросание монеты</t>
  </si>
  <si>
    <t>Исходные данные</t>
  </si>
  <si>
    <t>Начальный капитал</t>
  </si>
  <si>
    <t>Результаты</t>
  </si>
  <si>
    <t>Бросок</t>
  </si>
  <si>
    <t>ставка</t>
  </si>
  <si>
    <t>Наличность</t>
  </si>
  <si>
    <t>Выигрыш</t>
  </si>
  <si>
    <t>Проигрыш</t>
  </si>
  <si>
    <t>Ставка</t>
  </si>
  <si>
    <t>№ сеанса</t>
  </si>
  <si>
    <t>Количество бросков для результата</t>
  </si>
  <si>
    <t>Результат</t>
  </si>
  <si>
    <t>Статистика по экспериментам</t>
  </si>
  <si>
    <t>банк</t>
  </si>
  <si>
    <t>банкрот</t>
  </si>
  <si>
    <t>Сумма первого</t>
  </si>
  <si>
    <t>Сумма второго</t>
  </si>
  <si>
    <t>Моделирование игры в кости</t>
  </si>
  <si>
    <t>Выпадение костей К1 (1 игрок)</t>
  </si>
  <si>
    <t>Выпадение костей К2 (2 игрок)</t>
  </si>
  <si>
    <t>Выпадение костей К2 (1 игрок)</t>
  </si>
  <si>
    <t>Выпадение костей К1 (2 игрок)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</si>
</sst>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'Задание 1'!$D$5</c:f>
              <c:strCache>
                <c:ptCount val="1"/>
                <c:pt idx="0">
                  <c:v>Ожидание автобуса 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'Задание 1'!$D$6:$D$370</c:f>
              <c:numCache>
                <c:formatCode>General</c:formatCode>
                <c:ptCount val="365"/>
                <c:pt idx="0">
                  <c:v>2.4799485342516436</c:v>
                </c:pt>
                <c:pt idx="1">
                  <c:v>0.60851180481058365</c:v>
                </c:pt>
                <c:pt idx="2">
                  <c:v>0.81645799311989675</c:v>
                </c:pt>
                <c:pt idx="3">
                  <c:v>0.69262278804680055</c:v>
                </c:pt>
                <c:pt idx="4">
                  <c:v>8.7114813929684889</c:v>
                </c:pt>
                <c:pt idx="5">
                  <c:v>6.8992238480054429</c:v>
                </c:pt>
                <c:pt idx="6">
                  <c:v>1.2058217134482452</c:v>
                </c:pt>
                <c:pt idx="7">
                  <c:v>5.6141640757553111</c:v>
                </c:pt>
                <c:pt idx="8">
                  <c:v>3.8689922290817469</c:v>
                </c:pt>
                <c:pt idx="9">
                  <c:v>5.0007492505000695</c:v>
                </c:pt>
                <c:pt idx="10">
                  <c:v>5.4062338368545468</c:v>
                </c:pt>
                <c:pt idx="11">
                  <c:v>2.4743797693391576</c:v>
                </c:pt>
                <c:pt idx="12">
                  <c:v>8.8035620149088274</c:v>
                </c:pt>
                <c:pt idx="13">
                  <c:v>2.1560830785078506</c:v>
                </c:pt>
                <c:pt idx="14">
                  <c:v>3.1687112854599029</c:v>
                </c:pt>
                <c:pt idx="15">
                  <c:v>0.26546264415221343</c:v>
                </c:pt>
                <c:pt idx="16">
                  <c:v>1.0194126626859712</c:v>
                </c:pt>
                <c:pt idx="17">
                  <c:v>5.2476443384082225</c:v>
                </c:pt>
                <c:pt idx="18">
                  <c:v>1.21626088411664</c:v>
                </c:pt>
                <c:pt idx="19">
                  <c:v>3.1867837100277097</c:v>
                </c:pt>
                <c:pt idx="20">
                  <c:v>6.9406788365766126</c:v>
                </c:pt>
                <c:pt idx="21">
                  <c:v>3.5037713447468843</c:v>
                </c:pt>
                <c:pt idx="22">
                  <c:v>6.9860445718520037</c:v>
                </c:pt>
                <c:pt idx="23">
                  <c:v>4.873354704397137</c:v>
                </c:pt>
                <c:pt idx="24">
                  <c:v>0.16548333457206077</c:v>
                </c:pt>
                <c:pt idx="25">
                  <c:v>3.5112797629527339</c:v>
                </c:pt>
                <c:pt idx="26">
                  <c:v>7.2615081457315531</c:v>
                </c:pt>
                <c:pt idx="27">
                  <c:v>4.5873660965284699</c:v>
                </c:pt>
                <c:pt idx="28">
                  <c:v>7.0675892822752022</c:v>
                </c:pt>
                <c:pt idx="29">
                  <c:v>8.2624519474168139</c:v>
                </c:pt>
                <c:pt idx="30">
                  <c:v>3.7054547598829926</c:v>
                </c:pt>
                <c:pt idx="31">
                  <c:v>0.16278225334783514</c:v>
                </c:pt>
                <c:pt idx="32">
                  <c:v>8.392993193883763</c:v>
                </c:pt>
                <c:pt idx="33">
                  <c:v>7.5976931773508101</c:v>
                </c:pt>
                <c:pt idx="34">
                  <c:v>5.0546283952031157</c:v>
                </c:pt>
                <c:pt idx="35">
                  <c:v>8.2301766486502999</c:v>
                </c:pt>
                <c:pt idx="36">
                  <c:v>6.6347648701705673</c:v>
                </c:pt>
                <c:pt idx="37">
                  <c:v>3.278163118377166</c:v>
                </c:pt>
                <c:pt idx="38">
                  <c:v>2.1194228980640539</c:v>
                </c:pt>
                <c:pt idx="39">
                  <c:v>4.9506113353730052</c:v>
                </c:pt>
                <c:pt idx="40">
                  <c:v>4.7955432676968934</c:v>
                </c:pt>
                <c:pt idx="41">
                  <c:v>9.7537294131493066</c:v>
                </c:pt>
                <c:pt idx="42">
                  <c:v>0.74466795401685548</c:v>
                </c:pt>
                <c:pt idx="43">
                  <c:v>8.0658614302005596</c:v>
                </c:pt>
                <c:pt idx="44">
                  <c:v>8.2098628546569046</c:v>
                </c:pt>
                <c:pt idx="45">
                  <c:v>4.4790422496087459</c:v>
                </c:pt>
                <c:pt idx="46">
                  <c:v>7.3264616849169331</c:v>
                </c:pt>
                <c:pt idx="47">
                  <c:v>0.48013194871575293</c:v>
                </c:pt>
                <c:pt idx="48">
                  <c:v>0.38919960449231072</c:v>
                </c:pt>
                <c:pt idx="49">
                  <c:v>4.917675328064175</c:v>
                </c:pt>
                <c:pt idx="50">
                  <c:v>0.26418297347611808</c:v>
                </c:pt>
                <c:pt idx="51">
                  <c:v>8.443766660123055</c:v>
                </c:pt>
                <c:pt idx="52">
                  <c:v>0.88803623624486905</c:v>
                </c:pt>
                <c:pt idx="53">
                  <c:v>0.92830198919862217</c:v>
                </c:pt>
                <c:pt idx="54">
                  <c:v>0.56003726822470123</c:v>
                </c:pt>
                <c:pt idx="55">
                  <c:v>4.5252419923997351</c:v>
                </c:pt>
                <c:pt idx="56">
                  <c:v>7.7894404687169772</c:v>
                </c:pt>
                <c:pt idx="57">
                  <c:v>3.2052782003218794</c:v>
                </c:pt>
                <c:pt idx="58">
                  <c:v>1.6001475906018203</c:v>
                </c:pt>
                <c:pt idx="59">
                  <c:v>8.0218343774191734</c:v>
                </c:pt>
                <c:pt idx="60">
                  <c:v>3.023584863019686</c:v>
                </c:pt>
                <c:pt idx="61">
                  <c:v>5.3443537253534448</c:v>
                </c:pt>
                <c:pt idx="62">
                  <c:v>3.8205320598014341</c:v>
                </c:pt>
                <c:pt idx="63">
                  <c:v>5.0523789294664558</c:v>
                </c:pt>
                <c:pt idx="64">
                  <c:v>7.6296629188202401</c:v>
                </c:pt>
                <c:pt idx="65">
                  <c:v>9.6031712394399822</c:v>
                </c:pt>
                <c:pt idx="66">
                  <c:v>0.12458198352339411</c:v>
                </c:pt>
                <c:pt idx="67">
                  <c:v>6.4742129048491019</c:v>
                </c:pt>
                <c:pt idx="68">
                  <c:v>3.2559000705903438</c:v>
                </c:pt>
                <c:pt idx="69">
                  <c:v>6.9808403397344074</c:v>
                </c:pt>
                <c:pt idx="70">
                  <c:v>8.928824811362956</c:v>
                </c:pt>
                <c:pt idx="71">
                  <c:v>8.2102182511207911</c:v>
                </c:pt>
                <c:pt idx="72">
                  <c:v>3.3299388895343118</c:v>
                </c:pt>
                <c:pt idx="73">
                  <c:v>0.86117319373822609</c:v>
                </c:pt>
                <c:pt idx="74">
                  <c:v>1.4247267227033062</c:v>
                </c:pt>
                <c:pt idx="75">
                  <c:v>1.3978590963927562</c:v>
                </c:pt>
                <c:pt idx="76">
                  <c:v>4.3679044100792197</c:v>
                </c:pt>
                <c:pt idx="77">
                  <c:v>2.339887533159057</c:v>
                </c:pt>
                <c:pt idx="78">
                  <c:v>3.2262040757389587</c:v>
                </c:pt>
                <c:pt idx="79">
                  <c:v>3.2681415256318926</c:v>
                </c:pt>
                <c:pt idx="80">
                  <c:v>7.1130126734083579</c:v>
                </c:pt>
                <c:pt idx="81">
                  <c:v>0.6804506642041247</c:v>
                </c:pt>
                <c:pt idx="82">
                  <c:v>2.3789497060833318</c:v>
                </c:pt>
                <c:pt idx="83">
                  <c:v>0.50411731278104166</c:v>
                </c:pt>
                <c:pt idx="84">
                  <c:v>4.3459739731808114</c:v>
                </c:pt>
                <c:pt idx="85">
                  <c:v>4.069148580180018</c:v>
                </c:pt>
                <c:pt idx="86">
                  <c:v>1.4031148557303552</c:v>
                </c:pt>
                <c:pt idx="87">
                  <c:v>0.79980155084295346</c:v>
                </c:pt>
                <c:pt idx="88">
                  <c:v>1.7175723560760037</c:v>
                </c:pt>
                <c:pt idx="89">
                  <c:v>5.3486817427974467</c:v>
                </c:pt>
                <c:pt idx="90">
                  <c:v>1.7144482657221549</c:v>
                </c:pt>
                <c:pt idx="91">
                  <c:v>3.788066952491655</c:v>
                </c:pt>
                <c:pt idx="92">
                  <c:v>2.2955139024278575</c:v>
                </c:pt>
                <c:pt idx="93">
                  <c:v>1.7678040541928774</c:v>
                </c:pt>
                <c:pt idx="94">
                  <c:v>7.490016676687099</c:v>
                </c:pt>
                <c:pt idx="95">
                  <c:v>2.4408435692749375</c:v>
                </c:pt>
                <c:pt idx="96">
                  <c:v>8.683971977554906</c:v>
                </c:pt>
                <c:pt idx="97">
                  <c:v>0.12178241543562618</c:v>
                </c:pt>
                <c:pt idx="98">
                  <c:v>6.0855314544207255</c:v>
                </c:pt>
                <c:pt idx="99">
                  <c:v>6.0513887016178112</c:v>
                </c:pt>
                <c:pt idx="100">
                  <c:v>1.0488612676694642</c:v>
                </c:pt>
                <c:pt idx="101">
                  <c:v>3.5757241799599813</c:v>
                </c:pt>
                <c:pt idx="102">
                  <c:v>2.0500275343122958</c:v>
                </c:pt>
                <c:pt idx="103">
                  <c:v>0.40930096084605294</c:v>
                </c:pt>
                <c:pt idx="104">
                  <c:v>0.46112729096857819</c:v>
                </c:pt>
                <c:pt idx="105">
                  <c:v>3.0652276690129412</c:v>
                </c:pt>
                <c:pt idx="106">
                  <c:v>3.3167406530732313</c:v>
                </c:pt>
                <c:pt idx="107">
                  <c:v>7.500651957298559</c:v>
                </c:pt>
                <c:pt idx="108">
                  <c:v>0.30935269898717532</c:v>
                </c:pt>
                <c:pt idx="109">
                  <c:v>5.6425443828879995</c:v>
                </c:pt>
                <c:pt idx="110">
                  <c:v>1.217744102877103</c:v>
                </c:pt>
                <c:pt idx="111">
                  <c:v>7.2847695879741075</c:v>
                </c:pt>
                <c:pt idx="112">
                  <c:v>6.5183522415981212</c:v>
                </c:pt>
                <c:pt idx="113">
                  <c:v>2.6829166912642211</c:v>
                </c:pt>
                <c:pt idx="114">
                  <c:v>5.2181165293106515</c:v>
                </c:pt>
                <c:pt idx="115">
                  <c:v>8.9042527836121685</c:v>
                </c:pt>
                <c:pt idx="116">
                  <c:v>3.0106091780296564</c:v>
                </c:pt>
                <c:pt idx="117">
                  <c:v>3.877618687626736</c:v>
                </c:pt>
                <c:pt idx="118">
                  <c:v>9.012608977828517</c:v>
                </c:pt>
                <c:pt idx="119">
                  <c:v>4.4409699296991239</c:v>
                </c:pt>
                <c:pt idx="120">
                  <c:v>2.3276521558260654</c:v>
                </c:pt>
                <c:pt idx="121">
                  <c:v>3.0542861229579845</c:v>
                </c:pt>
                <c:pt idx="122">
                  <c:v>4.9291679430602331</c:v>
                </c:pt>
                <c:pt idx="123">
                  <c:v>8.6905056590681724</c:v>
                </c:pt>
                <c:pt idx="124">
                  <c:v>1.9866055017927748</c:v>
                </c:pt>
                <c:pt idx="125">
                  <c:v>3.084465532962529</c:v>
                </c:pt>
                <c:pt idx="126">
                  <c:v>7.697623581811329</c:v>
                </c:pt>
                <c:pt idx="127">
                  <c:v>8.8979459589460905</c:v>
                </c:pt>
                <c:pt idx="128">
                  <c:v>5.8782906451880468</c:v>
                </c:pt>
                <c:pt idx="129">
                  <c:v>5.837561922963908</c:v>
                </c:pt>
                <c:pt idx="130">
                  <c:v>2.4912024137346336</c:v>
                </c:pt>
                <c:pt idx="131">
                  <c:v>4.1046178953248607</c:v>
                </c:pt>
                <c:pt idx="132">
                  <c:v>9.503207048975268</c:v>
                </c:pt>
                <c:pt idx="133">
                  <c:v>6.6821932777774116</c:v>
                </c:pt>
                <c:pt idx="134">
                  <c:v>2.5896402674834826</c:v>
                </c:pt>
                <c:pt idx="135">
                  <c:v>1.1892035952028173</c:v>
                </c:pt>
                <c:pt idx="136">
                  <c:v>0.29597410132286783</c:v>
                </c:pt>
                <c:pt idx="137">
                  <c:v>0.28355228491009021</c:v>
                </c:pt>
                <c:pt idx="138">
                  <c:v>0.28093913473551724</c:v>
                </c:pt>
                <c:pt idx="139">
                  <c:v>7.4387332854438482</c:v>
                </c:pt>
                <c:pt idx="140">
                  <c:v>1.3618190406282071</c:v>
                </c:pt>
                <c:pt idx="141">
                  <c:v>9.2183977656621412</c:v>
                </c:pt>
                <c:pt idx="142">
                  <c:v>3.9580531117664486</c:v>
                </c:pt>
                <c:pt idx="143">
                  <c:v>2.3852666584126796</c:v>
                </c:pt>
                <c:pt idx="144">
                  <c:v>7.4978333593954396</c:v>
                </c:pt>
                <c:pt idx="145">
                  <c:v>4.8692066858903189</c:v>
                </c:pt>
                <c:pt idx="146">
                  <c:v>8.0162525251600254</c:v>
                </c:pt>
                <c:pt idx="147">
                  <c:v>0.86102239747163412</c:v>
                </c:pt>
                <c:pt idx="148">
                  <c:v>1.6556892928767286</c:v>
                </c:pt>
                <c:pt idx="149">
                  <c:v>4.1875031193826029</c:v>
                </c:pt>
                <c:pt idx="150">
                  <c:v>3.6104475561242149</c:v>
                </c:pt>
                <c:pt idx="151">
                  <c:v>1.8240592086424701</c:v>
                </c:pt>
                <c:pt idx="152">
                  <c:v>5.9122575541341336</c:v>
                </c:pt>
                <c:pt idx="153">
                  <c:v>9.3288819920018575</c:v>
                </c:pt>
                <c:pt idx="154">
                  <c:v>0.10517233244499935</c:v>
                </c:pt>
                <c:pt idx="155">
                  <c:v>1.1851461526894858</c:v>
                </c:pt>
                <c:pt idx="156">
                  <c:v>1.8191157416746506</c:v>
                </c:pt>
                <c:pt idx="157">
                  <c:v>2.7369973816332132</c:v>
                </c:pt>
                <c:pt idx="158">
                  <c:v>4.0453356164712932</c:v>
                </c:pt>
                <c:pt idx="159">
                  <c:v>1.0074379765072272</c:v>
                </c:pt>
                <c:pt idx="160">
                  <c:v>4.9048077973637714</c:v>
                </c:pt>
                <c:pt idx="161">
                  <c:v>2.9157823590280452</c:v>
                </c:pt>
                <c:pt idx="162">
                  <c:v>6.141664320921195</c:v>
                </c:pt>
                <c:pt idx="163">
                  <c:v>3.7632918300071196</c:v>
                </c:pt>
                <c:pt idx="164">
                  <c:v>5.422318386854716</c:v>
                </c:pt>
                <c:pt idx="165">
                  <c:v>2.6422852554033489</c:v>
                </c:pt>
                <c:pt idx="166">
                  <c:v>1.3584766892967337</c:v>
                </c:pt>
                <c:pt idx="167">
                  <c:v>4.0977783013546931</c:v>
                </c:pt>
                <c:pt idx="168">
                  <c:v>6.140196578759979</c:v>
                </c:pt>
                <c:pt idx="169">
                  <c:v>1.8102829157760048</c:v>
                </c:pt>
                <c:pt idx="170">
                  <c:v>9.0431603054715328</c:v>
                </c:pt>
                <c:pt idx="171">
                  <c:v>4.1639821380188566</c:v>
                </c:pt>
                <c:pt idx="172">
                  <c:v>6.7841180067059526</c:v>
                </c:pt>
                <c:pt idx="173">
                  <c:v>0.20423334478509192</c:v>
                </c:pt>
                <c:pt idx="174">
                  <c:v>6.2710807604454786</c:v>
                </c:pt>
                <c:pt idx="175">
                  <c:v>1.3327288323762121</c:v>
                </c:pt>
                <c:pt idx="176">
                  <c:v>5.5898335323330937</c:v>
                </c:pt>
                <c:pt idx="177">
                  <c:v>3.7460797883575978</c:v>
                </c:pt>
                <c:pt idx="178">
                  <c:v>7.7428927501924401</c:v>
                </c:pt>
                <c:pt idx="179">
                  <c:v>5.9321042712280114</c:v>
                </c:pt>
                <c:pt idx="180">
                  <c:v>6.8655921199482446</c:v>
                </c:pt>
                <c:pt idx="181">
                  <c:v>7.1336604577886646</c:v>
                </c:pt>
                <c:pt idx="182">
                  <c:v>1.5580150812275162</c:v>
                </c:pt>
                <c:pt idx="183">
                  <c:v>4.6137155461376667</c:v>
                </c:pt>
                <c:pt idx="184">
                  <c:v>0.27530676463943526</c:v>
                </c:pt>
                <c:pt idx="185">
                  <c:v>8.184157345192725</c:v>
                </c:pt>
                <c:pt idx="186">
                  <c:v>0.11934121368417427</c:v>
                </c:pt>
                <c:pt idx="187">
                  <c:v>2.1128660082987478</c:v>
                </c:pt>
                <c:pt idx="188">
                  <c:v>0.4694881312360849</c:v>
                </c:pt>
                <c:pt idx="189">
                  <c:v>4.1982427374072753</c:v>
                </c:pt>
                <c:pt idx="190">
                  <c:v>7.7233372742139146</c:v>
                </c:pt>
                <c:pt idx="191">
                  <c:v>3.7056248559977938</c:v>
                </c:pt>
                <c:pt idx="192">
                  <c:v>6.0935656753436218</c:v>
                </c:pt>
                <c:pt idx="193">
                  <c:v>2.3318784911871946</c:v>
                </c:pt>
                <c:pt idx="194">
                  <c:v>0.1183872647562878</c:v>
                </c:pt>
                <c:pt idx="195">
                  <c:v>1.3139797083675626</c:v>
                </c:pt>
                <c:pt idx="196">
                  <c:v>1.1470296190341023</c:v>
                </c:pt>
                <c:pt idx="197">
                  <c:v>1.3752961521865004</c:v>
                </c:pt>
                <c:pt idx="198">
                  <c:v>7.6017945080411211</c:v>
                </c:pt>
                <c:pt idx="199">
                  <c:v>9.5091364199819939</c:v>
                </c:pt>
                <c:pt idx="200">
                  <c:v>4.3255046184408545</c:v>
                </c:pt>
                <c:pt idx="201">
                  <c:v>1.2998287399039343</c:v>
                </c:pt>
                <c:pt idx="202">
                  <c:v>8.9025284576446211</c:v>
                </c:pt>
                <c:pt idx="203">
                  <c:v>6.0584602605464415</c:v>
                </c:pt>
                <c:pt idx="204">
                  <c:v>4.8555226152641549</c:v>
                </c:pt>
                <c:pt idx="205">
                  <c:v>0.75806689910948633</c:v>
                </c:pt>
                <c:pt idx="206">
                  <c:v>2.8147850098672378</c:v>
                </c:pt>
                <c:pt idx="207">
                  <c:v>2.3363013532243482</c:v>
                </c:pt>
                <c:pt idx="208">
                  <c:v>7.4099730253676368</c:v>
                </c:pt>
                <c:pt idx="209">
                  <c:v>2.1857381381328644</c:v>
                </c:pt>
                <c:pt idx="210">
                  <c:v>0.83391912358064979</c:v>
                </c:pt>
                <c:pt idx="211">
                  <c:v>4.3402032811951088</c:v>
                </c:pt>
                <c:pt idx="212">
                  <c:v>4.2698478471648382</c:v>
                </c:pt>
                <c:pt idx="213">
                  <c:v>0.54532460139386563</c:v>
                </c:pt>
                <c:pt idx="214">
                  <c:v>7.5092744587398341E-2</c:v>
                </c:pt>
                <c:pt idx="215">
                  <c:v>2.2381170931241989</c:v>
                </c:pt>
                <c:pt idx="216">
                  <c:v>0.7732096643180586</c:v>
                </c:pt>
                <c:pt idx="217">
                  <c:v>4.6268375268070709</c:v>
                </c:pt>
                <c:pt idx="218">
                  <c:v>4.3954727614635409</c:v>
                </c:pt>
                <c:pt idx="219">
                  <c:v>6.8914518754084506</c:v>
                </c:pt>
                <c:pt idx="220">
                  <c:v>3.9235059308246178</c:v>
                </c:pt>
                <c:pt idx="221">
                  <c:v>1.1384987550130543</c:v>
                </c:pt>
                <c:pt idx="222">
                  <c:v>3.4131226715746257</c:v>
                </c:pt>
                <c:pt idx="223">
                  <c:v>3.1477777600689816</c:v>
                </c:pt>
                <c:pt idx="224">
                  <c:v>5.7943428267572736</c:v>
                </c:pt>
                <c:pt idx="225">
                  <c:v>0.51241901425857272</c:v>
                </c:pt>
                <c:pt idx="226">
                  <c:v>4.154163793295421</c:v>
                </c:pt>
                <c:pt idx="227">
                  <c:v>6.6210679405998132</c:v>
                </c:pt>
                <c:pt idx="228">
                  <c:v>0.94407954450039133</c:v>
                </c:pt>
                <c:pt idx="229">
                  <c:v>3.2509195854036488</c:v>
                </c:pt>
                <c:pt idx="230">
                  <c:v>9.8683736858361204</c:v>
                </c:pt>
                <c:pt idx="231">
                  <c:v>6.2759870152760602</c:v>
                </c:pt>
                <c:pt idx="232">
                  <c:v>5.3817166520682775</c:v>
                </c:pt>
                <c:pt idx="233">
                  <c:v>0.64110858261662074</c:v>
                </c:pt>
                <c:pt idx="234">
                  <c:v>5.7014836500215136</c:v>
                </c:pt>
                <c:pt idx="235">
                  <c:v>8.4696765229040434</c:v>
                </c:pt>
                <c:pt idx="236">
                  <c:v>4.7241950719631554</c:v>
                </c:pt>
                <c:pt idx="237">
                  <c:v>3.8202023896039883</c:v>
                </c:pt>
                <c:pt idx="238">
                  <c:v>2.0768538415142936</c:v>
                </c:pt>
                <c:pt idx="239">
                  <c:v>7.0691797372364453</c:v>
                </c:pt>
                <c:pt idx="240">
                  <c:v>5.9390527191316256</c:v>
                </c:pt>
                <c:pt idx="241">
                  <c:v>6.9593031493554189</c:v>
                </c:pt>
                <c:pt idx="242">
                  <c:v>7.7395311300839209</c:v>
                </c:pt>
                <c:pt idx="243">
                  <c:v>1.2890057393127752</c:v>
                </c:pt>
                <c:pt idx="244">
                  <c:v>6.120623799381435</c:v>
                </c:pt>
                <c:pt idx="245">
                  <c:v>2.4799638405269642</c:v>
                </c:pt>
                <c:pt idx="246">
                  <c:v>3.7856336071134153</c:v>
                </c:pt>
                <c:pt idx="247">
                  <c:v>5.5728697999135264</c:v>
                </c:pt>
                <c:pt idx="248">
                  <c:v>4.675707746493762</c:v>
                </c:pt>
                <c:pt idx="249">
                  <c:v>6.0549484183878208</c:v>
                </c:pt>
                <c:pt idx="250">
                  <c:v>3.2952483129418155</c:v>
                </c:pt>
                <c:pt idx="251">
                  <c:v>0.62635548748824044</c:v>
                </c:pt>
                <c:pt idx="252">
                  <c:v>2.4220647042104226</c:v>
                </c:pt>
                <c:pt idx="253">
                  <c:v>6.5016740386833236</c:v>
                </c:pt>
                <c:pt idx="254">
                  <c:v>4.8894080290170425</c:v>
                </c:pt>
                <c:pt idx="255">
                  <c:v>1.0436482274924486</c:v>
                </c:pt>
                <c:pt idx="256">
                  <c:v>1.2826183240388804</c:v>
                </c:pt>
                <c:pt idx="257">
                  <c:v>2.0294743545452016</c:v>
                </c:pt>
                <c:pt idx="258">
                  <c:v>1.211597604394135</c:v>
                </c:pt>
                <c:pt idx="259">
                  <c:v>4.3928484462786832</c:v>
                </c:pt>
                <c:pt idx="260">
                  <c:v>6.9563088110566129</c:v>
                </c:pt>
                <c:pt idx="261">
                  <c:v>1.2450254770456075</c:v>
                </c:pt>
                <c:pt idx="262">
                  <c:v>5.7769302618399614</c:v>
                </c:pt>
                <c:pt idx="263">
                  <c:v>3.1585048605457726</c:v>
                </c:pt>
                <c:pt idx="264">
                  <c:v>9.1133341079745822</c:v>
                </c:pt>
                <c:pt idx="265">
                  <c:v>1.514950381918434</c:v>
                </c:pt>
                <c:pt idx="266">
                  <c:v>8.026013411819271</c:v>
                </c:pt>
                <c:pt idx="267">
                  <c:v>1.2683425535666082</c:v>
                </c:pt>
                <c:pt idx="268">
                  <c:v>1.6904625479904345</c:v>
                </c:pt>
                <c:pt idx="269">
                  <c:v>0.99523506601967071</c:v>
                </c:pt>
                <c:pt idx="270">
                  <c:v>4.5099345195419085</c:v>
                </c:pt>
                <c:pt idx="271">
                  <c:v>4.4175097975661721</c:v>
                </c:pt>
                <c:pt idx="272">
                  <c:v>3.7386050721155528</c:v>
                </c:pt>
                <c:pt idx="273">
                  <c:v>6.9696315844611938</c:v>
                </c:pt>
                <c:pt idx="274">
                  <c:v>0.69011846961191781</c:v>
                </c:pt>
                <c:pt idx="275">
                  <c:v>4.05665555616525</c:v>
                </c:pt>
                <c:pt idx="276">
                  <c:v>5.5588492979230377</c:v>
                </c:pt>
                <c:pt idx="277">
                  <c:v>5.1717365304632237</c:v>
                </c:pt>
                <c:pt idx="278">
                  <c:v>1.8921606408656477</c:v>
                </c:pt>
                <c:pt idx="279">
                  <c:v>3.8480188863203368</c:v>
                </c:pt>
                <c:pt idx="280">
                  <c:v>1.9121892416789565</c:v>
                </c:pt>
                <c:pt idx="281">
                  <c:v>0.73710117943214915</c:v>
                </c:pt>
                <c:pt idx="282">
                  <c:v>0.5929416850872804</c:v>
                </c:pt>
                <c:pt idx="283">
                  <c:v>4.2539080058951235</c:v>
                </c:pt>
                <c:pt idx="284">
                  <c:v>7.8421673016964384</c:v>
                </c:pt>
                <c:pt idx="285">
                  <c:v>4.9074536940461462</c:v>
                </c:pt>
                <c:pt idx="286">
                  <c:v>8.6959375162355563</c:v>
                </c:pt>
                <c:pt idx="287">
                  <c:v>5.6960005412953159</c:v>
                </c:pt>
                <c:pt idx="288">
                  <c:v>5.201460815548181</c:v>
                </c:pt>
                <c:pt idx="289">
                  <c:v>5.1770646891284331</c:v>
                </c:pt>
                <c:pt idx="290">
                  <c:v>0.14560648002737431</c:v>
                </c:pt>
                <c:pt idx="291">
                  <c:v>0.68621309985508749</c:v>
                </c:pt>
                <c:pt idx="292">
                  <c:v>3.4581262052285466</c:v>
                </c:pt>
                <c:pt idx="293">
                  <c:v>2.576644407299904</c:v>
                </c:pt>
                <c:pt idx="294">
                  <c:v>0.37048775048586446</c:v>
                </c:pt>
                <c:pt idx="295">
                  <c:v>1.8694856769499268</c:v>
                </c:pt>
                <c:pt idx="296">
                  <c:v>6.2468128708791228</c:v>
                </c:pt>
                <c:pt idx="297">
                  <c:v>4.2188861390355861</c:v>
                </c:pt>
                <c:pt idx="298">
                  <c:v>4.4053364304529721</c:v>
                </c:pt>
                <c:pt idx="299">
                  <c:v>5.7154267982950522</c:v>
                </c:pt>
                <c:pt idx="300">
                  <c:v>1.0252563281238924</c:v>
                </c:pt>
                <c:pt idx="301">
                  <c:v>7.2498434212852221</c:v>
                </c:pt>
                <c:pt idx="302">
                  <c:v>9.6743037196572867</c:v>
                </c:pt>
                <c:pt idx="303">
                  <c:v>0.35009721821514739</c:v>
                </c:pt>
                <c:pt idx="304">
                  <c:v>6.9995905791911603</c:v>
                </c:pt>
                <c:pt idx="305">
                  <c:v>0.92746590353874503</c:v>
                </c:pt>
                <c:pt idx="306">
                  <c:v>0.73255121430560455</c:v>
                </c:pt>
                <c:pt idx="307">
                  <c:v>2.4239104129035214</c:v>
                </c:pt>
                <c:pt idx="308">
                  <c:v>6.2615928014442401</c:v>
                </c:pt>
                <c:pt idx="309">
                  <c:v>7.0504860662771414</c:v>
                </c:pt>
                <c:pt idx="310">
                  <c:v>3.1270155168501135</c:v>
                </c:pt>
                <c:pt idx="311">
                  <c:v>2.4278521057884515</c:v>
                </c:pt>
                <c:pt idx="312">
                  <c:v>7.182880262731917</c:v>
                </c:pt>
                <c:pt idx="313">
                  <c:v>5.004358851039024</c:v>
                </c:pt>
                <c:pt idx="314">
                  <c:v>0.47968912515054751</c:v>
                </c:pt>
                <c:pt idx="315">
                  <c:v>7.4568088509727684</c:v>
                </c:pt>
                <c:pt idx="316">
                  <c:v>8.2120448859439925</c:v>
                </c:pt>
                <c:pt idx="317">
                  <c:v>1.7208306771093229</c:v>
                </c:pt>
                <c:pt idx="318">
                  <c:v>0.17159878972469511</c:v>
                </c:pt>
                <c:pt idx="319">
                  <c:v>1.9049404014035798</c:v>
                </c:pt>
                <c:pt idx="320">
                  <c:v>0.34204577133161274</c:v>
                </c:pt>
                <c:pt idx="321">
                  <c:v>6.3104466402297774</c:v>
                </c:pt>
                <c:pt idx="322">
                  <c:v>5.5000454850309168</c:v>
                </c:pt>
                <c:pt idx="323">
                  <c:v>9.7439657819488126</c:v>
                </c:pt>
                <c:pt idx="324">
                  <c:v>0.47038820674191073</c:v>
                </c:pt>
                <c:pt idx="325">
                  <c:v>4.107425409425252</c:v>
                </c:pt>
                <c:pt idx="326">
                  <c:v>1.3661935809593906</c:v>
                </c:pt>
                <c:pt idx="327">
                  <c:v>7.7548198976151728E-3</c:v>
                </c:pt>
                <c:pt idx="328">
                  <c:v>1.3145453286643949</c:v>
                </c:pt>
                <c:pt idx="329">
                  <c:v>1.8764127146985776</c:v>
                </c:pt>
                <c:pt idx="330">
                  <c:v>3.2320481019430272</c:v>
                </c:pt>
                <c:pt idx="331">
                  <c:v>3.711883523383662</c:v>
                </c:pt>
                <c:pt idx="332">
                  <c:v>2.9516875074217284</c:v>
                </c:pt>
                <c:pt idx="333">
                  <c:v>8.2531514503053707</c:v>
                </c:pt>
                <c:pt idx="334">
                  <c:v>1.4268117897026988</c:v>
                </c:pt>
                <c:pt idx="335">
                  <c:v>0.2673279568781417</c:v>
                </c:pt>
                <c:pt idx="336">
                  <c:v>1.5092544624714899</c:v>
                </c:pt>
                <c:pt idx="337">
                  <c:v>2.7938950858191873</c:v>
                </c:pt>
                <c:pt idx="338">
                  <c:v>4.2214654728518228</c:v>
                </c:pt>
                <c:pt idx="339">
                  <c:v>3.9266854456308002</c:v>
                </c:pt>
                <c:pt idx="340">
                  <c:v>4.3980892054911145</c:v>
                </c:pt>
                <c:pt idx="341">
                  <c:v>9.2572954845433806</c:v>
                </c:pt>
                <c:pt idx="342">
                  <c:v>0.5646819354917415</c:v>
                </c:pt>
                <c:pt idx="343">
                  <c:v>4.2876210089218496</c:v>
                </c:pt>
                <c:pt idx="344">
                  <c:v>4.8192130789911216</c:v>
                </c:pt>
                <c:pt idx="345">
                  <c:v>9.3022610489691893</c:v>
                </c:pt>
                <c:pt idx="346">
                  <c:v>0.20163645669829977</c:v>
                </c:pt>
                <c:pt idx="347">
                  <c:v>0.41349324788247765</c:v>
                </c:pt>
                <c:pt idx="348">
                  <c:v>2.9875865599423412</c:v>
                </c:pt>
                <c:pt idx="349">
                  <c:v>3.0911284796958274</c:v>
                </c:pt>
                <c:pt idx="350">
                  <c:v>3.2766624440592973</c:v>
                </c:pt>
                <c:pt idx="351">
                  <c:v>0.41963387831812193</c:v>
                </c:pt>
                <c:pt idx="352">
                  <c:v>4.7401087511879538</c:v>
                </c:pt>
                <c:pt idx="353">
                  <c:v>1.8859661465073929</c:v>
                </c:pt>
                <c:pt idx="354">
                  <c:v>7.3819683939060221</c:v>
                </c:pt>
                <c:pt idx="355">
                  <c:v>6.3490836872400713</c:v>
                </c:pt>
                <c:pt idx="356">
                  <c:v>1.864108854170905</c:v>
                </c:pt>
                <c:pt idx="357">
                  <c:v>1.0252959578969985</c:v>
                </c:pt>
                <c:pt idx="358">
                  <c:v>5.2076865489753814</c:v>
                </c:pt>
                <c:pt idx="359">
                  <c:v>1.5633588581504765</c:v>
                </c:pt>
                <c:pt idx="360">
                  <c:v>1.2193682442242781</c:v>
                </c:pt>
                <c:pt idx="361">
                  <c:v>9.417854605904779</c:v>
                </c:pt>
                <c:pt idx="362">
                  <c:v>5.7011571882076284</c:v>
                </c:pt>
                <c:pt idx="363">
                  <c:v>8.571088723242748E-2</c:v>
                </c:pt>
                <c:pt idx="364">
                  <c:v>4.4952649389560451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D9-4768-9757-9E82E1188EC2}"/>
            </c:ext>
          </c:extLst>
        </c:ser>
        <c:ser>
          <c:idx val="4"/>
          <c:order val="1"/>
          <c:tx>
            <c:strRef>
              <c:f>'Задание 1'!$E$5</c:f>
              <c:strCache>
                <c:ptCount val="1"/>
                <c:pt idx="0">
                  <c:v>Среднее время ожидания на текущий день t'ср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'Задание 1'!$E$6:$E$370</c:f>
              <c:numCache>
                <c:formatCode>General</c:formatCode>
                <c:ptCount val="365"/>
                <c:pt idx="0">
                  <c:v>6.1913509468650378</c:v>
                </c:pt>
                <c:pt idx="1">
                  <c:v>4.7156746500510565</c:v>
                </c:pt>
                <c:pt idx="2">
                  <c:v>4.7508022510043872</c:v>
                </c:pt>
                <c:pt idx="3">
                  <c:v>4.6589767901288832</c:v>
                </c:pt>
                <c:pt idx="4">
                  <c:v>5.9221078996323246</c:v>
                </c:pt>
                <c:pt idx="5">
                  <c:v>6.7538486276745759</c:v>
                </c:pt>
                <c:pt idx="6">
                  <c:v>6.3532700332246304</c:v>
                </c:pt>
                <c:pt idx="7">
                  <c:v>6.3027272688129354</c:v>
                </c:pt>
                <c:pt idx="8">
                  <c:v>6.5064280607748399</c:v>
                </c:pt>
                <c:pt idx="9">
                  <c:v>6.8324198342701097</c:v>
                </c:pt>
                <c:pt idx="10">
                  <c:v>6.8018752904287139</c:v>
                </c:pt>
                <c:pt idx="11">
                  <c:v>6.4891772411828406</c:v>
                </c:pt>
                <c:pt idx="12">
                  <c:v>6.7854391154102149</c:v>
                </c:pt>
                <c:pt idx="13">
                  <c:v>6.4773551627855834</c:v>
                </c:pt>
                <c:pt idx="14">
                  <c:v>6.3049463194359117</c:v>
                </c:pt>
                <c:pt idx="15">
                  <c:v>6.0231598631788748</c:v>
                </c:pt>
                <c:pt idx="16">
                  <c:v>5.7738156063419481</c:v>
                </c:pt>
                <c:pt idx="17">
                  <c:v>5.7505879304459073</c:v>
                </c:pt>
                <c:pt idx="18">
                  <c:v>5.7024650384312858</c:v>
                </c:pt>
                <c:pt idx="19">
                  <c:v>5.7239432486240194</c:v>
                </c:pt>
                <c:pt idx="20">
                  <c:v>5.9289255369108291</c:v>
                </c:pt>
                <c:pt idx="21">
                  <c:v>6.0265911640699983</c:v>
                </c:pt>
                <c:pt idx="22">
                  <c:v>6.0962976857852524</c:v>
                </c:pt>
                <c:pt idx="23">
                  <c:v>6.2478885654873544</c:v>
                </c:pt>
                <c:pt idx="24">
                  <c:v>6.1584111193282247</c:v>
                </c:pt>
                <c:pt idx="25">
                  <c:v>6.1451658608778104</c:v>
                </c:pt>
                <c:pt idx="26">
                  <c:v>6.1971100634799461</c:v>
                </c:pt>
                <c:pt idx="27">
                  <c:v>6.2339127378127284</c:v>
                </c:pt>
                <c:pt idx="28">
                  <c:v>6.2749044928987239</c:v>
                </c:pt>
                <c:pt idx="29">
                  <c:v>6.3601427029245743</c:v>
                </c:pt>
                <c:pt idx="30">
                  <c:v>6.3480385074648975</c:v>
                </c:pt>
                <c:pt idx="31">
                  <c:v>6.1663457292481763</c:v>
                </c:pt>
                <c:pt idx="32">
                  <c:v>6.3225804496399878</c:v>
                </c:pt>
                <c:pt idx="33">
                  <c:v>6.3922134163102635</c:v>
                </c:pt>
                <c:pt idx="34">
                  <c:v>6.3616366563161186</c:v>
                </c:pt>
                <c:pt idx="35">
                  <c:v>6.4308013161855815</c:v>
                </c:pt>
                <c:pt idx="36">
                  <c:v>6.5454328619181563</c:v>
                </c:pt>
                <c:pt idx="37">
                  <c:v>6.5140917368657645</c:v>
                </c:pt>
                <c:pt idx="38">
                  <c:v>6.4746247073157539</c:v>
                </c:pt>
                <c:pt idx="39">
                  <c:v>6.4404805695877201</c:v>
                </c:pt>
                <c:pt idx="40">
                  <c:v>6.4092423692131471</c:v>
                </c:pt>
                <c:pt idx="41">
                  <c:v>6.5207295347051373</c:v>
                </c:pt>
                <c:pt idx="42">
                  <c:v>6.4593439400749304</c:v>
                </c:pt>
                <c:pt idx="43">
                  <c:v>6.5466914428328611</c:v>
                </c:pt>
                <c:pt idx="44">
                  <c:v>6.5876562529994569</c:v>
                </c:pt>
                <c:pt idx="45">
                  <c:v>6.6094080967052946</c:v>
                </c:pt>
                <c:pt idx="46">
                  <c:v>6.6371885513821001</c:v>
                </c:pt>
                <c:pt idx="47">
                  <c:v>6.5517013650923284</c:v>
                </c:pt>
                <c:pt idx="48">
                  <c:v>6.5503372258471888</c:v>
                </c:pt>
                <c:pt idx="49">
                  <c:v>6.5406703927018972</c:v>
                </c:pt>
                <c:pt idx="50">
                  <c:v>6.4403605719639847</c:v>
                </c:pt>
                <c:pt idx="51">
                  <c:v>6.5072076070776923</c:v>
                </c:pt>
                <c:pt idx="52">
                  <c:v>6.4346768136460701</c:v>
                </c:pt>
                <c:pt idx="53">
                  <c:v>6.3504060925175452</c:v>
                </c:pt>
                <c:pt idx="54">
                  <c:v>6.3117848606543525</c:v>
                </c:pt>
                <c:pt idx="55">
                  <c:v>6.2854622467095922</c:v>
                </c:pt>
                <c:pt idx="56">
                  <c:v>6.3250640297954437</c:v>
                </c:pt>
                <c:pt idx="57">
                  <c:v>6.3238147502770294</c:v>
                </c:pt>
                <c:pt idx="58">
                  <c:v>6.2495249051272017</c:v>
                </c:pt>
                <c:pt idx="59">
                  <c:v>6.3343333233100578</c:v>
                </c:pt>
                <c:pt idx="60">
                  <c:v>6.3207115630220327</c:v>
                </c:pt>
                <c:pt idx="61">
                  <c:v>6.3429056170270224</c:v>
                </c:pt>
                <c:pt idx="62">
                  <c:v>6.3491375732451951</c:v>
                </c:pt>
                <c:pt idx="63">
                  <c:v>6.3359545092765659</c:v>
                </c:pt>
                <c:pt idx="64">
                  <c:v>6.3680586989652586</c:v>
                </c:pt>
                <c:pt idx="65">
                  <c:v>6.4510779195443293</c:v>
                </c:pt>
                <c:pt idx="66">
                  <c:v>6.4169126445309255</c:v>
                </c:pt>
                <c:pt idx="67">
                  <c:v>6.4181965440592554</c:v>
                </c:pt>
                <c:pt idx="68">
                  <c:v>6.3985096969004003</c:v>
                </c:pt>
                <c:pt idx="69">
                  <c:v>6.4155566839253142</c:v>
                </c:pt>
                <c:pt idx="70">
                  <c:v>6.4778526828175043</c:v>
                </c:pt>
                <c:pt idx="71">
                  <c:v>6.5139592099149786</c:v>
                </c:pt>
                <c:pt idx="72">
                  <c:v>6.5015029219048026</c:v>
                </c:pt>
                <c:pt idx="73">
                  <c:v>6.4270905667807394</c:v>
                </c:pt>
                <c:pt idx="74">
                  <c:v>6.3656038815351028</c:v>
                </c:pt>
                <c:pt idx="75">
                  <c:v>6.358198838807346</c:v>
                </c:pt>
                <c:pt idx="76">
                  <c:v>6.3537680716120617</c:v>
                </c:pt>
                <c:pt idx="77">
                  <c:v>6.3249159741173955</c:v>
                </c:pt>
                <c:pt idx="78">
                  <c:v>6.2959396804034906</c:v>
                </c:pt>
                <c:pt idx="79">
                  <c:v>6.3039404203416121</c:v>
                </c:pt>
                <c:pt idx="80">
                  <c:v>6.352633968619485</c:v>
                </c:pt>
                <c:pt idx="81">
                  <c:v>6.3265511493553044</c:v>
                </c:pt>
                <c:pt idx="82">
                  <c:v>6.3396830730586142</c:v>
                </c:pt>
                <c:pt idx="83">
                  <c:v>6.3327676281118688</c:v>
                </c:pt>
                <c:pt idx="84">
                  <c:v>6.3541976615213613</c:v>
                </c:pt>
                <c:pt idx="85">
                  <c:v>6.3601161964178612</c:v>
                </c:pt>
                <c:pt idx="86">
                  <c:v>6.3123345010090413</c:v>
                </c:pt>
                <c:pt idx="87">
                  <c:v>6.2946708739573332</c:v>
                </c:pt>
                <c:pt idx="88">
                  <c:v>6.2872480651935545</c:v>
                </c:pt>
                <c:pt idx="89">
                  <c:v>6.2971448001668291</c:v>
                </c:pt>
                <c:pt idx="90">
                  <c:v>6.3182858590533284</c:v>
                </c:pt>
                <c:pt idx="91">
                  <c:v>6.3107865957030933</c:v>
                </c:pt>
                <c:pt idx="92">
                  <c:v>6.2729799247494817</c:v>
                </c:pt>
                <c:pt idx="93">
                  <c:v>6.2669465961473074</c:v>
                </c:pt>
                <c:pt idx="94">
                  <c:v>6.3124231552614551</c:v>
                </c:pt>
                <c:pt idx="95">
                  <c:v>6.284287544332237</c:v>
                </c:pt>
                <c:pt idx="96">
                  <c:v>6.3248533170082819</c:v>
                </c:pt>
                <c:pt idx="97">
                  <c:v>6.2992364531535383</c:v>
                </c:pt>
                <c:pt idx="98">
                  <c:v>6.3058752748551195</c:v>
                </c:pt>
                <c:pt idx="99">
                  <c:v>6.3143113349976216</c:v>
                </c:pt>
                <c:pt idx="100">
                  <c:v>6.2789360933538276</c:v>
                </c:pt>
                <c:pt idx="101">
                  <c:v>6.2624371828420076</c:v>
                </c:pt>
                <c:pt idx="102">
                  <c:v>6.2574735544126394</c:v>
                </c:pt>
                <c:pt idx="103">
                  <c:v>6.2580738671308564</c:v>
                </c:pt>
                <c:pt idx="104">
                  <c:v>6.2504675275705583</c:v>
                </c:pt>
                <c:pt idx="105">
                  <c:v>6.2291194297323207</c:v>
                </c:pt>
                <c:pt idx="106">
                  <c:v>6.2325459605868359</c:v>
                </c:pt>
                <c:pt idx="107">
                  <c:v>6.2461778402020149</c:v>
                </c:pt>
                <c:pt idx="108">
                  <c:v>6.198406403164217</c:v>
                </c:pt>
                <c:pt idx="109">
                  <c:v>6.2011026583121476</c:v>
                </c:pt>
                <c:pt idx="110">
                  <c:v>6.1640350461985474</c:v>
                </c:pt>
                <c:pt idx="111">
                  <c:v>6.1896749268735229</c:v>
                </c:pt>
                <c:pt idx="112">
                  <c:v>6.2223143669168159</c:v>
                </c:pt>
                <c:pt idx="113">
                  <c:v>6.208053854494997</c:v>
                </c:pt>
                <c:pt idx="114">
                  <c:v>6.2390575618651107</c:v>
                </c:pt>
                <c:pt idx="115">
                  <c:v>6.2633858279020664</c:v>
                </c:pt>
                <c:pt idx="116">
                  <c:v>6.2613999228098018</c:v>
                </c:pt>
                <c:pt idx="117">
                  <c:v>6.2478227749650479</c:v>
                </c:pt>
                <c:pt idx="118">
                  <c:v>6.2731062603725682</c:v>
                </c:pt>
                <c:pt idx="119">
                  <c:v>6.2962559176873922</c:v>
                </c:pt>
                <c:pt idx="120">
                  <c:v>6.2918064007163199</c:v>
                </c:pt>
                <c:pt idx="121">
                  <c:v>6.2718102304182803</c:v>
                </c:pt>
                <c:pt idx="122">
                  <c:v>6.2701264991926289</c:v>
                </c:pt>
                <c:pt idx="123">
                  <c:v>6.3045235023727004</c:v>
                </c:pt>
                <c:pt idx="124">
                  <c:v>6.2853505686121904</c:v>
                </c:pt>
                <c:pt idx="125">
                  <c:v>6.2689780076948889</c:v>
                </c:pt>
                <c:pt idx="126">
                  <c:v>6.2919645032961853</c:v>
                </c:pt>
                <c:pt idx="127">
                  <c:v>6.3265316884381884</c:v>
                </c:pt>
                <c:pt idx="128">
                  <c:v>6.352202748473645</c:v>
                </c:pt>
                <c:pt idx="129">
                  <c:v>6.3566138575875897</c:v>
                </c:pt>
                <c:pt idx="130">
                  <c:v>6.3442712550798461</c:v>
                </c:pt>
                <c:pt idx="131">
                  <c:v>6.3407511899816376</c:v>
                </c:pt>
                <c:pt idx="132">
                  <c:v>6.3834317483143144</c:v>
                </c:pt>
                <c:pt idx="133">
                  <c:v>6.3927191211640295</c:v>
                </c:pt>
                <c:pt idx="134">
                  <c:v>6.3909834886245491</c:v>
                </c:pt>
                <c:pt idx="135">
                  <c:v>6.3574266312282832</c:v>
                </c:pt>
                <c:pt idx="136">
                  <c:v>6.3288793581953575</c:v>
                </c:pt>
                <c:pt idx="137">
                  <c:v>6.2941441917964536</c:v>
                </c:pt>
                <c:pt idx="138">
                  <c:v>6.2729631617886614</c:v>
                </c:pt>
                <c:pt idx="139">
                  <c:v>6.3016886088438326</c:v>
                </c:pt>
                <c:pt idx="140">
                  <c:v>6.2695867170081421</c:v>
                </c:pt>
                <c:pt idx="141">
                  <c:v>6.3016946564253828</c:v>
                </c:pt>
                <c:pt idx="142">
                  <c:v>6.3042678430818668</c:v>
                </c:pt>
                <c:pt idx="143">
                  <c:v>6.2916841620969395</c:v>
                </c:pt>
                <c:pt idx="144">
                  <c:v>6.3141366001216204</c:v>
                </c:pt>
                <c:pt idx="145">
                  <c:v>6.33225436905997</c:v>
                </c:pt>
                <c:pt idx="146">
                  <c:v>6.3671729809228568</c:v>
                </c:pt>
                <c:pt idx="147">
                  <c:v>6.3373123160689282</c:v>
                </c:pt>
                <c:pt idx="148">
                  <c:v>6.3259821738907087</c:v>
                </c:pt>
                <c:pt idx="149">
                  <c:v>6.3144362819582742</c:v>
                </c:pt>
                <c:pt idx="150">
                  <c:v>6.3077097163958076</c:v>
                </c:pt>
                <c:pt idx="151">
                  <c:v>6.2832493593562866</c:v>
                </c:pt>
                <c:pt idx="152">
                  <c:v>6.2875562898712882</c:v>
                </c:pt>
                <c:pt idx="153">
                  <c:v>6.3098596514416547</c:v>
                </c:pt>
                <c:pt idx="154">
                  <c:v>6.2714044756267953</c:v>
                </c:pt>
                <c:pt idx="155">
                  <c:v>6.2724251913837454</c:v>
                </c:pt>
                <c:pt idx="156">
                  <c:v>6.2688329039028066</c:v>
                </c:pt>
                <c:pt idx="157">
                  <c:v>6.2571865199610155</c:v>
                </c:pt>
                <c:pt idx="158">
                  <c:v>6.2519461815329187</c:v>
                </c:pt>
                <c:pt idx="159">
                  <c:v>6.2263979889058927</c:v>
                </c:pt>
                <c:pt idx="160">
                  <c:v>6.2197526408446588</c:v>
                </c:pt>
                <c:pt idx="161">
                  <c:v>6.2011137514589505</c:v>
                </c:pt>
                <c:pt idx="162">
                  <c:v>6.2113839613246116</c:v>
                </c:pt>
                <c:pt idx="163">
                  <c:v>6.2160955512674105</c:v>
                </c:pt>
                <c:pt idx="164">
                  <c:v>6.2151463933458917</c:v>
                </c:pt>
                <c:pt idx="165">
                  <c:v>6.2005901913699422</c:v>
                </c:pt>
                <c:pt idx="166">
                  <c:v>6.2075942725246529</c:v>
                </c:pt>
                <c:pt idx="167">
                  <c:v>6.2149415191376116</c:v>
                </c:pt>
                <c:pt idx="168">
                  <c:v>6.2212972018565802</c:v>
                </c:pt>
                <c:pt idx="169">
                  <c:v>6.2106111960546233</c:v>
                </c:pt>
                <c:pt idx="170">
                  <c:v>6.2390859835102708</c:v>
                </c:pt>
                <c:pt idx="171">
                  <c:v>6.2271249977228935</c:v>
                </c:pt>
                <c:pt idx="172">
                  <c:v>6.2376037266626891</c:v>
                </c:pt>
                <c:pt idx="173">
                  <c:v>6.2206962726291257</c:v>
                </c:pt>
                <c:pt idx="174">
                  <c:v>6.2249800143984064</c:v>
                </c:pt>
                <c:pt idx="175">
                  <c:v>6.223579990444045</c:v>
                </c:pt>
                <c:pt idx="176">
                  <c:v>6.2388888237734292</c:v>
                </c:pt>
                <c:pt idx="177">
                  <c:v>6.2347570317479857</c:v>
                </c:pt>
                <c:pt idx="178">
                  <c:v>6.2482251067501036</c:v>
                </c:pt>
                <c:pt idx="179">
                  <c:v>6.2535675792234313</c:v>
                </c:pt>
                <c:pt idx="180">
                  <c:v>6.2602625150680922</c:v>
                </c:pt>
                <c:pt idx="181">
                  <c:v>6.2847346231994621</c:v>
                </c:pt>
                <c:pt idx="182">
                  <c:v>6.276898183194592</c:v>
                </c:pt>
                <c:pt idx="183">
                  <c:v>6.2810773387380507</c:v>
                </c:pt>
                <c:pt idx="184">
                  <c:v>6.2668637302672163</c:v>
                </c:pt>
                <c:pt idx="185">
                  <c:v>6.2777485932115908</c:v>
                </c:pt>
                <c:pt idx="186">
                  <c:v>6.2770619003033818</c:v>
                </c:pt>
                <c:pt idx="187">
                  <c:v>6.2690948877015886</c:v>
                </c:pt>
                <c:pt idx="188">
                  <c:v>6.2512258000863685</c:v>
                </c:pt>
                <c:pt idx="189">
                  <c:v>6.2659108462357631</c:v>
                </c:pt>
                <c:pt idx="190">
                  <c:v>6.2784422145984173</c:v>
                </c:pt>
                <c:pt idx="191">
                  <c:v>6.2701653961057673</c:v>
                </c:pt>
                <c:pt idx="192">
                  <c:v>6.269618780566061</c:v>
                </c:pt>
                <c:pt idx="193">
                  <c:v>6.2555130543961974</c:v>
                </c:pt>
                <c:pt idx="194">
                  <c:v>6.2395376472253199</c:v>
                </c:pt>
                <c:pt idx="195">
                  <c:v>6.2169483396919345</c:v>
                </c:pt>
                <c:pt idx="196">
                  <c:v>6.1990534945753319</c:v>
                </c:pt>
                <c:pt idx="197">
                  <c:v>6.2003968352645309</c:v>
                </c:pt>
                <c:pt idx="198">
                  <c:v>6.2094003162713065</c:v>
                </c:pt>
                <c:pt idx="199">
                  <c:v>6.2268008211401158</c:v>
                </c:pt>
                <c:pt idx="200">
                  <c:v>6.2240267389687025</c:v>
                </c:pt>
                <c:pt idx="201">
                  <c:v>6.2013734959994764</c:v>
                </c:pt>
                <c:pt idx="202">
                  <c:v>6.2207017636883597</c:v>
                </c:pt>
                <c:pt idx="203">
                  <c:v>6.2379974005542804</c:v>
                </c:pt>
                <c:pt idx="204">
                  <c:v>6.2357794955545227</c:v>
                </c:pt>
                <c:pt idx="205">
                  <c:v>6.2399999003022444</c:v>
                </c:pt>
                <c:pt idx="206">
                  <c:v>6.2246429533855494</c:v>
                </c:pt>
                <c:pt idx="207">
                  <c:v>6.2140551018828001</c:v>
                </c:pt>
                <c:pt idx="208">
                  <c:v>6.2200475564787201</c:v>
                </c:pt>
                <c:pt idx="209">
                  <c:v>6.2225414581176164</c:v>
                </c:pt>
                <c:pt idx="210">
                  <c:v>6.2293123022479158</c:v>
                </c:pt>
                <c:pt idx="211">
                  <c:v>6.2287276302365893</c:v>
                </c:pt>
                <c:pt idx="212">
                  <c:v>6.2356472479834215</c:v>
                </c:pt>
                <c:pt idx="213">
                  <c:v>6.218906302255653</c:v>
                </c:pt>
                <c:pt idx="214">
                  <c:v>6.2105026895215421</c:v>
                </c:pt>
                <c:pt idx="215">
                  <c:v>6.2024585443347764</c:v>
                </c:pt>
                <c:pt idx="216">
                  <c:v>6.1803880021561044</c:v>
                </c:pt>
                <c:pt idx="217">
                  <c:v>6.1864931661619398</c:v>
                </c:pt>
                <c:pt idx="218">
                  <c:v>6.1793510108833445</c:v>
                </c:pt>
                <c:pt idx="219">
                  <c:v>6.182905811595548</c:v>
                </c:pt>
                <c:pt idx="220">
                  <c:v>6.1945489908469833</c:v>
                </c:pt>
                <c:pt idx="221">
                  <c:v>6.1760137182426851</c:v>
                </c:pt>
                <c:pt idx="222">
                  <c:v>6.1674667060713233</c:v>
                </c:pt>
                <c:pt idx="223">
                  <c:v>6.1544280689885777</c:v>
                </c:pt>
                <c:pt idx="224">
                  <c:v>6.1562934935916127</c:v>
                </c:pt>
                <c:pt idx="225">
                  <c:v>6.1392989626518695</c:v>
                </c:pt>
                <c:pt idx="226">
                  <c:v>6.1480555755573372</c:v>
                </c:pt>
                <c:pt idx="227">
                  <c:v>6.1679928250652454</c:v>
                </c:pt>
                <c:pt idx="228">
                  <c:v>6.1494971612193554</c:v>
                </c:pt>
                <c:pt idx="229">
                  <c:v>6.1552544624127341</c:v>
                </c:pt>
                <c:pt idx="230">
                  <c:v>6.1775074063855859</c:v>
                </c:pt>
                <c:pt idx="231">
                  <c:v>6.1937594313883881</c:v>
                </c:pt>
                <c:pt idx="232">
                  <c:v>6.1974087763436811</c:v>
                </c:pt>
                <c:pt idx="233">
                  <c:v>6.1954447919358149</c:v>
                </c:pt>
                <c:pt idx="234">
                  <c:v>6.2085184998012597</c:v>
                </c:pt>
                <c:pt idx="235">
                  <c:v>6.2259116900619791</c:v>
                </c:pt>
                <c:pt idx="236">
                  <c:v>6.2380185340121663</c:v>
                </c:pt>
                <c:pt idx="237">
                  <c:v>6.232968881392754</c:v>
                </c:pt>
                <c:pt idx="238">
                  <c:v>6.2174761351366792</c:v>
                </c:pt>
                <c:pt idx="239">
                  <c:v>6.2210588532375057</c:v>
                </c:pt>
                <c:pt idx="240">
                  <c:v>6.2248635058792932</c:v>
                </c:pt>
                <c:pt idx="241">
                  <c:v>6.229406678985983</c:v>
                </c:pt>
                <c:pt idx="242">
                  <c:v>6.2403536909480444</c:v>
                </c:pt>
                <c:pt idx="243">
                  <c:v>6.242628798608199</c:v>
                </c:pt>
                <c:pt idx="244">
                  <c:v>6.2499232725914267</c:v>
                </c:pt>
                <c:pt idx="245">
                  <c:v>6.2465534050193314</c:v>
                </c:pt>
                <c:pt idx="246">
                  <c:v>6.2442246910271795</c:v>
                </c:pt>
                <c:pt idx="247">
                  <c:v>6.2600978473057607</c:v>
                </c:pt>
                <c:pt idx="248">
                  <c:v>6.2603679673024324</c:v>
                </c:pt>
                <c:pt idx="249">
                  <c:v>6.2638520098636432</c:v>
                </c:pt>
                <c:pt idx="250">
                  <c:v>6.2582312204382911</c:v>
                </c:pt>
                <c:pt idx="251">
                  <c:v>6.2488256676227003</c:v>
                </c:pt>
                <c:pt idx="252">
                  <c:v>6.2463100480984037</c:v>
                </c:pt>
                <c:pt idx="253">
                  <c:v>6.2538106419953357</c:v>
                </c:pt>
                <c:pt idx="254">
                  <c:v>6.2613246661470185</c:v>
                </c:pt>
                <c:pt idx="255">
                  <c:v>6.257782664524087</c:v>
                </c:pt>
                <c:pt idx="256">
                  <c:v>6.2396684650705314</c:v>
                </c:pt>
                <c:pt idx="257">
                  <c:v>6.2289828270605065</c:v>
                </c:pt>
                <c:pt idx="258">
                  <c:v>6.2179175882241617</c:v>
                </c:pt>
                <c:pt idx="259">
                  <c:v>6.2149716874260976</c:v>
                </c:pt>
                <c:pt idx="260">
                  <c:v>6.219360080259329</c:v>
                </c:pt>
                <c:pt idx="261">
                  <c:v>6.2046539141867347</c:v>
                </c:pt>
                <c:pt idx="262">
                  <c:v>6.2115546244811997</c:v>
                </c:pt>
                <c:pt idx="263">
                  <c:v>6.204674834332816</c:v>
                </c:pt>
                <c:pt idx="264">
                  <c:v>6.2261771952796261</c:v>
                </c:pt>
                <c:pt idx="265">
                  <c:v>6.2235053500272191</c:v>
                </c:pt>
                <c:pt idx="266">
                  <c:v>6.2350278707017104</c:v>
                </c:pt>
                <c:pt idx="267">
                  <c:v>6.2251555049411094</c:v>
                </c:pt>
                <c:pt idx="268">
                  <c:v>6.2217033945736961</c:v>
                </c:pt>
                <c:pt idx="269">
                  <c:v>6.205367021731182</c:v>
                </c:pt>
                <c:pt idx="270">
                  <c:v>6.1994397222060709</c:v>
                </c:pt>
                <c:pt idx="271">
                  <c:v>6.2078782767391241</c:v>
                </c:pt>
                <c:pt idx="272">
                  <c:v>6.2020333639861178</c:v>
                </c:pt>
                <c:pt idx="273">
                  <c:v>6.2086495842595504</c:v>
                </c:pt>
                <c:pt idx="274">
                  <c:v>6.1911802264000189</c:v>
                </c:pt>
                <c:pt idx="275">
                  <c:v>6.1876246170158806</c:v>
                </c:pt>
                <c:pt idx="276">
                  <c:v>6.1857898314394193</c:v>
                </c:pt>
                <c:pt idx="277">
                  <c:v>6.1854370742393936</c:v>
                </c:pt>
                <c:pt idx="278">
                  <c:v>6.1769743597298792</c:v>
                </c:pt>
                <c:pt idx="279">
                  <c:v>6.1709844461548755</c:v>
                </c:pt>
                <c:pt idx="280">
                  <c:v>6.1760203339434003</c:v>
                </c:pt>
                <c:pt idx="281">
                  <c:v>6.1688333663717927</c:v>
                </c:pt>
                <c:pt idx="282">
                  <c:v>6.1508193898143304</c:v>
                </c:pt>
                <c:pt idx="283">
                  <c:v>6.1550828691585968</c:v>
                </c:pt>
                <c:pt idx="284">
                  <c:v>6.1647453805374619</c:v>
                </c:pt>
                <c:pt idx="285">
                  <c:v>6.1607961503604178</c:v>
                </c:pt>
                <c:pt idx="286">
                  <c:v>6.1764378228686656</c:v>
                </c:pt>
                <c:pt idx="287">
                  <c:v>6.1758655362809485</c:v>
                </c:pt>
                <c:pt idx="288">
                  <c:v>6.1750721007697926</c:v>
                </c:pt>
                <c:pt idx="289">
                  <c:v>6.1718782367528648</c:v>
                </c:pt>
                <c:pt idx="290">
                  <c:v>6.1637515504693141</c:v>
                </c:pt>
                <c:pt idx="291">
                  <c:v>6.1567725375750024</c:v>
                </c:pt>
                <c:pt idx="292">
                  <c:v>6.1539154704099719</c:v>
                </c:pt>
                <c:pt idx="293">
                  <c:v>6.1527470112454417</c:v>
                </c:pt>
                <c:pt idx="294">
                  <c:v>6.1476931290295918</c:v>
                </c:pt>
                <c:pt idx="295">
                  <c:v>6.1404626823928847</c:v>
                </c:pt>
                <c:pt idx="296">
                  <c:v>6.1519167655451454</c:v>
                </c:pt>
                <c:pt idx="297">
                  <c:v>6.150153409602428</c:v>
                </c:pt>
                <c:pt idx="298">
                  <c:v>6.1467150350970199</c:v>
                </c:pt>
                <c:pt idx="299">
                  <c:v>6.1486575219565527</c:v>
                </c:pt>
                <c:pt idx="300">
                  <c:v>6.1547117296289633</c:v>
                </c:pt>
                <c:pt idx="301">
                  <c:v>6.1600187139093601</c:v>
                </c:pt>
                <c:pt idx="302">
                  <c:v>6.1762106756841959</c:v>
                </c:pt>
                <c:pt idx="303">
                  <c:v>6.1750669053081788</c:v>
                </c:pt>
                <c:pt idx="304">
                  <c:v>6.1900862124402902</c:v>
                </c:pt>
                <c:pt idx="305">
                  <c:v>6.178401941646869</c:v>
                </c:pt>
                <c:pt idx="306">
                  <c:v>6.1752012430247989</c:v>
                </c:pt>
                <c:pt idx="307">
                  <c:v>6.1754361526981674</c:v>
                </c:pt>
                <c:pt idx="308">
                  <c:v>6.1826291179378234</c:v>
                </c:pt>
                <c:pt idx="309">
                  <c:v>6.1921955632652628</c:v>
                </c:pt>
                <c:pt idx="310">
                  <c:v>6.185090227479197</c:v>
                </c:pt>
                <c:pt idx="311">
                  <c:v>6.17572919949317</c:v>
                </c:pt>
                <c:pt idx="312">
                  <c:v>6.1825471372298253</c:v>
                </c:pt>
                <c:pt idx="313">
                  <c:v>6.1915200856241652</c:v>
                </c:pt>
                <c:pt idx="314">
                  <c:v>6.1754444647746016</c:v>
                </c:pt>
                <c:pt idx="315">
                  <c:v>6.1876087757837457</c:v>
                </c:pt>
                <c:pt idx="316">
                  <c:v>6.1952349987271269</c:v>
                </c:pt>
                <c:pt idx="317">
                  <c:v>6.1954494819206012</c:v>
                </c:pt>
                <c:pt idx="318">
                  <c:v>6.1887484141918625</c:v>
                </c:pt>
                <c:pt idx="319">
                  <c:v>6.1939563606410282</c:v>
                </c:pt>
                <c:pt idx="320">
                  <c:v>6.189954404563033</c:v>
                </c:pt>
                <c:pt idx="321">
                  <c:v>6.2024013600185386</c:v>
                </c:pt>
                <c:pt idx="322">
                  <c:v>6.2055948238032679</c:v>
                </c:pt>
                <c:pt idx="323">
                  <c:v>6.2201730228700498</c:v>
                </c:pt>
                <c:pt idx="324">
                  <c:v>6.2061139996428745</c:v>
                </c:pt>
                <c:pt idx="325">
                  <c:v>6.2112657537420146</c:v>
                </c:pt>
                <c:pt idx="326">
                  <c:v>6.2078858808125537</c:v>
                </c:pt>
                <c:pt idx="327">
                  <c:v>6.2005806269069259</c:v>
                </c:pt>
                <c:pt idx="328">
                  <c:v>6.1925253872939088</c:v>
                </c:pt>
                <c:pt idx="329">
                  <c:v>6.1982048879269565</c:v>
                </c:pt>
                <c:pt idx="330">
                  <c:v>6.1951906954287068</c:v>
                </c:pt>
                <c:pt idx="331">
                  <c:v>6.1922965505463754</c:v>
                </c:pt>
                <c:pt idx="332">
                  <c:v>6.1848667908963266</c:v>
                </c:pt>
                <c:pt idx="333">
                  <c:v>6.1972887476819718</c:v>
                </c:pt>
                <c:pt idx="334">
                  <c:v>6.188601703224804</c:v>
                </c:pt>
                <c:pt idx="335">
                  <c:v>6.17207974541925</c:v>
                </c:pt>
                <c:pt idx="336">
                  <c:v>6.1619502329910256</c:v>
                </c:pt>
                <c:pt idx="337">
                  <c:v>6.1609827794882932</c:v>
                </c:pt>
                <c:pt idx="338">
                  <c:v>6.1635814573426124</c:v>
                </c:pt>
                <c:pt idx="339">
                  <c:v>6.1621490744883047</c:v>
                </c:pt>
                <c:pt idx="340">
                  <c:v>6.1638662025245123</c:v>
                </c:pt>
                <c:pt idx="341">
                  <c:v>6.1768552406567476</c:v>
                </c:pt>
                <c:pt idx="342">
                  <c:v>6.1627849914563475</c:v>
                </c:pt>
                <c:pt idx="343">
                  <c:v>6.1642549372303099</c:v>
                </c:pt>
                <c:pt idx="344">
                  <c:v>6.162400024693774</c:v>
                </c:pt>
                <c:pt idx="345">
                  <c:v>6.1718640601772394</c:v>
                </c:pt>
                <c:pt idx="346">
                  <c:v>6.1564036510452391</c:v>
                </c:pt>
                <c:pt idx="347">
                  <c:v>6.1413953810672277</c:v>
                </c:pt>
                <c:pt idx="348">
                  <c:v>6.1351152885865625</c:v>
                </c:pt>
                <c:pt idx="349">
                  <c:v>6.1386505463315517</c:v>
                </c:pt>
                <c:pt idx="350">
                  <c:v>6.1411582884522566</c:v>
                </c:pt>
                <c:pt idx="351">
                  <c:v>6.1304791637716907</c:v>
                </c:pt>
                <c:pt idx="352">
                  <c:v>6.1353733439688511</c:v>
                </c:pt>
                <c:pt idx="353">
                  <c:v>6.1308912221784233</c:v>
                </c:pt>
                <c:pt idx="354">
                  <c:v>6.1384776411070625</c:v>
                </c:pt>
                <c:pt idx="355">
                  <c:v>6.1414857974511854</c:v>
                </c:pt>
                <c:pt idx="356">
                  <c:v>6.1357523826307201</c:v>
                </c:pt>
                <c:pt idx="357">
                  <c:v>6.1327822756673935</c:v>
                </c:pt>
                <c:pt idx="358">
                  <c:v>6.1313770290714773</c:v>
                </c:pt>
                <c:pt idx="359">
                  <c:v>6.1259324347604549</c:v>
                </c:pt>
                <c:pt idx="360">
                  <c:v>6.1207619868854888</c:v>
                </c:pt>
                <c:pt idx="361">
                  <c:v>6.1329878472955981</c:v>
                </c:pt>
                <c:pt idx="362">
                  <c:v>6.1340987186340916</c:v>
                </c:pt>
                <c:pt idx="363">
                  <c:v>6.1308900152314623</c:v>
                </c:pt>
                <c:pt idx="364">
                  <c:v>6.1327985571104646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D9-4768-9757-9E82E1188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8557864"/>
        <c:axId val="628549224"/>
      </c:lineChart>
      <c:catAx>
        <c:axId val="628557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8549224"/>
        <c:crosses val="autoZero"/>
        <c:auto val="1"/>
        <c:lblAlgn val="ctr"/>
        <c:lblOffset val="100"/>
        <c:noMultiLvlLbl val="0"/>
      </c:catAx>
      <c:valAx>
        <c:axId val="628549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8557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238124</xdr:colOff>
      <xdr:row>14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119B56F-B668-461A-B1EB-E2EDA8C3E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B6C90-7199-4BEF-AD82-463A111E9311}">
  <dimension ref="A1:F370"/>
  <sheetViews>
    <sheetView workbookViewId="0">
      <selection activeCell="D2" sqref="D2"/>
    </sheetView>
  </sheetViews>
  <sheetFormatPr defaultRowHeight="15" x14ac:dyDescent="0.25"/>
  <cols>
    <col min="1" max="1" width="11.7109375" customWidth="1"/>
    <col min="2" max="3" width="12" bestFit="1" customWidth="1"/>
    <col min="4" max="4" width="10.5703125" bestFit="1" customWidth="1"/>
    <col min="5" max="5" width="25.28515625" customWidth="1"/>
    <col min="6" max="6" width="18.7109375" customWidth="1"/>
  </cols>
  <sheetData>
    <row r="1" spans="1:6" x14ac:dyDescent="0.25">
      <c r="A1" s="3" t="s">
        <v>0</v>
      </c>
      <c r="B1" s="5" t="s">
        <v>1</v>
      </c>
      <c r="C1" s="5" t="s">
        <v>10</v>
      </c>
      <c r="D1" s="5">
        <v>10</v>
      </c>
    </row>
    <row r="2" spans="1:6" x14ac:dyDescent="0.25">
      <c r="A2" s="3"/>
      <c r="B2" s="5" t="s">
        <v>2</v>
      </c>
      <c r="C2" s="5" t="s">
        <v>11</v>
      </c>
      <c r="D2" s="5">
        <v>15</v>
      </c>
    </row>
    <row r="3" spans="1:6" x14ac:dyDescent="0.25">
      <c r="A3" s="4" t="s">
        <v>3</v>
      </c>
      <c r="B3" s="4"/>
      <c r="C3" s="5" t="s">
        <v>12</v>
      </c>
      <c r="D3" s="5">
        <v>365</v>
      </c>
    </row>
    <row r="5" spans="1:6" ht="42" customHeight="1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</row>
    <row r="6" spans="1:6" x14ac:dyDescent="0.25">
      <c r="A6" s="1">
        <v>1</v>
      </c>
      <c r="B6" s="1">
        <f ca="1">RAND()*$D$1</f>
        <v>2.4799485342516436</v>
      </c>
      <c r="C6" s="1">
        <f ca="1">RAND()*$D$2</f>
        <v>9.9027533594784316</v>
      </c>
      <c r="D6" s="1">
        <f ca="1">MIN(B6:C6)</f>
        <v>2.4799485342516436</v>
      </c>
      <c r="E6" s="1">
        <f ca="1">SUM($B$6:C6)/(2*A6)</f>
        <v>6.1913509468650378</v>
      </c>
      <c r="F6" s="1">
        <f ca="1">SUM($E$6:E6)/A6</f>
        <v>6.1913509468650378</v>
      </c>
    </row>
    <row r="7" spans="1:6" x14ac:dyDescent="0.25">
      <c r="A7" s="1">
        <v>2</v>
      </c>
      <c r="B7" s="1">
        <f t="shared" ref="B7:B70" ca="1" si="0">RAND()*$D$1</f>
        <v>5.8714849016635657</v>
      </c>
      <c r="C7" s="1">
        <f t="shared" ref="C7:C70" ca="1" si="1">RAND()*$D$2</f>
        <v>0.60851180481058365</v>
      </c>
      <c r="D7" s="1">
        <f t="shared" ref="D7:D70" ca="1" si="2">MIN(B7:C7)</f>
        <v>0.60851180481058365</v>
      </c>
      <c r="E7" s="1">
        <f ca="1">SUM($B$6:C7)/(2*A7)</f>
        <v>4.7156746500510565</v>
      </c>
      <c r="F7" s="1">
        <f ca="1">SUM($E$6:E7)/A7</f>
        <v>5.4535127984580472</v>
      </c>
    </row>
    <row r="8" spans="1:6" x14ac:dyDescent="0.25">
      <c r="A8" s="1">
        <v>3</v>
      </c>
      <c r="B8" s="1">
        <f t="shared" ca="1" si="0"/>
        <v>0.81645799311989675</v>
      </c>
      <c r="C8" s="1">
        <f t="shared" ca="1" si="1"/>
        <v>8.8256569127021987</v>
      </c>
      <c r="D8" s="1">
        <f t="shared" ca="1" si="2"/>
        <v>0.81645799311989675</v>
      </c>
      <c r="E8" s="1">
        <f ca="1">SUM($B$6:C8)/(2*A8)</f>
        <v>4.7508022510043872</v>
      </c>
      <c r="F8" s="1">
        <f ca="1">SUM($E$6:E8)/A8</f>
        <v>5.2192759493068275</v>
      </c>
    </row>
    <row r="9" spans="1:6" x14ac:dyDescent="0.25">
      <c r="A9" s="1">
        <v>4</v>
      </c>
      <c r="B9" s="1">
        <f t="shared" ca="1" si="0"/>
        <v>0.69262278804680055</v>
      </c>
      <c r="C9" s="1">
        <f t="shared" ca="1" si="1"/>
        <v>8.074378026957941</v>
      </c>
      <c r="D9" s="1">
        <f t="shared" ca="1" si="2"/>
        <v>0.69262278804680055</v>
      </c>
      <c r="E9" s="1">
        <f ca="1">SUM($B$6:C9)/(2*A9)</f>
        <v>4.6589767901288832</v>
      </c>
      <c r="F9" s="1">
        <f ca="1">SUM($E$6:E9)/A9</f>
        <v>5.0792011595123414</v>
      </c>
    </row>
    <row r="10" spans="1:6" x14ac:dyDescent="0.25">
      <c r="A10" s="1">
        <v>5</v>
      </c>
      <c r="B10" s="1">
        <f t="shared" ca="1" si="0"/>
        <v>8.7114813929684889</v>
      </c>
      <c r="C10" s="1">
        <f t="shared" ca="1" si="1"/>
        <v>13.237783282323694</v>
      </c>
      <c r="D10" s="1">
        <f t="shared" ca="1" si="2"/>
        <v>8.7114813929684889</v>
      </c>
      <c r="E10" s="1">
        <f ca="1">SUM($B$6:C10)/(2*A10)</f>
        <v>5.9221078996323246</v>
      </c>
      <c r="F10" s="1">
        <f ca="1">SUM($E$6:E10)/A10</f>
        <v>5.2477825075363382</v>
      </c>
    </row>
    <row r="11" spans="1:6" x14ac:dyDescent="0.25">
      <c r="A11" s="1">
        <v>6</v>
      </c>
      <c r="B11" s="1">
        <f t="shared" ca="1" si="0"/>
        <v>6.8992238480054429</v>
      </c>
      <c r="C11" s="1">
        <f t="shared" ca="1" si="1"/>
        <v>14.92588068776622</v>
      </c>
      <c r="D11" s="1">
        <f t="shared" ca="1" si="2"/>
        <v>6.8992238480054429</v>
      </c>
      <c r="E11" s="1">
        <f ca="1">SUM($B$6:C11)/(2*A11)</f>
        <v>6.7538486276745759</v>
      </c>
      <c r="F11" s="1">
        <f ca="1">SUM($E$6:E11)/A11</f>
        <v>5.4987935275593784</v>
      </c>
    </row>
    <row r="12" spans="1:6" x14ac:dyDescent="0.25">
      <c r="A12" s="1">
        <v>7</v>
      </c>
      <c r="B12" s="1">
        <f t="shared" ca="1" si="0"/>
        <v>6.6937752196016671</v>
      </c>
      <c r="C12" s="1">
        <f t="shared" ca="1" si="1"/>
        <v>1.2058217134482452</v>
      </c>
      <c r="D12" s="1">
        <f t="shared" ca="1" si="2"/>
        <v>1.2058217134482452</v>
      </c>
      <c r="E12" s="1">
        <f ca="1">SUM($B$6:C12)/(2*A12)</f>
        <v>6.3532700332246304</v>
      </c>
      <c r="F12" s="1">
        <f ca="1">SUM($E$6:E12)/A12</f>
        <v>5.620861599797272</v>
      </c>
    </row>
    <row r="13" spans="1:6" x14ac:dyDescent="0.25">
      <c r="A13" s="1">
        <v>8</v>
      </c>
      <c r="B13" s="1">
        <f t="shared" ca="1" si="0"/>
        <v>5.6141640757553111</v>
      </c>
      <c r="C13" s="1">
        <f t="shared" ca="1" si="1"/>
        <v>6.2836917601068363</v>
      </c>
      <c r="D13" s="1">
        <f t="shared" ca="1" si="2"/>
        <v>5.6141640757553111</v>
      </c>
      <c r="E13" s="1">
        <f ca="1">SUM($B$6:C13)/(2*A13)</f>
        <v>6.3027272688129354</v>
      </c>
      <c r="F13" s="1">
        <f ca="1">SUM($E$6:E13)/A13</f>
        <v>5.70609480842423</v>
      </c>
    </row>
    <row r="14" spans="1:6" x14ac:dyDescent="0.25">
      <c r="A14" s="1">
        <v>9</v>
      </c>
      <c r="B14" s="1">
        <f t="shared" ca="1" si="0"/>
        <v>3.8689922290817469</v>
      </c>
      <c r="C14" s="1">
        <f t="shared" ca="1" si="1"/>
        <v>12.4030765638584</v>
      </c>
      <c r="D14" s="1">
        <f t="shared" ca="1" si="2"/>
        <v>3.8689922290817469</v>
      </c>
      <c r="E14" s="1">
        <f ca="1">SUM($B$6:C14)/(2*A14)</f>
        <v>6.5064280607748399</v>
      </c>
      <c r="F14" s="1">
        <f ca="1">SUM($E$6:E14)/A14</f>
        <v>5.7950207253520754</v>
      </c>
    </row>
    <row r="15" spans="1:6" x14ac:dyDescent="0.25">
      <c r="A15" s="1">
        <v>10</v>
      </c>
      <c r="B15" s="1">
        <f t="shared" ca="1" si="0"/>
        <v>5.0007492505000695</v>
      </c>
      <c r="C15" s="1">
        <f t="shared" ca="1" si="1"/>
        <v>14.531942340955027</v>
      </c>
      <c r="D15" s="1">
        <f t="shared" ca="1" si="2"/>
        <v>5.0007492505000695</v>
      </c>
      <c r="E15" s="1">
        <f ca="1">SUM($B$6:C15)/(2*A15)</f>
        <v>6.8324198342701097</v>
      </c>
      <c r="F15" s="1">
        <f ca="1">SUM($E$6:E15)/A15</f>
        <v>5.8987606362438791</v>
      </c>
    </row>
    <row r="16" spans="1:6" x14ac:dyDescent="0.25">
      <c r="A16" s="1">
        <v>11</v>
      </c>
      <c r="B16" s="1">
        <f t="shared" ca="1" si="0"/>
        <v>7.5866258671749627</v>
      </c>
      <c r="C16" s="1">
        <f t="shared" ca="1" si="1"/>
        <v>5.4062338368545468</v>
      </c>
      <c r="D16" s="1">
        <f t="shared" ca="1" si="2"/>
        <v>5.4062338368545468</v>
      </c>
      <c r="E16" s="1">
        <f ca="1">SUM($B$6:C16)/(2*A16)</f>
        <v>6.8018752904287139</v>
      </c>
      <c r="F16" s="1">
        <f ca="1">SUM($E$6:E16)/A16</f>
        <v>5.9808619684425004</v>
      </c>
    </row>
    <row r="17" spans="1:6" x14ac:dyDescent="0.25">
      <c r="A17" s="1">
        <v>12</v>
      </c>
      <c r="B17" s="1">
        <f t="shared" ca="1" si="0"/>
        <v>2.4743797693391576</v>
      </c>
      <c r="C17" s="1">
        <f t="shared" ca="1" si="1"/>
        <v>3.6246176296173171</v>
      </c>
      <c r="D17" s="1">
        <f t="shared" ca="1" si="2"/>
        <v>2.4743797693391576</v>
      </c>
      <c r="E17" s="1">
        <f ca="1">SUM($B$6:C17)/(2*A17)</f>
        <v>6.4891772411828406</v>
      </c>
      <c r="F17" s="1">
        <f ca="1">SUM($E$6:E17)/A17</f>
        <v>6.0232215745041957</v>
      </c>
    </row>
    <row r="18" spans="1:6" x14ac:dyDescent="0.25">
      <c r="A18" s="1">
        <v>13</v>
      </c>
      <c r="B18" s="1">
        <f t="shared" ca="1" si="0"/>
        <v>8.8035620149088274</v>
      </c>
      <c r="C18" s="1">
        <f t="shared" ca="1" si="1"/>
        <v>11.877601197368577</v>
      </c>
      <c r="D18" s="1">
        <f t="shared" ca="1" si="2"/>
        <v>8.8035620149088274</v>
      </c>
      <c r="E18" s="1">
        <f ca="1">SUM($B$6:C18)/(2*A18)</f>
        <v>6.7854391154102149</v>
      </c>
      <c r="F18" s="1">
        <f ca="1">SUM($E$6:E18)/A18</f>
        <v>6.0818536930354279</v>
      </c>
    </row>
    <row r="19" spans="1:6" x14ac:dyDescent="0.25">
      <c r="A19" s="1">
        <v>14</v>
      </c>
      <c r="B19" s="1">
        <f t="shared" ca="1" si="0"/>
        <v>2.7884444788228793</v>
      </c>
      <c r="C19" s="1">
        <f t="shared" ca="1" si="1"/>
        <v>2.1560830785078506</v>
      </c>
      <c r="D19" s="1">
        <f t="shared" ca="1" si="2"/>
        <v>2.1560830785078506</v>
      </c>
      <c r="E19" s="1">
        <f ca="1">SUM($B$6:C19)/(2*A19)</f>
        <v>6.4773551627855834</v>
      </c>
      <c r="F19" s="1">
        <f ca="1">SUM($E$6:E19)/A19</f>
        <v>6.1101037980175823</v>
      </c>
    </row>
    <row r="20" spans="1:6" x14ac:dyDescent="0.25">
      <c r="A20" s="1">
        <v>15</v>
      </c>
      <c r="B20" s="1">
        <f t="shared" ca="1" si="0"/>
        <v>3.1687112854599029</v>
      </c>
      <c r="C20" s="1">
        <f t="shared" ca="1" si="1"/>
        <v>4.6137337396211278</v>
      </c>
      <c r="D20" s="1">
        <f t="shared" ca="1" si="2"/>
        <v>3.1687112854599029</v>
      </c>
      <c r="E20" s="1">
        <f ca="1">SUM($B$6:C20)/(2*A20)</f>
        <v>6.3049463194359117</v>
      </c>
      <c r="F20" s="1">
        <f ca="1">SUM($E$6:E20)/A20</f>
        <v>6.123093299445471</v>
      </c>
    </row>
    <row r="21" spans="1:6" x14ac:dyDescent="0.25">
      <c r="A21" s="1">
        <v>16</v>
      </c>
      <c r="B21" s="1">
        <f t="shared" ca="1" si="0"/>
        <v>0.26546264415221343</v>
      </c>
      <c r="C21" s="1">
        <f t="shared" ca="1" si="1"/>
        <v>3.3272633944944188</v>
      </c>
      <c r="D21" s="1">
        <f t="shared" ca="1" si="2"/>
        <v>0.26546264415221343</v>
      </c>
      <c r="E21" s="1">
        <f ca="1">SUM($B$6:C21)/(2*A21)</f>
        <v>6.0231598631788748</v>
      </c>
      <c r="F21" s="1">
        <f ca="1">SUM($E$6:E21)/A21</f>
        <v>6.1168474596788087</v>
      </c>
    </row>
    <row r="22" spans="1:6" x14ac:dyDescent="0.25">
      <c r="A22" s="1">
        <v>17</v>
      </c>
      <c r="B22" s="1">
        <f t="shared" ca="1" si="0"/>
        <v>1.0194126626859712</v>
      </c>
      <c r="C22" s="1">
        <f t="shared" ca="1" si="1"/>
        <v>2.5492023312162901</v>
      </c>
      <c r="D22" s="1">
        <f t="shared" ca="1" si="2"/>
        <v>1.0194126626859712</v>
      </c>
      <c r="E22" s="1">
        <f ca="1">SUM($B$6:C22)/(2*A22)</f>
        <v>5.7738156063419481</v>
      </c>
      <c r="F22" s="1">
        <f ca="1">SUM($E$6:E22)/A22</f>
        <v>6.0966691153648753</v>
      </c>
    </row>
    <row r="23" spans="1:6" x14ac:dyDescent="0.25">
      <c r="A23" s="1">
        <v>18</v>
      </c>
      <c r="B23" s="1">
        <f t="shared" ca="1" si="0"/>
        <v>5.4637905420181792</v>
      </c>
      <c r="C23" s="1">
        <f t="shared" ca="1" si="1"/>
        <v>5.2476443384082225</v>
      </c>
      <c r="D23" s="1">
        <f t="shared" ca="1" si="2"/>
        <v>5.2476443384082225</v>
      </c>
      <c r="E23" s="1">
        <f ca="1">SUM($B$6:C23)/(2*A23)</f>
        <v>5.7505879304459073</v>
      </c>
      <c r="F23" s="1">
        <f ca="1">SUM($E$6:E23)/A23</f>
        <v>6.0774423828693767</v>
      </c>
    </row>
    <row r="24" spans="1:6" x14ac:dyDescent="0.25">
      <c r="A24" s="1">
        <v>19</v>
      </c>
      <c r="B24" s="1">
        <f t="shared" ca="1" si="0"/>
        <v>1.21626088411664</v>
      </c>
      <c r="C24" s="1">
        <f t="shared" ca="1" si="1"/>
        <v>8.4562450802195315</v>
      </c>
      <c r="D24" s="1">
        <f t="shared" ca="1" si="2"/>
        <v>1.21626088411664</v>
      </c>
      <c r="E24" s="1">
        <f ca="1">SUM($B$6:C24)/(2*A24)</f>
        <v>5.7024650384312858</v>
      </c>
      <c r="F24" s="1">
        <f ca="1">SUM($E$6:E24)/A24</f>
        <v>6.0577067331621093</v>
      </c>
    </row>
    <row r="25" spans="1:6" x14ac:dyDescent="0.25">
      <c r="A25" s="1">
        <v>20</v>
      </c>
      <c r="B25" s="1">
        <f t="shared" ca="1" si="0"/>
        <v>3.1867837100277097</v>
      </c>
      <c r="C25" s="1">
        <f t="shared" ca="1" si="1"/>
        <v>9.0772747745442448</v>
      </c>
      <c r="D25" s="1">
        <f t="shared" ca="1" si="2"/>
        <v>3.1867837100277097</v>
      </c>
      <c r="E25" s="1">
        <f ca="1">SUM($B$6:C25)/(2*A25)</f>
        <v>5.7239432486240194</v>
      </c>
      <c r="F25" s="1">
        <f ca="1">SUM($E$6:E25)/A25</f>
        <v>6.041018558935205</v>
      </c>
    </row>
    <row r="26" spans="1:6" x14ac:dyDescent="0.25">
      <c r="A26" s="1">
        <v>21</v>
      </c>
      <c r="B26" s="1">
        <f t="shared" ca="1" si="0"/>
        <v>6.9406788365766126</v>
      </c>
      <c r="C26" s="1">
        <f t="shared" ca="1" si="1"/>
        <v>13.116463768717447</v>
      </c>
      <c r="D26" s="1">
        <f t="shared" ca="1" si="2"/>
        <v>6.9406788365766126</v>
      </c>
      <c r="E26" s="1">
        <f ca="1">SUM($B$6:C26)/(2*A26)</f>
        <v>5.9289255369108291</v>
      </c>
      <c r="F26" s="1">
        <f ca="1">SUM($E$6:E26)/A26</f>
        <v>6.035680795981663</v>
      </c>
    </row>
    <row r="27" spans="1:6" x14ac:dyDescent="0.25">
      <c r="A27" s="1">
        <v>22</v>
      </c>
      <c r="B27" s="1">
        <f t="shared" ca="1" si="0"/>
        <v>3.5037713447468843</v>
      </c>
      <c r="C27" s="1">
        <f t="shared" ca="1" si="1"/>
        <v>12.651367324078199</v>
      </c>
      <c r="D27" s="1">
        <f t="shared" ca="1" si="2"/>
        <v>3.5037713447468843</v>
      </c>
      <c r="E27" s="1">
        <f ca="1">SUM($B$6:C27)/(2*A27)</f>
        <v>6.0265911640699983</v>
      </c>
      <c r="F27" s="1">
        <f ca="1">SUM($E$6:E27)/A27</f>
        <v>6.0352676308947686</v>
      </c>
    </row>
    <row r="28" spans="1:6" x14ac:dyDescent="0.25">
      <c r="A28" s="1">
        <v>23</v>
      </c>
      <c r="B28" s="1">
        <f t="shared" ca="1" si="0"/>
        <v>6.9860445718520037</v>
      </c>
      <c r="C28" s="1">
        <f t="shared" ca="1" si="1"/>
        <v>8.2736377551896592</v>
      </c>
      <c r="D28" s="1">
        <f t="shared" ca="1" si="2"/>
        <v>6.9860445718520037</v>
      </c>
      <c r="E28" s="1">
        <f ca="1">SUM($B$6:C28)/(2*A28)</f>
        <v>6.0962976857852524</v>
      </c>
      <c r="F28" s="1">
        <f ca="1">SUM($E$6:E28)/A28</f>
        <v>6.0379211115421816</v>
      </c>
    </row>
    <row r="29" spans="1:6" x14ac:dyDescent="0.25">
      <c r="A29" s="1">
        <v>24</v>
      </c>
      <c r="B29" s="1">
        <f t="shared" ca="1" si="0"/>
        <v>4.873354704397137</v>
      </c>
      <c r="C29" s="1">
        <f t="shared" ca="1" si="1"/>
        <v>14.595602892874304</v>
      </c>
      <c r="D29" s="1">
        <f t="shared" ca="1" si="2"/>
        <v>4.873354704397137</v>
      </c>
      <c r="E29" s="1">
        <f ca="1">SUM($B$6:C29)/(2*A29)</f>
        <v>6.2478885654873544</v>
      </c>
      <c r="F29" s="1">
        <f ca="1">SUM($E$6:E29)/A29</f>
        <v>6.0466697554565636</v>
      </c>
    </row>
    <row r="30" spans="1:6" x14ac:dyDescent="0.25">
      <c r="A30" s="1">
        <v>25</v>
      </c>
      <c r="B30" s="1">
        <f t="shared" ca="1" si="0"/>
        <v>7.8564214884461787</v>
      </c>
      <c r="C30" s="1">
        <f t="shared" ca="1" si="1"/>
        <v>0.16548333457206077</v>
      </c>
      <c r="D30" s="1">
        <f t="shared" ca="1" si="2"/>
        <v>0.16548333457206077</v>
      </c>
      <c r="E30" s="1">
        <f ca="1">SUM($B$6:C30)/(2*A30)</f>
        <v>6.1584111193282247</v>
      </c>
      <c r="F30" s="1">
        <f ca="1">SUM($E$6:E30)/A30</f>
        <v>6.0511394100114311</v>
      </c>
    </row>
    <row r="31" spans="1:6" x14ac:dyDescent="0.25">
      <c r="A31" s="1">
        <v>26</v>
      </c>
      <c r="B31" s="1">
        <f t="shared" ca="1" si="0"/>
        <v>8.116789036282162</v>
      </c>
      <c r="C31" s="1">
        <f t="shared" ca="1" si="1"/>
        <v>3.5112797629527339</v>
      </c>
      <c r="D31" s="1">
        <f t="shared" ca="1" si="2"/>
        <v>3.5112797629527339</v>
      </c>
      <c r="E31" s="1">
        <f ca="1">SUM($B$6:C31)/(2*A31)</f>
        <v>6.1451658608778104</v>
      </c>
      <c r="F31" s="1">
        <f ca="1">SUM($E$6:E31)/A31</f>
        <v>6.0547558119678291</v>
      </c>
    </row>
    <row r="32" spans="1:6" x14ac:dyDescent="0.25">
      <c r="A32" s="1">
        <v>27</v>
      </c>
      <c r="B32" s="1">
        <f t="shared" ca="1" si="0"/>
        <v>7.2615081457315531</v>
      </c>
      <c r="C32" s="1">
        <f t="shared" ca="1" si="1"/>
        <v>7.8338105165393728</v>
      </c>
      <c r="D32" s="1">
        <f t="shared" ca="1" si="2"/>
        <v>7.2615081457315531</v>
      </c>
      <c r="E32" s="1">
        <f ca="1">SUM($B$6:C32)/(2*A32)</f>
        <v>6.1971100634799461</v>
      </c>
      <c r="F32" s="1">
        <f ca="1">SUM($E$6:E32)/A32</f>
        <v>6.0600281916534637</v>
      </c>
    </row>
    <row r="33" spans="1:6" x14ac:dyDescent="0.25">
      <c r="A33" s="1">
        <v>28</v>
      </c>
      <c r="B33" s="1">
        <f t="shared" ca="1" si="0"/>
        <v>9.8678037930672797</v>
      </c>
      <c r="C33" s="1">
        <f t="shared" ca="1" si="1"/>
        <v>4.5873660965284699</v>
      </c>
      <c r="D33" s="1">
        <f t="shared" ca="1" si="2"/>
        <v>4.5873660965284699</v>
      </c>
      <c r="E33" s="1">
        <f ca="1">SUM($B$6:C33)/(2*A33)</f>
        <v>6.2339127378127284</v>
      </c>
      <c r="F33" s="1">
        <f ca="1">SUM($E$6:E33)/A33</f>
        <v>6.0662383540162939</v>
      </c>
    </row>
    <row r="34" spans="1:6" x14ac:dyDescent="0.25">
      <c r="A34" s="1">
        <v>29</v>
      </c>
      <c r="B34" s="1">
        <f t="shared" ca="1" si="0"/>
        <v>7.7777579883380277</v>
      </c>
      <c r="C34" s="1">
        <f t="shared" ca="1" si="1"/>
        <v>7.0675892822752022</v>
      </c>
      <c r="D34" s="1">
        <f t="shared" ca="1" si="2"/>
        <v>7.0675892822752022</v>
      </c>
      <c r="E34" s="1">
        <f ca="1">SUM($B$6:C34)/(2*A34)</f>
        <v>6.2749044928987239</v>
      </c>
      <c r="F34" s="1">
        <f ca="1">SUM($E$6:E34)/A34</f>
        <v>6.0734337381156882</v>
      </c>
    </row>
    <row r="35" spans="1:6" x14ac:dyDescent="0.25">
      <c r="A35" s="1">
        <v>30</v>
      </c>
      <c r="B35" s="1">
        <f t="shared" ca="1" si="0"/>
        <v>8.2624519474168139</v>
      </c>
      <c r="C35" s="1">
        <f t="shared" ca="1" si="1"/>
        <v>9.4016496399316161</v>
      </c>
      <c r="D35" s="1">
        <f t="shared" ca="1" si="2"/>
        <v>8.2624519474168139</v>
      </c>
      <c r="E35" s="1">
        <f ca="1">SUM($B$6:C35)/(2*A35)</f>
        <v>6.3601427029245743</v>
      </c>
      <c r="F35" s="1">
        <f ca="1">SUM($E$6:E35)/A35</f>
        <v>6.0829907036093172</v>
      </c>
    </row>
    <row r="36" spans="1:6" x14ac:dyDescent="0.25">
      <c r="A36" s="1">
        <v>31</v>
      </c>
      <c r="B36" s="1">
        <f t="shared" ca="1" si="0"/>
        <v>3.7054547598829926</v>
      </c>
      <c r="C36" s="1">
        <f t="shared" ca="1" si="1"/>
        <v>8.2643705274661947</v>
      </c>
      <c r="D36" s="1">
        <f t="shared" ca="1" si="2"/>
        <v>3.7054547598829926</v>
      </c>
      <c r="E36" s="1">
        <f ca="1">SUM($B$6:C36)/(2*A36)</f>
        <v>6.3480385074648975</v>
      </c>
      <c r="F36" s="1">
        <f ca="1">SUM($E$6:E36)/A36</f>
        <v>6.0915406327659491</v>
      </c>
    </row>
    <row r="37" spans="1:6" x14ac:dyDescent="0.25">
      <c r="A37" s="1">
        <v>32</v>
      </c>
      <c r="B37" s="1">
        <f t="shared" ca="1" si="0"/>
        <v>0.16278225334783514</v>
      </c>
      <c r="C37" s="1">
        <f t="shared" ca="1" si="1"/>
        <v>0.90495695571185308</v>
      </c>
      <c r="D37" s="1">
        <f t="shared" ca="1" si="2"/>
        <v>0.16278225334783514</v>
      </c>
      <c r="E37" s="1">
        <f ca="1">SUM($B$6:C37)/(2*A37)</f>
        <v>6.1663457292481763</v>
      </c>
      <c r="F37" s="1">
        <f ca="1">SUM($E$6:E37)/A37</f>
        <v>6.0938782920310191</v>
      </c>
    </row>
    <row r="38" spans="1:6" x14ac:dyDescent="0.25">
      <c r="A38" s="1">
        <v>33</v>
      </c>
      <c r="B38" s="1">
        <f t="shared" ca="1" si="0"/>
        <v>8.392993193883763</v>
      </c>
      <c r="C38" s="1">
        <f t="shared" ca="1" si="1"/>
        <v>14.251189810472182</v>
      </c>
      <c r="D38" s="1">
        <f t="shared" ca="1" si="2"/>
        <v>8.392993193883763</v>
      </c>
      <c r="E38" s="1">
        <f ca="1">SUM($B$6:C38)/(2*A38)</f>
        <v>6.3225804496399878</v>
      </c>
      <c r="F38" s="1">
        <f ca="1">SUM($E$6:E38)/A38</f>
        <v>6.1008086604434117</v>
      </c>
    </row>
    <row r="39" spans="1:6" x14ac:dyDescent="0.25">
      <c r="A39" s="1">
        <v>34</v>
      </c>
      <c r="B39" s="1">
        <f t="shared" ca="1" si="0"/>
        <v>9.7825094555079435</v>
      </c>
      <c r="C39" s="1">
        <f t="shared" ca="1" si="1"/>
        <v>7.5976931773508101</v>
      </c>
      <c r="D39" s="1">
        <f t="shared" ca="1" si="2"/>
        <v>7.5976931773508101</v>
      </c>
      <c r="E39" s="1">
        <f ca="1">SUM($B$6:C39)/(2*A39)</f>
        <v>6.3922134163102635</v>
      </c>
      <c r="F39" s="1">
        <f ca="1">SUM($E$6:E39)/A39</f>
        <v>6.1093793885571426</v>
      </c>
    </row>
    <row r="40" spans="1:6" x14ac:dyDescent="0.25">
      <c r="A40" s="1">
        <v>35</v>
      </c>
      <c r="B40" s="1">
        <f t="shared" ca="1" si="0"/>
        <v>5.0546283952031157</v>
      </c>
      <c r="C40" s="1">
        <f t="shared" ca="1" si="1"/>
        <v>5.5894252378272649</v>
      </c>
      <c r="D40" s="1">
        <f t="shared" ca="1" si="2"/>
        <v>5.0546283952031157</v>
      </c>
      <c r="E40" s="1">
        <f ca="1">SUM($B$6:C40)/(2*A40)</f>
        <v>6.3616366563161186</v>
      </c>
      <c r="F40" s="1">
        <f ca="1">SUM($E$6:E40)/A40</f>
        <v>6.1165867390645419</v>
      </c>
    </row>
    <row r="41" spans="1:6" x14ac:dyDescent="0.25">
      <c r="A41" s="1">
        <v>36</v>
      </c>
      <c r="B41" s="1">
        <f t="shared" ca="1" si="0"/>
        <v>8.2301766486502999</v>
      </c>
      <c r="C41" s="1">
        <f t="shared" ca="1" si="1"/>
        <v>9.4729521745832681</v>
      </c>
      <c r="D41" s="1">
        <f t="shared" ca="1" si="2"/>
        <v>8.2301766486502999</v>
      </c>
      <c r="E41" s="1">
        <f ca="1">SUM($B$6:C41)/(2*A41)</f>
        <v>6.4308013161855815</v>
      </c>
      <c r="F41" s="1">
        <f ca="1">SUM($E$6:E41)/A41</f>
        <v>6.1253149217623486</v>
      </c>
    </row>
    <row r="42" spans="1:6" x14ac:dyDescent="0.25">
      <c r="A42" s="1">
        <v>37</v>
      </c>
      <c r="B42" s="1">
        <f t="shared" ca="1" si="0"/>
        <v>6.6347648701705673</v>
      </c>
      <c r="C42" s="1">
        <f t="shared" ca="1" si="1"/>
        <v>14.709572146411194</v>
      </c>
      <c r="D42" s="1">
        <f t="shared" ca="1" si="2"/>
        <v>6.6347648701705673</v>
      </c>
      <c r="E42" s="1">
        <f ca="1">SUM($B$6:C42)/(2*A42)</f>
        <v>6.5454328619181563</v>
      </c>
      <c r="F42" s="1">
        <f ca="1">SUM($E$6:E42)/A42</f>
        <v>6.1366694606854786</v>
      </c>
    </row>
    <row r="43" spans="1:6" x14ac:dyDescent="0.25">
      <c r="A43" s="1">
        <v>38</v>
      </c>
      <c r="B43" s="1">
        <f t="shared" ca="1" si="0"/>
        <v>7.4307771014773794</v>
      </c>
      <c r="C43" s="1">
        <f t="shared" ca="1" si="1"/>
        <v>3.278163118377166</v>
      </c>
      <c r="D43" s="1">
        <f t="shared" ca="1" si="2"/>
        <v>3.278163118377166</v>
      </c>
      <c r="E43" s="1">
        <f ca="1">SUM($B$6:C43)/(2*A43)</f>
        <v>6.5140917368657645</v>
      </c>
      <c r="F43" s="1">
        <f ca="1">SUM($E$6:E43)/A43</f>
        <v>6.1466016258481178</v>
      </c>
    </row>
    <row r="44" spans="1:6" x14ac:dyDescent="0.25">
      <c r="A44" s="1">
        <v>39</v>
      </c>
      <c r="B44" s="1">
        <f t="shared" ca="1" si="0"/>
        <v>7.8303322707666236</v>
      </c>
      <c r="C44" s="1">
        <f t="shared" ca="1" si="1"/>
        <v>2.1194228980640539</v>
      </c>
      <c r="D44" s="1">
        <f t="shared" ca="1" si="2"/>
        <v>2.1194228980640539</v>
      </c>
      <c r="E44" s="1">
        <f ca="1">SUM($B$6:C44)/(2*A44)</f>
        <v>6.4746247073157539</v>
      </c>
      <c r="F44" s="1">
        <f ca="1">SUM($E$6:E44)/A44</f>
        <v>6.1550124740908769</v>
      </c>
    </row>
    <row r="45" spans="1:6" x14ac:dyDescent="0.25">
      <c r="A45" s="1">
        <v>40</v>
      </c>
      <c r="B45" s="1">
        <f t="shared" ca="1" si="0"/>
        <v>5.2671070610157935</v>
      </c>
      <c r="C45" s="1">
        <f t="shared" ca="1" si="1"/>
        <v>4.9506113353730052</v>
      </c>
      <c r="D45" s="1">
        <f t="shared" ca="1" si="2"/>
        <v>4.9506113353730052</v>
      </c>
      <c r="E45" s="1">
        <f ca="1">SUM($B$6:C45)/(2*A45)</f>
        <v>6.4404805695877201</v>
      </c>
      <c r="F45" s="1">
        <f ca="1">SUM($E$6:E45)/A45</f>
        <v>6.1621491764782981</v>
      </c>
    </row>
    <row r="46" spans="1:6" x14ac:dyDescent="0.25">
      <c r="A46" s="1">
        <v>41</v>
      </c>
      <c r="B46" s="1">
        <f t="shared" ca="1" si="0"/>
        <v>4.7955432676968934</v>
      </c>
      <c r="C46" s="1">
        <f t="shared" ca="1" si="1"/>
        <v>5.5238854407635491</v>
      </c>
      <c r="D46" s="1">
        <f t="shared" ca="1" si="2"/>
        <v>4.7955432676968934</v>
      </c>
      <c r="E46" s="1">
        <f ca="1">SUM($B$6:C46)/(2*A46)</f>
        <v>6.4092423692131471</v>
      </c>
      <c r="F46" s="1">
        <f ca="1">SUM($E$6:E46)/A46</f>
        <v>6.168175839715734</v>
      </c>
    </row>
    <row r="47" spans="1:6" x14ac:dyDescent="0.25">
      <c r="A47" s="1">
        <v>42</v>
      </c>
      <c r="B47" s="1">
        <f t="shared" ca="1" si="0"/>
        <v>9.7537294131493066</v>
      </c>
      <c r="C47" s="1">
        <f t="shared" ca="1" si="1"/>
        <v>12.429677226604149</v>
      </c>
      <c r="D47" s="1">
        <f t="shared" ca="1" si="2"/>
        <v>9.7537294131493066</v>
      </c>
      <c r="E47" s="1">
        <f ca="1">SUM($B$6:C47)/(2*A47)</f>
        <v>6.5207295347051373</v>
      </c>
      <c r="F47" s="1">
        <f ca="1">SUM($E$6:E47)/A47</f>
        <v>6.1765699753107199</v>
      </c>
    </row>
    <row r="48" spans="1:6" x14ac:dyDescent="0.25">
      <c r="A48" s="1">
        <v>43</v>
      </c>
      <c r="B48" s="1">
        <f t="shared" ca="1" si="0"/>
        <v>0.74466795401685548</v>
      </c>
      <c r="C48" s="1">
        <f t="shared" ca="1" si="1"/>
        <v>7.0176299771956447</v>
      </c>
      <c r="D48" s="1">
        <f t="shared" ca="1" si="2"/>
        <v>0.74466795401685548</v>
      </c>
      <c r="E48" s="1">
        <f ca="1">SUM($B$6:C48)/(2*A48)</f>
        <v>6.4593439400749304</v>
      </c>
      <c r="F48" s="1">
        <f ca="1">SUM($E$6:E48)/A48</f>
        <v>6.1831461140261661</v>
      </c>
    </row>
    <row r="49" spans="1:6" x14ac:dyDescent="0.25">
      <c r="A49" s="1">
        <v>44</v>
      </c>
      <c r="B49" s="1">
        <f t="shared" ca="1" si="0"/>
        <v>8.0658614302005596</v>
      </c>
      <c r="C49" s="1">
        <f t="shared" ca="1" si="1"/>
        <v>12.539406692647111</v>
      </c>
      <c r="D49" s="1">
        <f t="shared" ca="1" si="2"/>
        <v>8.0658614302005596</v>
      </c>
      <c r="E49" s="1">
        <f ca="1">SUM($B$6:C49)/(2*A49)</f>
        <v>6.5466914428328611</v>
      </c>
      <c r="F49" s="1">
        <f ca="1">SUM($E$6:E49)/A49</f>
        <v>6.1914085078626817</v>
      </c>
    </row>
    <row r="50" spans="1:6" x14ac:dyDescent="0.25">
      <c r="A50" s="1">
        <v>45</v>
      </c>
      <c r="B50" s="1">
        <f t="shared" ca="1" si="0"/>
        <v>8.5703529460025081</v>
      </c>
      <c r="C50" s="1">
        <f t="shared" ca="1" si="1"/>
        <v>8.2098628546569046</v>
      </c>
      <c r="D50" s="1">
        <f t="shared" ca="1" si="2"/>
        <v>8.2098628546569046</v>
      </c>
      <c r="E50" s="1">
        <f ca="1">SUM($B$6:C50)/(2*A50)</f>
        <v>6.5876562529994569</v>
      </c>
      <c r="F50" s="1">
        <f ca="1">SUM($E$6:E50)/A50</f>
        <v>6.2002140133101662</v>
      </c>
    </row>
    <row r="51" spans="1:6" x14ac:dyDescent="0.25">
      <c r="A51" s="1">
        <v>46</v>
      </c>
      <c r="B51" s="1">
        <f t="shared" ca="1" si="0"/>
        <v>4.4790422496087459</v>
      </c>
      <c r="C51" s="1">
        <f t="shared" ca="1" si="1"/>
        <v>10.697439877327255</v>
      </c>
      <c r="D51" s="1">
        <f t="shared" ca="1" si="2"/>
        <v>4.4790422496087459</v>
      </c>
      <c r="E51" s="1">
        <f ca="1">SUM($B$6:C51)/(2*A51)</f>
        <v>6.6094080967052946</v>
      </c>
      <c r="F51" s="1">
        <f ca="1">SUM($E$6:E51)/A51</f>
        <v>6.2091095368622344</v>
      </c>
    </row>
    <row r="52" spans="1:6" x14ac:dyDescent="0.25">
      <c r="A52" s="1">
        <v>47</v>
      </c>
      <c r="B52" s="1">
        <f t="shared" ca="1" si="0"/>
        <v>8.5037172481134409</v>
      </c>
      <c r="C52" s="1">
        <f t="shared" ca="1" si="1"/>
        <v>7.3264616849169331</v>
      </c>
      <c r="D52" s="1">
        <f t="shared" ca="1" si="2"/>
        <v>7.3264616849169331</v>
      </c>
      <c r="E52" s="1">
        <f ca="1">SUM($B$6:C52)/(2*A52)</f>
        <v>6.6371885513821001</v>
      </c>
      <c r="F52" s="1">
        <f ca="1">SUM($E$6:E52)/A52</f>
        <v>6.2182176010009549</v>
      </c>
    </row>
    <row r="53" spans="1:6" x14ac:dyDescent="0.25">
      <c r="A53" s="1">
        <v>48</v>
      </c>
      <c r="B53" s="1">
        <f t="shared" ca="1" si="0"/>
        <v>0.48013194871575293</v>
      </c>
      <c r="C53" s="1">
        <f t="shared" ca="1" si="1"/>
        <v>4.587475270230339</v>
      </c>
      <c r="D53" s="1">
        <f t="shared" ca="1" si="2"/>
        <v>0.48013194871575293</v>
      </c>
      <c r="E53" s="1">
        <f ca="1">SUM($B$6:C53)/(2*A53)</f>
        <v>6.5517013650923284</v>
      </c>
      <c r="F53" s="1">
        <f ca="1">SUM($E$6:E53)/A53</f>
        <v>6.225165179419526</v>
      </c>
    </row>
    <row r="54" spans="1:6" x14ac:dyDescent="0.25">
      <c r="A54" s="1">
        <v>49</v>
      </c>
      <c r="B54" s="1">
        <f t="shared" ca="1" si="0"/>
        <v>0.38919960449231072</v>
      </c>
      <c r="C54" s="1">
        <f t="shared" ca="1" si="1"/>
        <v>12.5805174796686</v>
      </c>
      <c r="D54" s="1">
        <f t="shared" ca="1" si="2"/>
        <v>0.38919960449231072</v>
      </c>
      <c r="E54" s="1">
        <f ca="1">SUM($B$6:C54)/(2*A54)</f>
        <v>6.5503372258471888</v>
      </c>
      <c r="F54" s="1">
        <f ca="1">SUM($E$6:E54)/A54</f>
        <v>6.2318013436323358</v>
      </c>
    </row>
    <row r="55" spans="1:6" x14ac:dyDescent="0.25">
      <c r="A55" s="1">
        <v>50</v>
      </c>
      <c r="B55" s="1">
        <f t="shared" ca="1" si="0"/>
        <v>7.2163158091010002</v>
      </c>
      <c r="C55" s="1">
        <f t="shared" ca="1" si="1"/>
        <v>4.917675328064175</v>
      </c>
      <c r="D55" s="1">
        <f t="shared" ca="1" si="2"/>
        <v>4.917675328064175</v>
      </c>
      <c r="E55" s="1">
        <f ca="1">SUM($B$6:C55)/(2*A55)</f>
        <v>6.5406703927018972</v>
      </c>
      <c r="F55" s="1">
        <f ca="1">SUM($E$6:E55)/A55</f>
        <v>6.2379787246137264</v>
      </c>
    </row>
    <row r="56" spans="1:6" x14ac:dyDescent="0.25">
      <c r="A56" s="1">
        <v>51</v>
      </c>
      <c r="B56" s="1">
        <f t="shared" ca="1" si="0"/>
        <v>2.5855560966606737</v>
      </c>
      <c r="C56" s="1">
        <f t="shared" ca="1" si="1"/>
        <v>0.26418297347611808</v>
      </c>
      <c r="D56" s="1">
        <f t="shared" ca="1" si="2"/>
        <v>0.26418297347611808</v>
      </c>
      <c r="E56" s="1">
        <f ca="1">SUM($B$6:C56)/(2*A56)</f>
        <v>6.4403605719639847</v>
      </c>
      <c r="F56" s="1">
        <f ca="1">SUM($E$6:E56)/A56</f>
        <v>6.2419469961303982</v>
      </c>
    </row>
    <row r="57" spans="1:6" x14ac:dyDescent="0.25">
      <c r="A57" s="1">
        <v>52</v>
      </c>
      <c r="B57" s="1">
        <f t="shared" ca="1" si="0"/>
        <v>8.443766660123055</v>
      </c>
      <c r="C57" s="1">
        <f t="shared" ca="1" si="1"/>
        <v>11.389046135630434</v>
      </c>
      <c r="D57" s="1">
        <f t="shared" ca="1" si="2"/>
        <v>8.443766660123055</v>
      </c>
      <c r="E57" s="1">
        <f ca="1">SUM($B$6:C57)/(2*A57)</f>
        <v>6.5072076070776923</v>
      </c>
      <c r="F57" s="1">
        <f ca="1">SUM($E$6:E57)/A57</f>
        <v>6.2470481617255391</v>
      </c>
    </row>
    <row r="58" spans="1:6" x14ac:dyDescent="0.25">
      <c r="A58" s="1">
        <v>53</v>
      </c>
      <c r="B58" s="1">
        <f t="shared" ca="1" si="0"/>
        <v>0.88803623624486905</v>
      </c>
      <c r="C58" s="1">
        <f t="shared" ca="1" si="1"/>
        <v>4.4381148741586331</v>
      </c>
      <c r="D58" s="1">
        <f t="shared" ca="1" si="2"/>
        <v>0.88803623624486905</v>
      </c>
      <c r="E58" s="1">
        <f ca="1">SUM($B$6:C58)/(2*A58)</f>
        <v>6.4346768136460701</v>
      </c>
      <c r="F58" s="1">
        <f ca="1">SUM($E$6:E58)/A58</f>
        <v>6.250588324969323</v>
      </c>
    </row>
    <row r="59" spans="1:6" x14ac:dyDescent="0.25">
      <c r="A59" s="1">
        <v>54</v>
      </c>
      <c r="B59" s="1">
        <f t="shared" ca="1" si="0"/>
        <v>2.8398137562127834</v>
      </c>
      <c r="C59" s="1">
        <f t="shared" ca="1" si="1"/>
        <v>0.92830198919862217</v>
      </c>
      <c r="D59" s="1">
        <f t="shared" ca="1" si="2"/>
        <v>0.92830198919862217</v>
      </c>
      <c r="E59" s="1">
        <f ca="1">SUM($B$6:C59)/(2*A59)</f>
        <v>6.3504060925175452</v>
      </c>
      <c r="F59" s="1">
        <f ca="1">SUM($E$6:E59)/A59</f>
        <v>6.2524368021461427</v>
      </c>
    </row>
    <row r="60" spans="1:6" x14ac:dyDescent="0.25">
      <c r="A60" s="1">
        <v>55</v>
      </c>
      <c r="B60" s="1">
        <f t="shared" ca="1" si="0"/>
        <v>7.8924394118591543</v>
      </c>
      <c r="C60" s="1">
        <f t="shared" ca="1" si="1"/>
        <v>0.56003726822470123</v>
      </c>
      <c r="D60" s="1">
        <f t="shared" ca="1" si="2"/>
        <v>0.56003726822470123</v>
      </c>
      <c r="E60" s="1">
        <f ca="1">SUM($B$6:C60)/(2*A60)</f>
        <v>6.3117848606543525</v>
      </c>
      <c r="F60" s="1">
        <f ca="1">SUM($E$6:E60)/A60</f>
        <v>6.2535158577553833</v>
      </c>
    </row>
    <row r="61" spans="1:6" x14ac:dyDescent="0.25">
      <c r="A61" s="1">
        <v>56</v>
      </c>
      <c r="B61" s="1">
        <f t="shared" ca="1" si="0"/>
        <v>5.1501949670957607</v>
      </c>
      <c r="C61" s="1">
        <f t="shared" ca="1" si="1"/>
        <v>4.5252419923997351</v>
      </c>
      <c r="D61" s="1">
        <f t="shared" ca="1" si="2"/>
        <v>4.5252419923997351</v>
      </c>
      <c r="E61" s="1">
        <f ca="1">SUM($B$6:C61)/(2*A61)</f>
        <v>6.2854622467095922</v>
      </c>
      <c r="F61" s="1">
        <f ca="1">SUM($E$6:E61)/A61</f>
        <v>6.2540863289867081</v>
      </c>
    </row>
    <row r="62" spans="1:6" x14ac:dyDescent="0.25">
      <c r="A62" s="1">
        <v>57</v>
      </c>
      <c r="B62" s="1">
        <f t="shared" ca="1" si="0"/>
        <v>7.7894404687169772</v>
      </c>
      <c r="C62" s="1">
        <f t="shared" ca="1" si="1"/>
        <v>9.2960872964893095</v>
      </c>
      <c r="D62" s="1">
        <f t="shared" ca="1" si="2"/>
        <v>7.7894404687169772</v>
      </c>
      <c r="E62" s="1">
        <f ca="1">SUM($B$6:C62)/(2*A62)</f>
        <v>6.3250640297954437</v>
      </c>
      <c r="F62" s="1">
        <f ca="1">SUM($E$6:E62)/A62</f>
        <v>6.255331551807914</v>
      </c>
    </row>
    <row r="63" spans="1:6" x14ac:dyDescent="0.25">
      <c r="A63" s="1">
        <v>58</v>
      </c>
      <c r="B63" s="1">
        <f t="shared" ca="1" si="0"/>
        <v>3.2052782003218794</v>
      </c>
      <c r="C63" s="1">
        <f t="shared" ca="1" si="1"/>
        <v>9.29993343513285</v>
      </c>
      <c r="D63" s="1">
        <f t="shared" ca="1" si="2"/>
        <v>3.2052782003218794</v>
      </c>
      <c r="E63" s="1">
        <f ca="1">SUM($B$6:C63)/(2*A63)</f>
        <v>6.3238147502770294</v>
      </c>
      <c r="F63" s="1">
        <f ca="1">SUM($E$6:E63)/A63</f>
        <v>6.256512296609106</v>
      </c>
    </row>
    <row r="64" spans="1:6" x14ac:dyDescent="0.25">
      <c r="A64" s="1">
        <v>59</v>
      </c>
      <c r="B64" s="1">
        <f t="shared" ca="1" si="0"/>
        <v>2.2812801822725381</v>
      </c>
      <c r="C64" s="1">
        <f t="shared" ca="1" si="1"/>
        <v>1.6001475906018203</v>
      </c>
      <c r="D64" s="1">
        <f t="shared" ca="1" si="2"/>
        <v>1.6001475906018203</v>
      </c>
      <c r="E64" s="1">
        <f ca="1">SUM($B$6:C64)/(2*A64)</f>
        <v>6.2495249051272017</v>
      </c>
      <c r="F64" s="1">
        <f ca="1">SUM($E$6:E64)/A64</f>
        <v>6.2563938662450056</v>
      </c>
    </row>
    <row r="65" spans="1:6" x14ac:dyDescent="0.25">
      <c r="A65" s="1">
        <v>60</v>
      </c>
      <c r="B65" s="1">
        <f t="shared" ca="1" si="0"/>
        <v>8.0218343774191734</v>
      </c>
      <c r="C65" s="1">
        <f t="shared" ca="1" si="1"/>
        <v>14.654225614777891</v>
      </c>
      <c r="D65" s="1">
        <f t="shared" ca="1" si="2"/>
        <v>8.0218343774191734</v>
      </c>
      <c r="E65" s="1">
        <f ca="1">SUM($B$6:C65)/(2*A65)</f>
        <v>6.3343333233100578</v>
      </c>
      <c r="F65" s="1">
        <f ca="1">SUM($E$6:E65)/A65</f>
        <v>6.2576928571960897</v>
      </c>
    </row>
    <row r="66" spans="1:6" x14ac:dyDescent="0.25">
      <c r="A66" s="1">
        <v>61</v>
      </c>
      <c r="B66" s="1">
        <f t="shared" ca="1" si="0"/>
        <v>3.023584863019686</v>
      </c>
      <c r="C66" s="1">
        <f t="shared" ca="1" si="1"/>
        <v>7.9832270284614939</v>
      </c>
      <c r="D66" s="1">
        <f t="shared" ca="1" si="2"/>
        <v>3.023584863019686</v>
      </c>
      <c r="E66" s="1">
        <f ca="1">SUM($B$6:C66)/(2*A66)</f>
        <v>6.3207115630220327</v>
      </c>
      <c r="F66" s="1">
        <f ca="1">SUM($E$6:E66)/A66</f>
        <v>6.2587259507342194</v>
      </c>
    </row>
    <row r="67" spans="1:6" x14ac:dyDescent="0.25">
      <c r="A67" s="1">
        <v>62</v>
      </c>
      <c r="B67" s="1">
        <f t="shared" ca="1" si="0"/>
        <v>5.3443537253534448</v>
      </c>
      <c r="C67" s="1">
        <f t="shared" ca="1" si="1"/>
        <v>10.049132097309355</v>
      </c>
      <c r="D67" s="1">
        <f t="shared" ca="1" si="2"/>
        <v>5.3443537253534448</v>
      </c>
      <c r="E67" s="1">
        <f ca="1">SUM($B$6:C67)/(2*A67)</f>
        <v>6.3429056170270224</v>
      </c>
      <c r="F67" s="1">
        <f ca="1">SUM($E$6:E67)/A67</f>
        <v>6.26008368728733</v>
      </c>
    </row>
    <row r="68" spans="1:6" x14ac:dyDescent="0.25">
      <c r="A68" s="1">
        <v>63</v>
      </c>
      <c r="B68" s="1">
        <f t="shared" ca="1" si="0"/>
        <v>9.6505056577424018</v>
      </c>
      <c r="C68" s="1">
        <f t="shared" ca="1" si="1"/>
        <v>3.8205320598014341</v>
      </c>
      <c r="D68" s="1">
        <f t="shared" ca="1" si="2"/>
        <v>3.8205320598014341</v>
      </c>
      <c r="E68" s="1">
        <f ca="1">SUM($B$6:C68)/(2*A68)</f>
        <v>6.3491375732451951</v>
      </c>
      <c r="F68" s="1">
        <f ca="1">SUM($E$6:E68)/A68</f>
        <v>6.2614972410326928</v>
      </c>
    </row>
    <row r="69" spans="1:6" x14ac:dyDescent="0.25">
      <c r="A69" s="1">
        <v>64</v>
      </c>
      <c r="B69" s="1">
        <f t="shared" ca="1" si="0"/>
        <v>5.9584640290392805</v>
      </c>
      <c r="C69" s="1">
        <f t="shared" ca="1" si="1"/>
        <v>5.0523789294664558</v>
      </c>
      <c r="D69" s="1">
        <f t="shared" ca="1" si="2"/>
        <v>5.0523789294664558</v>
      </c>
      <c r="E69" s="1">
        <f ca="1">SUM($B$6:C69)/(2*A69)</f>
        <v>6.3359545092765659</v>
      </c>
      <c r="F69" s="1">
        <f ca="1">SUM($E$6:E69)/A69</f>
        <v>6.2626606358490031</v>
      </c>
    </row>
    <row r="70" spans="1:6" x14ac:dyDescent="0.25">
      <c r="A70" s="1">
        <v>65</v>
      </c>
      <c r="B70" s="1">
        <f t="shared" ca="1" si="0"/>
        <v>9.2157907592630206</v>
      </c>
      <c r="C70" s="1">
        <f t="shared" ca="1" si="1"/>
        <v>7.6296629188202401</v>
      </c>
      <c r="D70" s="1">
        <f t="shared" ca="1" si="2"/>
        <v>7.6296629188202401</v>
      </c>
      <c r="E70" s="1">
        <f ca="1">SUM($B$6:C70)/(2*A70)</f>
        <v>6.3680586989652586</v>
      </c>
      <c r="F70" s="1">
        <f ca="1">SUM($E$6:E70)/A70</f>
        <v>6.2642821445123307</v>
      </c>
    </row>
    <row r="71" spans="1:6" x14ac:dyDescent="0.25">
      <c r="A71" s="1">
        <v>66</v>
      </c>
      <c r="B71" s="1">
        <f t="shared" ref="B71:B134" ca="1" si="3">RAND()*$D$1</f>
        <v>9.6031712394399822</v>
      </c>
      <c r="C71" s="1">
        <f t="shared" ref="C71:C134" ca="1" si="4">RAND()*$D$2</f>
        <v>14.091483274927771</v>
      </c>
      <c r="D71" s="1">
        <f t="shared" ref="D71:D134" ca="1" si="5">MIN(B71:C71)</f>
        <v>9.6031712394399822</v>
      </c>
      <c r="E71" s="1">
        <f ca="1">SUM($B$6:C71)/(2*A71)</f>
        <v>6.4510779195443293</v>
      </c>
      <c r="F71" s="1">
        <f ca="1">SUM($E$6:E71)/A71</f>
        <v>6.2671123835279667</v>
      </c>
    </row>
    <row r="72" spans="1:6" x14ac:dyDescent="0.25">
      <c r="A72" s="1">
        <v>67</v>
      </c>
      <c r="B72" s="1">
        <f t="shared" ca="1" si="3"/>
        <v>0.12458198352339411</v>
      </c>
      <c r="C72" s="1">
        <f t="shared" ca="1" si="4"/>
        <v>8.1994270037691646</v>
      </c>
      <c r="D72" s="1">
        <f t="shared" ca="1" si="5"/>
        <v>0.12458198352339411</v>
      </c>
      <c r="E72" s="1">
        <f ca="1">SUM($B$6:C72)/(2*A72)</f>
        <v>6.4169126445309255</v>
      </c>
      <c r="F72" s="1">
        <f ca="1">SUM($E$6:E72)/A72</f>
        <v>6.2693482083190561</v>
      </c>
    </row>
    <row r="73" spans="1:6" x14ac:dyDescent="0.25">
      <c r="A73" s="1">
        <v>68</v>
      </c>
      <c r="B73" s="1">
        <f t="shared" ca="1" si="3"/>
        <v>6.4742129048491019</v>
      </c>
      <c r="C73" s="1">
        <f t="shared" ca="1" si="4"/>
        <v>6.5342227200656149</v>
      </c>
      <c r="D73" s="1">
        <f t="shared" ca="1" si="5"/>
        <v>6.4742129048491019</v>
      </c>
      <c r="E73" s="1">
        <f ca="1">SUM($B$6:C73)/(2*A73)</f>
        <v>6.4181965440592554</v>
      </c>
      <c r="F73" s="1">
        <f ca="1">SUM($E$6:E73)/A73</f>
        <v>6.2715371544328828</v>
      </c>
    </row>
    <row r="74" spans="1:6" x14ac:dyDescent="0.25">
      <c r="A74" s="1">
        <v>69</v>
      </c>
      <c r="B74" s="1">
        <f t="shared" ca="1" si="3"/>
        <v>6.8637081096060983</v>
      </c>
      <c r="C74" s="1">
        <f t="shared" ca="1" si="4"/>
        <v>3.2559000705903438</v>
      </c>
      <c r="D74" s="1">
        <f t="shared" ca="1" si="5"/>
        <v>3.2559000705903438</v>
      </c>
      <c r="E74" s="1">
        <f ca="1">SUM($B$6:C74)/(2*A74)</f>
        <v>6.3985096969004003</v>
      </c>
      <c r="F74" s="1">
        <f ca="1">SUM($E$6:E74)/A74</f>
        <v>6.2733773362077745</v>
      </c>
    </row>
    <row r="75" spans="1:6" x14ac:dyDescent="0.25">
      <c r="A75" s="1">
        <v>70</v>
      </c>
      <c r="B75" s="1">
        <f t="shared" ca="1" si="3"/>
        <v>6.9808403397344074</v>
      </c>
      <c r="C75" s="1">
        <f t="shared" ca="1" si="4"/>
        <v>8.2027572375543123</v>
      </c>
      <c r="D75" s="1">
        <f t="shared" ca="1" si="5"/>
        <v>6.9808403397344074</v>
      </c>
      <c r="E75" s="1">
        <f ca="1">SUM($B$6:C75)/(2*A75)</f>
        <v>6.4155566839253142</v>
      </c>
      <c r="F75" s="1">
        <f ca="1">SUM($E$6:E75)/A75</f>
        <v>6.2754084697465968</v>
      </c>
    </row>
    <row r="76" spans="1:6" x14ac:dyDescent="0.25">
      <c r="A76" s="1">
        <v>71</v>
      </c>
      <c r="B76" s="1">
        <f t="shared" ca="1" si="3"/>
        <v>8.928824811362956</v>
      </c>
      <c r="C76" s="1">
        <f t="shared" ca="1" si="4"/>
        <v>12.748320399178789</v>
      </c>
      <c r="D76" s="1">
        <f t="shared" ca="1" si="5"/>
        <v>8.928824811362956</v>
      </c>
      <c r="E76" s="1">
        <f ca="1">SUM($B$6:C76)/(2*A76)</f>
        <v>6.4778526828175043</v>
      </c>
      <c r="F76" s="1">
        <f ca="1">SUM($E$6:E76)/A76</f>
        <v>6.2782597966912572</v>
      </c>
    </row>
    <row r="77" spans="1:6" x14ac:dyDescent="0.25">
      <c r="A77" s="1">
        <v>72</v>
      </c>
      <c r="B77" s="1">
        <f t="shared" ca="1" si="3"/>
        <v>8.2102182511207911</v>
      </c>
      <c r="C77" s="1">
        <f t="shared" ca="1" si="4"/>
        <v>9.9448270165505495</v>
      </c>
      <c r="D77" s="1">
        <f t="shared" ca="1" si="5"/>
        <v>8.2102182511207911</v>
      </c>
      <c r="E77" s="1">
        <f ca="1">SUM($B$6:C77)/(2*A77)</f>
        <v>6.5139592099149786</v>
      </c>
      <c r="F77" s="1">
        <f ca="1">SUM($E$6:E77)/A77</f>
        <v>6.2815333996526981</v>
      </c>
    </row>
    <row r="78" spans="1:6" x14ac:dyDescent="0.25">
      <c r="A78" s="1">
        <v>73</v>
      </c>
      <c r="B78" s="1">
        <f t="shared" ca="1" si="3"/>
        <v>7.8793614808099797</v>
      </c>
      <c r="C78" s="1">
        <f t="shared" ca="1" si="4"/>
        <v>3.3299388895343118</v>
      </c>
      <c r="D78" s="1">
        <f t="shared" ca="1" si="5"/>
        <v>3.3299388895343118</v>
      </c>
      <c r="E78" s="1">
        <f ca="1">SUM($B$6:C78)/(2*A78)</f>
        <v>6.5015029219048026</v>
      </c>
      <c r="F78" s="1">
        <f ca="1">SUM($E$6:E78)/A78</f>
        <v>6.2845466807794388</v>
      </c>
    </row>
    <row r="79" spans="1:6" x14ac:dyDescent="0.25">
      <c r="A79" s="1">
        <v>74</v>
      </c>
      <c r="B79" s="1">
        <f t="shared" ca="1" si="3"/>
        <v>1.1288040917100239</v>
      </c>
      <c r="C79" s="1">
        <f t="shared" ca="1" si="4"/>
        <v>0.86117319373822609</v>
      </c>
      <c r="D79" s="1">
        <f t="shared" ca="1" si="5"/>
        <v>0.86117319373822609</v>
      </c>
      <c r="E79" s="1">
        <f ca="1">SUM($B$6:C79)/(2*A79)</f>
        <v>6.4270905667807394</v>
      </c>
      <c r="F79" s="1">
        <f ca="1">SUM($E$6:E79)/A79</f>
        <v>6.2864729495091867</v>
      </c>
    </row>
    <row r="80" spans="1:6" x14ac:dyDescent="0.25">
      <c r="A80" s="1">
        <v>75</v>
      </c>
      <c r="B80" s="1">
        <f t="shared" ca="1" si="3"/>
        <v>2.2064516240127396</v>
      </c>
      <c r="C80" s="1">
        <f t="shared" ca="1" si="4"/>
        <v>1.4247267227033062</v>
      </c>
      <c r="D80" s="1">
        <f t="shared" ca="1" si="5"/>
        <v>1.4247267227033062</v>
      </c>
      <c r="E80" s="1">
        <f ca="1">SUM($B$6:C80)/(2*A80)</f>
        <v>6.3656038815351028</v>
      </c>
      <c r="F80" s="1">
        <f ca="1">SUM($E$6:E80)/A80</f>
        <v>6.287528028602865</v>
      </c>
    </row>
    <row r="81" spans="1:6" x14ac:dyDescent="0.25">
      <c r="A81" s="1">
        <v>76</v>
      </c>
      <c r="B81" s="1">
        <f t="shared" ca="1" si="3"/>
        <v>1.3978590963927562</v>
      </c>
      <c r="C81" s="1">
        <f t="shared" ca="1" si="4"/>
        <v>10.207782172058362</v>
      </c>
      <c r="D81" s="1">
        <f t="shared" ca="1" si="5"/>
        <v>1.3978590963927562</v>
      </c>
      <c r="E81" s="1">
        <f ca="1">SUM($B$6:C81)/(2*A81)</f>
        <v>6.358198838807346</v>
      </c>
      <c r="F81" s="1">
        <f ca="1">SUM($E$6:E81)/A81</f>
        <v>6.2884579076845037</v>
      </c>
    </row>
    <row r="82" spans="1:6" x14ac:dyDescent="0.25">
      <c r="A82" s="1">
        <v>77</v>
      </c>
      <c r="B82" s="1">
        <f t="shared" ca="1" si="3"/>
        <v>7.6661551194617967</v>
      </c>
      <c r="C82" s="1">
        <f t="shared" ca="1" si="4"/>
        <v>4.3679044100792197</v>
      </c>
      <c r="D82" s="1">
        <f t="shared" ca="1" si="5"/>
        <v>4.3679044100792197</v>
      </c>
      <c r="E82" s="1">
        <f ca="1">SUM($B$6:C82)/(2*A82)</f>
        <v>6.3537680716120617</v>
      </c>
      <c r="F82" s="1">
        <f ca="1">SUM($E$6:E82)/A82</f>
        <v>6.289306091631615</v>
      </c>
    </row>
    <row r="83" spans="1:6" x14ac:dyDescent="0.25">
      <c r="A83" s="1">
        <v>78</v>
      </c>
      <c r="B83" s="1">
        <f t="shared" ca="1" si="3"/>
        <v>5.8667214008970667</v>
      </c>
      <c r="C83" s="1">
        <f t="shared" ca="1" si="4"/>
        <v>2.339887533159057</v>
      </c>
      <c r="D83" s="1">
        <f t="shared" ca="1" si="5"/>
        <v>2.339887533159057</v>
      </c>
      <c r="E83" s="1">
        <f ca="1">SUM($B$6:C83)/(2*A83)</f>
        <v>6.3249159741173955</v>
      </c>
      <c r="F83" s="1">
        <f ca="1">SUM($E$6:E83)/A83</f>
        <v>6.2897626285865611</v>
      </c>
    </row>
    <row r="84" spans="1:6" x14ac:dyDescent="0.25">
      <c r="A84" s="1">
        <v>79</v>
      </c>
      <c r="B84" s="1">
        <f t="shared" ca="1" si="3"/>
        <v>3.2262040757389587</v>
      </c>
      <c r="C84" s="1">
        <f t="shared" ca="1" si="4"/>
        <v>4.845373465698902</v>
      </c>
      <c r="D84" s="1">
        <f t="shared" ca="1" si="5"/>
        <v>3.2262040757389587</v>
      </c>
      <c r="E84" s="1">
        <f ca="1">SUM($B$6:C84)/(2*A84)</f>
        <v>6.2959396804034906</v>
      </c>
      <c r="F84" s="1">
        <f ca="1">SUM($E$6:E84)/A84</f>
        <v>6.2898408191158888</v>
      </c>
    </row>
    <row r="85" spans="1:6" x14ac:dyDescent="0.25">
      <c r="A85" s="1">
        <v>80</v>
      </c>
      <c r="B85" s="1">
        <f t="shared" ca="1" si="3"/>
        <v>3.2681415256318926</v>
      </c>
      <c r="C85" s="1">
        <f t="shared" ca="1" si="4"/>
        <v>10.603856225274525</v>
      </c>
      <c r="D85" s="1">
        <f t="shared" ca="1" si="5"/>
        <v>3.2681415256318926</v>
      </c>
      <c r="E85" s="1">
        <f ca="1">SUM($B$6:C85)/(2*A85)</f>
        <v>6.3039404203416121</v>
      </c>
      <c r="F85" s="1">
        <f ca="1">SUM($E$6:E85)/A85</f>
        <v>6.2900170641312112</v>
      </c>
    </row>
    <row r="86" spans="1:6" x14ac:dyDescent="0.25">
      <c r="A86" s="1">
        <v>81</v>
      </c>
      <c r="B86" s="1">
        <f t="shared" ca="1" si="3"/>
        <v>7.1130126734083579</v>
      </c>
      <c r="C86" s="1">
        <f t="shared" ca="1" si="4"/>
        <v>13.383222988290429</v>
      </c>
      <c r="D86" s="1">
        <f t="shared" ca="1" si="5"/>
        <v>7.1130126734083579</v>
      </c>
      <c r="E86" s="1">
        <f ca="1">SUM($B$6:C86)/(2*A86)</f>
        <v>6.352633968619485</v>
      </c>
      <c r="F86" s="1">
        <f ca="1">SUM($E$6:E86)/A86</f>
        <v>6.2907901123347703</v>
      </c>
    </row>
    <row r="87" spans="1:6" x14ac:dyDescent="0.25">
      <c r="A87" s="1">
        <v>82</v>
      </c>
      <c r="B87" s="1">
        <f t="shared" ca="1" si="3"/>
        <v>7.747234913709157</v>
      </c>
      <c r="C87" s="1">
        <f t="shared" ca="1" si="4"/>
        <v>0.6804506642041247</v>
      </c>
      <c r="D87" s="1">
        <f t="shared" ca="1" si="5"/>
        <v>0.6804506642041247</v>
      </c>
      <c r="E87" s="1">
        <f ca="1">SUM($B$6:C87)/(2*A87)</f>
        <v>6.3265511493553044</v>
      </c>
      <c r="F87" s="1">
        <f ca="1">SUM($E$6:E87)/A87</f>
        <v>6.2912262225423374</v>
      </c>
    </row>
    <row r="88" spans="1:6" x14ac:dyDescent="0.25">
      <c r="A88" s="1">
        <v>83</v>
      </c>
      <c r="B88" s="1">
        <f t="shared" ca="1" si="3"/>
        <v>2.3789497060833318</v>
      </c>
      <c r="C88" s="1">
        <f t="shared" ca="1" si="4"/>
        <v>12.454051927376605</v>
      </c>
      <c r="D88" s="1">
        <f t="shared" ca="1" si="5"/>
        <v>2.3789497060833318</v>
      </c>
      <c r="E88" s="1">
        <f ca="1">SUM($B$6:C88)/(2*A88)</f>
        <v>6.3396830730586142</v>
      </c>
      <c r="F88" s="1">
        <f ca="1">SUM($E$6:E88)/A88</f>
        <v>6.2918100400184365</v>
      </c>
    </row>
    <row r="89" spans="1:6" x14ac:dyDescent="0.25">
      <c r="A89" s="1">
        <v>84</v>
      </c>
      <c r="B89" s="1">
        <f t="shared" ca="1" si="3"/>
        <v>0.50411731278104166</v>
      </c>
      <c r="C89" s="1">
        <f t="shared" ca="1" si="4"/>
        <v>11.013454082282841</v>
      </c>
      <c r="D89" s="1">
        <f t="shared" ca="1" si="5"/>
        <v>0.50411731278104166</v>
      </c>
      <c r="E89" s="1">
        <f ca="1">SUM($B$6:C89)/(2*A89)</f>
        <v>6.3327676281118688</v>
      </c>
      <c r="F89" s="1">
        <f ca="1">SUM($E$6:E89)/A89</f>
        <v>6.2922976303528833</v>
      </c>
    </row>
    <row r="90" spans="1:6" x14ac:dyDescent="0.25">
      <c r="A90" s="1">
        <v>85</v>
      </c>
      <c r="B90" s="1">
        <f t="shared" ca="1" si="3"/>
        <v>4.3459739731808114</v>
      </c>
      <c r="C90" s="1">
        <f t="shared" ca="1" si="4"/>
        <v>11.962666962656584</v>
      </c>
      <c r="D90" s="1">
        <f t="shared" ca="1" si="5"/>
        <v>4.3459739731808114</v>
      </c>
      <c r="E90" s="1">
        <f ca="1">SUM($B$6:C90)/(2*A90)</f>
        <v>6.3541976615213613</v>
      </c>
      <c r="F90" s="1">
        <f ca="1">SUM($E$6:E90)/A90</f>
        <v>6.2930258660136884</v>
      </c>
    </row>
    <row r="91" spans="1:6" x14ac:dyDescent="0.25">
      <c r="A91" s="1">
        <v>86</v>
      </c>
      <c r="B91" s="1">
        <f t="shared" ca="1" si="3"/>
        <v>9.6572347450606042</v>
      </c>
      <c r="C91" s="1">
        <f t="shared" ca="1" si="4"/>
        <v>4.069148580180018</v>
      </c>
      <c r="D91" s="1">
        <f t="shared" ca="1" si="5"/>
        <v>4.069148580180018</v>
      </c>
      <c r="E91" s="1">
        <f ca="1">SUM($B$6:C91)/(2*A91)</f>
        <v>6.3601161964178612</v>
      </c>
      <c r="F91" s="1">
        <f ca="1">SUM($E$6:E91)/A91</f>
        <v>6.2938059861346662</v>
      </c>
    </row>
    <row r="92" spans="1:6" x14ac:dyDescent="0.25">
      <c r="A92" s="1">
        <v>87</v>
      </c>
      <c r="B92" s="1">
        <f t="shared" ca="1" si="3"/>
        <v>1.4031148557303552</v>
      </c>
      <c r="C92" s="1">
        <f t="shared" ca="1" si="4"/>
        <v>3.0031025359708114</v>
      </c>
      <c r="D92" s="1">
        <f t="shared" ca="1" si="5"/>
        <v>1.4031148557303552</v>
      </c>
      <c r="E92" s="1">
        <f ca="1">SUM($B$6:C92)/(2*A92)</f>
        <v>6.3123345010090413</v>
      </c>
      <c r="F92" s="1">
        <f ca="1">SUM($E$6:E92)/A92</f>
        <v>6.2940189575700041</v>
      </c>
    </row>
    <row r="93" spans="1:6" x14ac:dyDescent="0.25">
      <c r="A93" s="1">
        <v>88</v>
      </c>
      <c r="B93" s="1">
        <f t="shared" ca="1" si="3"/>
        <v>0.79980155084295346</v>
      </c>
      <c r="C93" s="1">
        <f t="shared" ca="1" si="4"/>
        <v>8.7160690900745674</v>
      </c>
      <c r="D93" s="1">
        <f t="shared" ca="1" si="5"/>
        <v>0.79980155084295346</v>
      </c>
      <c r="E93" s="1">
        <f ca="1">SUM($B$6:C93)/(2*A93)</f>
        <v>6.2946708739573332</v>
      </c>
      <c r="F93" s="1">
        <f ca="1">SUM($E$6:E93)/A93</f>
        <v>6.2940263657107689</v>
      </c>
    </row>
    <row r="94" spans="1:6" x14ac:dyDescent="0.25">
      <c r="A94" s="1">
        <v>89</v>
      </c>
      <c r="B94" s="1">
        <f t="shared" ca="1" si="3"/>
        <v>1.7175723560760037</v>
      </c>
      <c r="C94" s="1">
        <f t="shared" ca="1" si="4"/>
        <v>9.5505094318858905</v>
      </c>
      <c r="D94" s="1">
        <f t="shared" ca="1" si="5"/>
        <v>1.7175723560760037</v>
      </c>
      <c r="E94" s="1">
        <f ca="1">SUM($B$6:C94)/(2*A94)</f>
        <v>6.2872480651935545</v>
      </c>
      <c r="F94" s="1">
        <f ca="1">SUM($E$6:E94)/A94</f>
        <v>6.2939502050308</v>
      </c>
    </row>
    <row r="95" spans="1:6" x14ac:dyDescent="0.25">
      <c r="A95" s="1">
        <v>90</v>
      </c>
      <c r="B95" s="1">
        <f t="shared" ca="1" si="3"/>
        <v>9.0072266827789313</v>
      </c>
      <c r="C95" s="1">
        <f t="shared" ca="1" si="4"/>
        <v>5.3486817427974467</v>
      </c>
      <c r="D95" s="1">
        <f t="shared" ca="1" si="5"/>
        <v>5.3486817427974467</v>
      </c>
      <c r="E95" s="1">
        <f ca="1">SUM($B$6:C95)/(2*A95)</f>
        <v>6.2971448001668291</v>
      </c>
      <c r="F95" s="1">
        <f ca="1">SUM($E$6:E95)/A95</f>
        <v>6.2939857005323123</v>
      </c>
    </row>
    <row r="96" spans="1:6" x14ac:dyDescent="0.25">
      <c r="A96" s="1">
        <v>91</v>
      </c>
      <c r="B96" s="1">
        <f t="shared" ca="1" si="3"/>
        <v>1.7144482657221549</v>
      </c>
      <c r="C96" s="1">
        <f t="shared" ca="1" si="4"/>
        <v>14.727514051954467</v>
      </c>
      <c r="D96" s="1">
        <f t="shared" ca="1" si="5"/>
        <v>1.7144482657221549</v>
      </c>
      <c r="E96" s="1">
        <f ca="1">SUM($B$6:C96)/(2*A96)</f>
        <v>6.3182858590533284</v>
      </c>
      <c r="F96" s="1">
        <f ca="1">SUM($E$6:E96)/A96</f>
        <v>6.2942527352413338</v>
      </c>
    </row>
    <row r="97" spans="1:6" x14ac:dyDescent="0.25">
      <c r="A97" s="1">
        <v>92</v>
      </c>
      <c r="B97" s="1">
        <f t="shared" ca="1" si="3"/>
        <v>7.4686403091719153</v>
      </c>
      <c r="C97" s="1">
        <f t="shared" ca="1" si="4"/>
        <v>3.788066952491655</v>
      </c>
      <c r="D97" s="1">
        <f t="shared" ca="1" si="5"/>
        <v>3.788066952491655</v>
      </c>
      <c r="E97" s="1">
        <f ca="1">SUM($B$6:C97)/(2*A97)</f>
        <v>6.3107865957030933</v>
      </c>
      <c r="F97" s="1">
        <f ca="1">SUM($E$6:E97)/A97</f>
        <v>6.2944324511159184</v>
      </c>
    </row>
    <row r="98" spans="1:6" x14ac:dyDescent="0.25">
      <c r="A98" s="1">
        <v>93</v>
      </c>
      <c r="B98" s="1">
        <f t="shared" ca="1" si="3"/>
        <v>3.2940184916064865</v>
      </c>
      <c r="C98" s="1">
        <f t="shared" ca="1" si="4"/>
        <v>2.2955139024278575</v>
      </c>
      <c r="D98" s="1">
        <f t="shared" ca="1" si="5"/>
        <v>2.2955139024278575</v>
      </c>
      <c r="E98" s="1">
        <f ca="1">SUM($B$6:C98)/(2*A98)</f>
        <v>6.2729799247494817</v>
      </c>
      <c r="F98" s="1">
        <f ca="1">SUM($E$6:E98)/A98</f>
        <v>6.2942017787893976</v>
      </c>
    </row>
    <row r="99" spans="1:6" x14ac:dyDescent="0.25">
      <c r="A99" s="1">
        <v>94</v>
      </c>
      <c r="B99" s="1">
        <f t="shared" ca="1" si="3"/>
        <v>1.7678040541928774</v>
      </c>
      <c r="C99" s="1">
        <f t="shared" ca="1" si="4"/>
        <v>9.6438900180973377</v>
      </c>
      <c r="D99" s="1">
        <f t="shared" ca="1" si="5"/>
        <v>1.7678040541928774</v>
      </c>
      <c r="E99" s="1">
        <f ca="1">SUM($B$6:C99)/(2*A99)</f>
        <v>6.2669465961473074</v>
      </c>
      <c r="F99" s="1">
        <f ca="1">SUM($E$6:E99)/A99</f>
        <v>6.2939118300378869</v>
      </c>
    </row>
    <row r="100" spans="1:6" x14ac:dyDescent="0.25">
      <c r="A100" s="1">
        <v>95</v>
      </c>
      <c r="B100" s="1">
        <f t="shared" ca="1" si="3"/>
        <v>7.490016676687099</v>
      </c>
      <c r="C100" s="1">
        <f t="shared" ca="1" si="4"/>
        <v>13.684422747295649</v>
      </c>
      <c r="D100" s="1">
        <f t="shared" ca="1" si="5"/>
        <v>7.490016676687099</v>
      </c>
      <c r="E100" s="1">
        <f ca="1">SUM($B$6:C100)/(2*A100)</f>
        <v>6.3124231552614551</v>
      </c>
      <c r="F100" s="1">
        <f ca="1">SUM($E$6:E100)/A100</f>
        <v>6.2941066860928707</v>
      </c>
    </row>
    <row r="101" spans="1:6" x14ac:dyDescent="0.25">
      <c r="A101" s="1">
        <v>96</v>
      </c>
      <c r="B101" s="1">
        <f t="shared" ca="1" si="3"/>
        <v>4.7819654428381426</v>
      </c>
      <c r="C101" s="1">
        <f t="shared" ca="1" si="4"/>
        <v>2.4408435692749375</v>
      </c>
      <c r="D101" s="1">
        <f t="shared" ca="1" si="5"/>
        <v>2.4408435692749375</v>
      </c>
      <c r="E101" s="1">
        <f ca="1">SUM($B$6:C101)/(2*A101)</f>
        <v>6.284287544332237</v>
      </c>
      <c r="F101" s="1">
        <f ca="1">SUM($E$6:E101)/A101</f>
        <v>6.2940044033661975</v>
      </c>
    </row>
    <row r="102" spans="1:6" x14ac:dyDescent="0.25">
      <c r="A102" s="1">
        <v>97</v>
      </c>
      <c r="B102" s="1">
        <f t="shared" ca="1" si="3"/>
        <v>8.683971977554906</v>
      </c>
      <c r="C102" s="1">
        <f t="shared" ca="1" si="4"/>
        <v>11.754363010262402</v>
      </c>
      <c r="D102" s="1">
        <f t="shared" ca="1" si="5"/>
        <v>8.683971977554906</v>
      </c>
      <c r="E102" s="1">
        <f ca="1">SUM($B$6:C102)/(2*A102)</f>
        <v>6.3248533170082819</v>
      </c>
      <c r="F102" s="1">
        <f ca="1">SUM($E$6:E102)/A102</f>
        <v>6.2943224334037451</v>
      </c>
    </row>
    <row r="103" spans="1:6" x14ac:dyDescent="0.25">
      <c r="A103" s="1">
        <v>98</v>
      </c>
      <c r="B103" s="1">
        <f t="shared" ca="1" si="3"/>
        <v>0.12178241543562618</v>
      </c>
      <c r="C103" s="1">
        <f t="shared" ca="1" si="4"/>
        <v>7.5070189030512902</v>
      </c>
      <c r="D103" s="1">
        <f t="shared" ca="1" si="5"/>
        <v>0.12178241543562618</v>
      </c>
      <c r="E103" s="1">
        <f ca="1">SUM($B$6:C103)/(2*A103)</f>
        <v>6.2992364531535383</v>
      </c>
      <c r="F103" s="1">
        <f ca="1">SUM($E$6:E103)/A103</f>
        <v>6.2943725764624157</v>
      </c>
    </row>
    <row r="104" spans="1:6" x14ac:dyDescent="0.25">
      <c r="A104" s="1">
        <v>99</v>
      </c>
      <c r="B104" s="1">
        <f t="shared" ca="1" si="3"/>
        <v>7.8274281487992177</v>
      </c>
      <c r="C104" s="1">
        <f t="shared" ca="1" si="4"/>
        <v>6.0855314544207255</v>
      </c>
      <c r="D104" s="1">
        <f t="shared" ca="1" si="5"/>
        <v>6.0855314544207255</v>
      </c>
      <c r="E104" s="1">
        <f ca="1">SUM($B$6:C104)/(2*A104)</f>
        <v>6.3058752748551195</v>
      </c>
      <c r="F104" s="1">
        <f ca="1">SUM($E$6:E104)/A104</f>
        <v>6.2944887653350694</v>
      </c>
    </row>
    <row r="105" spans="1:6" x14ac:dyDescent="0.25">
      <c r="A105" s="1">
        <v>100</v>
      </c>
      <c r="B105" s="1">
        <f t="shared" ca="1" si="3"/>
        <v>6.0513887016178112</v>
      </c>
      <c r="C105" s="1">
        <f t="shared" ca="1" si="4"/>
        <v>8.2475738765928899</v>
      </c>
      <c r="D105" s="1">
        <f t="shared" ca="1" si="5"/>
        <v>6.0513887016178112</v>
      </c>
      <c r="E105" s="1">
        <f ca="1">SUM($B$6:C105)/(2*A105)</f>
        <v>6.3143113349976216</v>
      </c>
      <c r="F105" s="1">
        <f ca="1">SUM($E$6:E105)/A105</f>
        <v>6.2946869910316945</v>
      </c>
    </row>
    <row r="106" spans="1:6" x14ac:dyDescent="0.25">
      <c r="A106" s="1">
        <v>101</v>
      </c>
      <c r="B106" s="1">
        <f t="shared" ca="1" si="3"/>
        <v>4.4339625902794166</v>
      </c>
      <c r="C106" s="1">
        <f t="shared" ca="1" si="4"/>
        <v>1.0488612676694642</v>
      </c>
      <c r="D106" s="1">
        <f t="shared" ca="1" si="5"/>
        <v>1.0488612676694642</v>
      </c>
      <c r="E106" s="1">
        <f ca="1">SUM($B$6:C106)/(2*A106)</f>
        <v>6.2789360933538276</v>
      </c>
      <c r="F106" s="1">
        <f ca="1">SUM($E$6:E106)/A106</f>
        <v>6.2945310415497362</v>
      </c>
    </row>
    <row r="107" spans="1:6" x14ac:dyDescent="0.25">
      <c r="A107" s="1">
        <v>102</v>
      </c>
      <c r="B107" s="1">
        <f t="shared" ca="1" si="3"/>
        <v>5.6163702623365257</v>
      </c>
      <c r="C107" s="1">
        <f t="shared" ca="1" si="4"/>
        <v>3.5757241799599813</v>
      </c>
      <c r="D107" s="1">
        <f t="shared" ca="1" si="5"/>
        <v>3.5757241799599813</v>
      </c>
      <c r="E107" s="1">
        <f ca="1">SUM($B$6:C107)/(2*A107)</f>
        <v>6.2624371828420076</v>
      </c>
      <c r="F107" s="1">
        <f ca="1">SUM($E$6:E107)/A107</f>
        <v>6.2942163958761315</v>
      </c>
    </row>
    <row r="108" spans="1:6" x14ac:dyDescent="0.25">
      <c r="A108" s="1">
        <v>103</v>
      </c>
      <c r="B108" s="1">
        <f t="shared" ca="1" si="3"/>
        <v>9.4523393749218627</v>
      </c>
      <c r="C108" s="1">
        <f t="shared" ca="1" si="4"/>
        <v>2.0500275343122958</v>
      </c>
      <c r="D108" s="1">
        <f t="shared" ca="1" si="5"/>
        <v>2.0500275343122958</v>
      </c>
      <c r="E108" s="1">
        <f ca="1">SUM($B$6:C108)/(2*A108)</f>
        <v>6.2574735544126394</v>
      </c>
      <c r="F108" s="1">
        <f ca="1">SUM($E$6:E108)/A108</f>
        <v>6.2938596692599811</v>
      </c>
    </row>
    <row r="109" spans="1:6" x14ac:dyDescent="0.25">
      <c r="A109" s="1">
        <v>104</v>
      </c>
      <c r="B109" s="1">
        <f t="shared" ca="1" si="3"/>
        <v>0.40930096084605294</v>
      </c>
      <c r="C109" s="1">
        <f t="shared" ca="1" si="4"/>
        <v>12.230511193368457</v>
      </c>
      <c r="D109" s="1">
        <f t="shared" ca="1" si="5"/>
        <v>0.40930096084605294</v>
      </c>
      <c r="E109" s="1">
        <f ca="1">SUM($B$6:C109)/(2*A109)</f>
        <v>6.2580738671308564</v>
      </c>
      <c r="F109" s="1">
        <f ca="1">SUM($E$6:E109)/A109</f>
        <v>6.2935155750087395</v>
      </c>
    </row>
    <row r="110" spans="1:6" x14ac:dyDescent="0.25">
      <c r="A110" s="1">
        <v>105</v>
      </c>
      <c r="B110" s="1">
        <f t="shared" ca="1" si="3"/>
        <v>0.46112729096857819</v>
      </c>
      <c r="C110" s="1">
        <f t="shared" ca="1" si="4"/>
        <v>10.457689135630492</v>
      </c>
      <c r="D110" s="1">
        <f t="shared" ca="1" si="5"/>
        <v>0.46112729096857819</v>
      </c>
      <c r="E110" s="1">
        <f ca="1">SUM($B$6:C110)/(2*A110)</f>
        <v>6.2504675275705583</v>
      </c>
      <c r="F110" s="1">
        <f ca="1">SUM($E$6:E110)/A110</f>
        <v>6.2931055936045661</v>
      </c>
    </row>
    <row r="111" spans="1:6" x14ac:dyDescent="0.25">
      <c r="A111" s="1">
        <v>106</v>
      </c>
      <c r="B111" s="1">
        <f t="shared" ca="1" si="3"/>
        <v>4.9099106444218146</v>
      </c>
      <c r="C111" s="1">
        <f t="shared" ca="1" si="4"/>
        <v>3.0652276690129412</v>
      </c>
      <c r="D111" s="1">
        <f t="shared" ca="1" si="5"/>
        <v>3.0652276690129412</v>
      </c>
      <c r="E111" s="1">
        <f ca="1">SUM($B$6:C111)/(2*A111)</f>
        <v>6.2291194297323207</v>
      </c>
      <c r="F111" s="1">
        <f ca="1">SUM($E$6:E111)/A111</f>
        <v>6.2925019505491679</v>
      </c>
    </row>
    <row r="112" spans="1:6" x14ac:dyDescent="0.25">
      <c r="A112" s="1">
        <v>107</v>
      </c>
      <c r="B112" s="1">
        <f t="shared" ca="1" si="3"/>
        <v>3.3167406530732313</v>
      </c>
      <c r="C112" s="1">
        <f t="shared" ca="1" si="4"/>
        <v>9.8747758092574038</v>
      </c>
      <c r="D112" s="1">
        <f t="shared" ca="1" si="5"/>
        <v>3.3167406530732313</v>
      </c>
      <c r="E112" s="1">
        <f ca="1">SUM($B$6:C112)/(2*A112)</f>
        <v>6.2325459605868359</v>
      </c>
      <c r="F112" s="1">
        <f ca="1">SUM($E$6:E112)/A112</f>
        <v>6.2919416141943803</v>
      </c>
    </row>
    <row r="113" spans="1:6" x14ac:dyDescent="0.25">
      <c r="A113" s="1">
        <v>108</v>
      </c>
      <c r="B113" s="1">
        <f t="shared" ca="1" si="3"/>
        <v>7.9089259607537237</v>
      </c>
      <c r="C113" s="1">
        <f t="shared" ca="1" si="4"/>
        <v>7.500651957298559</v>
      </c>
      <c r="D113" s="1">
        <f t="shared" ca="1" si="5"/>
        <v>7.500651957298559</v>
      </c>
      <c r="E113" s="1">
        <f ca="1">SUM($B$6:C113)/(2*A113)</f>
        <v>6.2461778402020149</v>
      </c>
      <c r="F113" s="1">
        <f ca="1">SUM($E$6:E113)/A113</f>
        <v>6.2915178755463028</v>
      </c>
    </row>
    <row r="114" spans="1:6" x14ac:dyDescent="0.25">
      <c r="A114" s="1">
        <v>109</v>
      </c>
      <c r="B114" s="1">
        <f t="shared" ca="1" si="3"/>
        <v>0.30935269898717532</v>
      </c>
      <c r="C114" s="1">
        <f t="shared" ca="1" si="4"/>
        <v>1.7688297071770305</v>
      </c>
      <c r="D114" s="1">
        <f t="shared" ca="1" si="5"/>
        <v>0.30935269898717532</v>
      </c>
      <c r="E114" s="1">
        <f ca="1">SUM($B$6:C114)/(2*A114)</f>
        <v>6.198406403164217</v>
      </c>
      <c r="F114" s="1">
        <f ca="1">SUM($E$6:E114)/A114</f>
        <v>6.2906636418547235</v>
      </c>
    </row>
    <row r="115" spans="1:6" x14ac:dyDescent="0.25">
      <c r="A115" s="1">
        <v>110</v>
      </c>
      <c r="B115" s="1">
        <f t="shared" ca="1" si="3"/>
        <v>7.3474445559851578</v>
      </c>
      <c r="C115" s="1">
        <f t="shared" ca="1" si="4"/>
        <v>5.6425443828879995</v>
      </c>
      <c r="D115" s="1">
        <f t="shared" ca="1" si="5"/>
        <v>5.6425443828879995</v>
      </c>
      <c r="E115" s="1">
        <f ca="1">SUM($B$6:C115)/(2*A115)</f>
        <v>6.2011026583121476</v>
      </c>
      <c r="F115" s="1">
        <f ca="1">SUM($E$6:E115)/A115</f>
        <v>6.2898494510952458</v>
      </c>
    </row>
    <row r="116" spans="1:6" x14ac:dyDescent="0.25">
      <c r="A116" s="1">
        <v>111</v>
      </c>
      <c r="B116" s="1">
        <f t="shared" ca="1" si="3"/>
        <v>1.217744102877103</v>
      </c>
      <c r="C116" s="1">
        <f t="shared" ca="1" si="4"/>
        <v>2.9554513245280161</v>
      </c>
      <c r="D116" s="1">
        <f t="shared" ca="1" si="5"/>
        <v>1.217744102877103</v>
      </c>
      <c r="E116" s="1">
        <f ca="1">SUM($B$6:C116)/(2*A116)</f>
        <v>6.1640350461985474</v>
      </c>
      <c r="F116" s="1">
        <f ca="1">SUM($E$6:E116)/A116</f>
        <v>6.288715987988069</v>
      </c>
    </row>
    <row r="117" spans="1:6" x14ac:dyDescent="0.25">
      <c r="A117" s="1">
        <v>112</v>
      </c>
      <c r="B117" s="1">
        <f t="shared" ca="1" si="3"/>
        <v>7.2847695879741075</v>
      </c>
      <c r="C117" s="1">
        <f t="shared" ca="1" si="4"/>
        <v>10.786633775617512</v>
      </c>
      <c r="D117" s="1">
        <f t="shared" ca="1" si="5"/>
        <v>7.2847695879741075</v>
      </c>
      <c r="E117" s="1">
        <f ca="1">SUM($B$6:C117)/(2*A117)</f>
        <v>6.1896749268735229</v>
      </c>
      <c r="F117" s="1">
        <f ca="1">SUM($E$6:E117)/A117</f>
        <v>6.2878316927995455</v>
      </c>
    </row>
    <row r="118" spans="1:6" x14ac:dyDescent="0.25">
      <c r="A118" s="1">
        <v>113</v>
      </c>
      <c r="B118" s="1">
        <f t="shared" ca="1" si="3"/>
        <v>6.5183522415981212</v>
      </c>
      <c r="C118" s="1">
        <f t="shared" ca="1" si="4"/>
        <v>13.237511061932899</v>
      </c>
      <c r="D118" s="1">
        <f t="shared" ca="1" si="5"/>
        <v>6.5183522415981212</v>
      </c>
      <c r="E118" s="1">
        <f ca="1">SUM($B$6:C118)/(2*A118)</f>
        <v>6.2223143669168159</v>
      </c>
      <c r="F118" s="1">
        <f ca="1">SUM($E$6:E118)/A118</f>
        <v>6.2872518934554513</v>
      </c>
    </row>
    <row r="119" spans="1:6" x14ac:dyDescent="0.25">
      <c r="A119" s="1">
        <v>114</v>
      </c>
      <c r="B119" s="1">
        <f t="shared" ca="1" si="3"/>
        <v>6.5103152103947481</v>
      </c>
      <c r="C119" s="1">
        <f t="shared" ca="1" si="4"/>
        <v>2.6829166912642211</v>
      </c>
      <c r="D119" s="1">
        <f t="shared" ca="1" si="5"/>
        <v>2.6829166912642211</v>
      </c>
      <c r="E119" s="1">
        <f ca="1">SUM($B$6:C119)/(2*A119)</f>
        <v>6.208053854494997</v>
      </c>
      <c r="F119" s="1">
        <f ca="1">SUM($E$6:E119)/A119</f>
        <v>6.2865571738154475</v>
      </c>
    </row>
    <row r="120" spans="1:6" x14ac:dyDescent="0.25">
      <c r="A120" s="1">
        <v>115</v>
      </c>
      <c r="B120" s="1">
        <f t="shared" ca="1" si="3"/>
        <v>5.2181165293106515</v>
      </c>
      <c r="C120" s="1">
        <f t="shared" ca="1" si="4"/>
        <v>14.328843874805411</v>
      </c>
      <c r="D120" s="1">
        <f t="shared" ca="1" si="5"/>
        <v>5.2181165293106515</v>
      </c>
      <c r="E120" s="1">
        <f ca="1">SUM($B$6:C120)/(2*A120)</f>
        <v>6.2390575618651107</v>
      </c>
      <c r="F120" s="1">
        <f ca="1">SUM($E$6:E120)/A120</f>
        <v>6.2861441337115318</v>
      </c>
    </row>
    <row r="121" spans="1:6" x14ac:dyDescent="0.25">
      <c r="A121" s="1">
        <v>116</v>
      </c>
      <c r="B121" s="1">
        <f t="shared" ca="1" si="3"/>
        <v>8.9042527836121685</v>
      </c>
      <c r="C121" s="1">
        <f t="shared" ca="1" si="4"/>
        <v>9.2180200606917726</v>
      </c>
      <c r="D121" s="1">
        <f t="shared" ca="1" si="5"/>
        <v>8.9042527836121685</v>
      </c>
      <c r="E121" s="1">
        <f ca="1">SUM($B$6:C121)/(2*A121)</f>
        <v>6.2633858279020664</v>
      </c>
      <c r="F121" s="1">
        <f ca="1">SUM($E$6:E121)/A121</f>
        <v>6.285947941420071</v>
      </c>
    </row>
    <row r="122" spans="1:6" x14ac:dyDescent="0.25">
      <c r="A122" s="1">
        <v>117</v>
      </c>
      <c r="B122" s="1">
        <f t="shared" ca="1" si="3"/>
        <v>3.0106091780296564</v>
      </c>
      <c r="C122" s="1">
        <f t="shared" ca="1" si="4"/>
        <v>9.0514606861845976</v>
      </c>
      <c r="D122" s="1">
        <f t="shared" ca="1" si="5"/>
        <v>3.0106091780296564</v>
      </c>
      <c r="E122" s="1">
        <f ca="1">SUM($B$6:C122)/(2*A122)</f>
        <v>6.2613999228098018</v>
      </c>
      <c r="F122" s="1">
        <f ca="1">SUM($E$6:E122)/A122</f>
        <v>6.285738129295197</v>
      </c>
    </row>
    <row r="123" spans="1:6" x14ac:dyDescent="0.25">
      <c r="A123" s="1">
        <v>118</v>
      </c>
      <c r="B123" s="1">
        <f t="shared" ca="1" si="3"/>
        <v>3.877618687626736</v>
      </c>
      <c r="C123" s="1">
        <f t="shared" ca="1" si="4"/>
        <v>5.4409742666310228</v>
      </c>
      <c r="D123" s="1">
        <f t="shared" ca="1" si="5"/>
        <v>3.877618687626736</v>
      </c>
      <c r="E123" s="1">
        <f ca="1">SUM($B$6:C123)/(2*A123)</f>
        <v>6.2478227749650479</v>
      </c>
      <c r="F123" s="1">
        <f ca="1">SUM($E$6:E123)/A123</f>
        <v>6.285416812733077</v>
      </c>
    </row>
    <row r="124" spans="1:6" x14ac:dyDescent="0.25">
      <c r="A124" s="1">
        <v>119</v>
      </c>
      <c r="B124" s="1">
        <f t="shared" ca="1" si="3"/>
        <v>9.012608977828517</v>
      </c>
      <c r="C124" s="1">
        <f t="shared" ca="1" si="4"/>
        <v>9.5005060990915045</v>
      </c>
      <c r="D124" s="1">
        <f t="shared" ca="1" si="5"/>
        <v>9.012608977828517</v>
      </c>
      <c r="E124" s="1">
        <f ca="1">SUM($B$6:C124)/(2*A124)</f>
        <v>6.2731062603725682</v>
      </c>
      <c r="F124" s="1">
        <f ca="1">SUM($E$6:E124)/A124</f>
        <v>6.2853133627132403</v>
      </c>
    </row>
    <row r="125" spans="1:6" x14ac:dyDescent="0.25">
      <c r="A125" s="1">
        <v>120</v>
      </c>
      <c r="B125" s="1">
        <f t="shared" ca="1" si="3"/>
        <v>4.4409699296991239</v>
      </c>
      <c r="C125" s="1">
        <f t="shared" ca="1" si="4"/>
        <v>13.661160346603653</v>
      </c>
      <c r="D125" s="1">
        <f t="shared" ca="1" si="5"/>
        <v>4.4409699296991239</v>
      </c>
      <c r="E125" s="1">
        <f ca="1">SUM($B$6:C125)/(2*A125)</f>
        <v>6.2962559176873922</v>
      </c>
      <c r="F125" s="1">
        <f ca="1">SUM($E$6:E125)/A125</f>
        <v>6.2854045506713581</v>
      </c>
    </row>
    <row r="126" spans="1:6" x14ac:dyDescent="0.25">
      <c r="A126" s="1">
        <v>121</v>
      </c>
      <c r="B126" s="1">
        <f t="shared" ca="1" si="3"/>
        <v>9.1880765725491624</v>
      </c>
      <c r="C126" s="1">
        <f t="shared" ca="1" si="4"/>
        <v>2.3276521558260654</v>
      </c>
      <c r="D126" s="1">
        <f t="shared" ca="1" si="5"/>
        <v>2.3276521558260654</v>
      </c>
      <c r="E126" s="1">
        <f ca="1">SUM($B$6:C126)/(2*A126)</f>
        <v>6.2918064007163199</v>
      </c>
      <c r="F126" s="1">
        <f ca="1">SUM($E$6:E126)/A126</f>
        <v>6.285457458522969</v>
      </c>
    </row>
    <row r="127" spans="1:6" x14ac:dyDescent="0.25">
      <c r="A127" s="1">
        <v>122</v>
      </c>
      <c r="B127" s="1">
        <f t="shared" ca="1" si="3"/>
        <v>3.0542861229579845</v>
      </c>
      <c r="C127" s="1">
        <f t="shared" ca="1" si="4"/>
        <v>4.6502611257529631</v>
      </c>
      <c r="D127" s="1">
        <f t="shared" ca="1" si="5"/>
        <v>3.0542861229579845</v>
      </c>
      <c r="E127" s="1">
        <f ca="1">SUM($B$6:C127)/(2*A127)</f>
        <v>6.2718102304182803</v>
      </c>
      <c r="F127" s="1">
        <f ca="1">SUM($E$6:E127)/A127</f>
        <v>6.2853455959975202</v>
      </c>
    </row>
    <row r="128" spans="1:6" x14ac:dyDescent="0.25">
      <c r="A128" s="1">
        <v>123</v>
      </c>
      <c r="B128" s="1">
        <f t="shared" ca="1" si="3"/>
        <v>4.9291679430602331</v>
      </c>
      <c r="C128" s="1">
        <f t="shared" ca="1" si="4"/>
        <v>7.200254636265921</v>
      </c>
      <c r="D128" s="1">
        <f t="shared" ca="1" si="5"/>
        <v>4.9291679430602331</v>
      </c>
      <c r="E128" s="1">
        <f ca="1">SUM($B$6:C128)/(2*A128)</f>
        <v>6.2701264991926289</v>
      </c>
      <c r="F128" s="1">
        <f ca="1">SUM($E$6:E128)/A128</f>
        <v>6.285221863503172</v>
      </c>
    </row>
    <row r="129" spans="1:6" x14ac:dyDescent="0.25">
      <c r="A129" s="1">
        <v>124</v>
      </c>
      <c r="B129" s="1">
        <f t="shared" ca="1" si="3"/>
        <v>8.6905056590681724</v>
      </c>
      <c r="C129" s="1">
        <f t="shared" ca="1" si="4"/>
        <v>12.380204127975045</v>
      </c>
      <c r="D129" s="1">
        <f t="shared" ca="1" si="5"/>
        <v>8.6905056590681724</v>
      </c>
      <c r="E129" s="1">
        <f ca="1">SUM($B$6:C129)/(2*A129)</f>
        <v>6.3045235023727004</v>
      </c>
      <c r="F129" s="1">
        <f ca="1">SUM($E$6:E129)/A129</f>
        <v>6.2853775218811521</v>
      </c>
    </row>
    <row r="130" spans="1:6" x14ac:dyDescent="0.25">
      <c r="A130" s="1">
        <v>125</v>
      </c>
      <c r="B130" s="1">
        <f t="shared" ca="1" si="3"/>
        <v>5.8292080628249945</v>
      </c>
      <c r="C130" s="1">
        <f t="shared" ca="1" si="4"/>
        <v>1.9866055017927748</v>
      </c>
      <c r="D130" s="1">
        <f t="shared" ca="1" si="5"/>
        <v>1.9866055017927748</v>
      </c>
      <c r="E130" s="1">
        <f ca="1">SUM($B$6:C130)/(2*A130)</f>
        <v>6.2853505686121904</v>
      </c>
      <c r="F130" s="1">
        <f ca="1">SUM($E$6:E130)/A130</f>
        <v>6.2853773062550005</v>
      </c>
    </row>
    <row r="131" spans="1:6" x14ac:dyDescent="0.25">
      <c r="A131" s="1">
        <v>126</v>
      </c>
      <c r="B131" s="1">
        <f t="shared" ca="1" si="3"/>
        <v>3.084465532962529</v>
      </c>
      <c r="C131" s="1">
        <f t="shared" ca="1" si="4"/>
        <v>5.3603502531017559</v>
      </c>
      <c r="D131" s="1">
        <f t="shared" ca="1" si="5"/>
        <v>3.084465532962529</v>
      </c>
      <c r="E131" s="1">
        <f ca="1">SUM($B$6:C131)/(2*A131)</f>
        <v>6.2689780076948889</v>
      </c>
      <c r="F131" s="1">
        <f ca="1">SUM($E$6:E131)/A131</f>
        <v>6.2852471530918246</v>
      </c>
    </row>
    <row r="132" spans="1:6" x14ac:dyDescent="0.25">
      <c r="A132" s="1">
        <v>127</v>
      </c>
      <c r="B132" s="1">
        <f t="shared" ca="1" si="3"/>
        <v>7.697623581811329</v>
      </c>
      <c r="C132" s="1">
        <f t="shared" ca="1" si="4"/>
        <v>10.678902316307896</v>
      </c>
      <c r="D132" s="1">
        <f t="shared" ca="1" si="5"/>
        <v>7.697623581811329</v>
      </c>
      <c r="E132" s="1">
        <f ca="1">SUM($B$6:C132)/(2*A132)</f>
        <v>6.2919645032961853</v>
      </c>
      <c r="F132" s="1">
        <f ca="1">SUM($E$6:E132)/A132</f>
        <v>6.2853000456131189</v>
      </c>
    </row>
    <row r="133" spans="1:6" x14ac:dyDescent="0.25">
      <c r="A133" s="1">
        <v>128</v>
      </c>
      <c r="B133" s="1">
        <f t="shared" ca="1" si="3"/>
        <v>8.8979459589460905</v>
      </c>
      <c r="C133" s="1">
        <f t="shared" ca="1" si="4"/>
        <v>12.535182443998915</v>
      </c>
      <c r="D133" s="1">
        <f t="shared" ca="1" si="5"/>
        <v>8.8979459589460905</v>
      </c>
      <c r="E133" s="1">
        <f ca="1">SUM($B$6:C133)/(2*A133)</f>
        <v>6.3265316884381884</v>
      </c>
      <c r="F133" s="1">
        <f ca="1">SUM($E$6:E133)/A133</f>
        <v>6.28562216782269</v>
      </c>
    </row>
    <row r="134" spans="1:6" x14ac:dyDescent="0.25">
      <c r="A134" s="1">
        <v>129</v>
      </c>
      <c r="B134" s="1">
        <f t="shared" ca="1" si="3"/>
        <v>5.8782906451880468</v>
      </c>
      <c r="C134" s="1">
        <f t="shared" ca="1" si="4"/>
        <v>13.397906220836255</v>
      </c>
      <c r="D134" s="1">
        <f t="shared" ca="1" si="5"/>
        <v>5.8782906451880468</v>
      </c>
      <c r="E134" s="1">
        <f ca="1">SUM($B$6:C134)/(2*A134)</f>
        <v>6.352202748473645</v>
      </c>
      <c r="F134" s="1">
        <f ca="1">SUM($E$6:E134)/A134</f>
        <v>6.286138296354868</v>
      </c>
    </row>
    <row r="135" spans="1:6" x14ac:dyDescent="0.25">
      <c r="A135" s="1">
        <v>130</v>
      </c>
      <c r="B135" s="1">
        <f t="shared" ref="B135:B198" ca="1" si="6">RAND()*$D$1</f>
        <v>8.013731943609006</v>
      </c>
      <c r="C135" s="1">
        <f t="shared" ref="C135:C198" ca="1" si="7">RAND()*$D$2</f>
        <v>5.837561922963908</v>
      </c>
      <c r="D135" s="1">
        <f t="shared" ref="D135:D198" ca="1" si="8">MIN(B135:C135)</f>
        <v>5.837561922963908</v>
      </c>
      <c r="E135" s="1">
        <f ca="1">SUM($B$6:C135)/(2*A135)</f>
        <v>6.3566138575875897</v>
      </c>
      <c r="F135" s="1">
        <f ca="1">SUM($E$6:E135)/A135</f>
        <v>6.2866804160566589</v>
      </c>
    </row>
    <row r="136" spans="1:6" x14ac:dyDescent="0.25">
      <c r="A136" s="1">
        <v>131</v>
      </c>
      <c r="B136" s="1">
        <f t="shared" ca="1" si="6"/>
        <v>2.4912024137346336</v>
      </c>
      <c r="C136" s="1">
        <f t="shared" ca="1" si="7"/>
        <v>6.9882634444117633</v>
      </c>
      <c r="D136" s="1">
        <f t="shared" ca="1" si="8"/>
        <v>2.4912024137346336</v>
      </c>
      <c r="E136" s="1">
        <f ca="1">SUM($B$6:C136)/(2*A136)</f>
        <v>6.3442712550798461</v>
      </c>
      <c r="F136" s="1">
        <f ca="1">SUM($E$6:E136)/A136</f>
        <v>6.2871200407820265</v>
      </c>
    </row>
    <row r="137" spans="1:6" x14ac:dyDescent="0.25">
      <c r="A137" s="1">
        <v>132</v>
      </c>
      <c r="B137" s="1">
        <f t="shared" ca="1" si="6"/>
        <v>7.654627428907526</v>
      </c>
      <c r="C137" s="1">
        <f t="shared" ca="1" si="7"/>
        <v>4.1046178953248607</v>
      </c>
      <c r="D137" s="1">
        <f t="shared" ca="1" si="8"/>
        <v>4.1046178953248607</v>
      </c>
      <c r="E137" s="1">
        <f ca="1">SUM($B$6:C137)/(2*A137)</f>
        <v>6.3407511899816376</v>
      </c>
      <c r="F137" s="1">
        <f ca="1">SUM($E$6:E137)/A137</f>
        <v>6.2875263373668728</v>
      </c>
    </row>
    <row r="138" spans="1:6" x14ac:dyDescent="0.25">
      <c r="A138" s="1">
        <v>133</v>
      </c>
      <c r="B138" s="1">
        <f t="shared" ca="1" si="6"/>
        <v>9.503207048975268</v>
      </c>
      <c r="C138" s="1">
        <f t="shared" ca="1" si="7"/>
        <v>14.53132384748011</v>
      </c>
      <c r="D138" s="1">
        <f t="shared" ca="1" si="8"/>
        <v>9.503207048975268</v>
      </c>
      <c r="E138" s="1">
        <f ca="1">SUM($B$6:C138)/(2*A138)</f>
        <v>6.3834317483143144</v>
      </c>
      <c r="F138" s="1">
        <f ca="1">SUM($E$6:E138)/A138</f>
        <v>6.2882474306822678</v>
      </c>
    </row>
    <row r="139" spans="1:6" x14ac:dyDescent="0.25">
      <c r="A139" s="1">
        <v>134</v>
      </c>
      <c r="B139" s="1">
        <f t="shared" ca="1" si="6"/>
        <v>6.6821932777774116</v>
      </c>
      <c r="C139" s="1">
        <f t="shared" ca="1" si="7"/>
        <v>8.5736861425745694</v>
      </c>
      <c r="D139" s="1">
        <f t="shared" ca="1" si="8"/>
        <v>6.6821932777774116</v>
      </c>
      <c r="E139" s="1">
        <f ca="1">SUM($B$6:C139)/(2*A139)</f>
        <v>6.3927191211640295</v>
      </c>
      <c r="F139" s="1">
        <f ca="1">SUM($E$6:E139)/A139</f>
        <v>6.289027070163475</v>
      </c>
    </row>
    <row r="140" spans="1:6" x14ac:dyDescent="0.25">
      <c r="A140" s="1">
        <v>135</v>
      </c>
      <c r="B140" s="1">
        <f t="shared" ca="1" si="6"/>
        <v>2.5896402674834826</v>
      </c>
      <c r="C140" s="1">
        <f t="shared" ca="1" si="7"/>
        <v>9.7271771891850065</v>
      </c>
      <c r="D140" s="1">
        <f t="shared" ca="1" si="8"/>
        <v>2.5896402674834826</v>
      </c>
      <c r="E140" s="1">
        <f ca="1">SUM($B$6:C140)/(2*A140)</f>
        <v>6.3909834886245491</v>
      </c>
      <c r="F140" s="1">
        <f ca="1">SUM($E$6:E140)/A140</f>
        <v>6.2897823028928164</v>
      </c>
    </row>
    <row r="141" spans="1:6" x14ac:dyDescent="0.25">
      <c r="A141" s="1">
        <v>136</v>
      </c>
      <c r="B141" s="1">
        <f t="shared" ca="1" si="6"/>
        <v>2.4652981702617804</v>
      </c>
      <c r="C141" s="1">
        <f t="shared" ca="1" si="7"/>
        <v>1.1892035952028173</v>
      </c>
      <c r="D141" s="1">
        <f t="shared" ca="1" si="8"/>
        <v>1.1892035952028173</v>
      </c>
      <c r="E141" s="1">
        <f ca="1">SUM($B$6:C141)/(2*A141)</f>
        <v>6.3574266312282832</v>
      </c>
      <c r="F141" s="1">
        <f ca="1">SUM($E$6:E141)/A141</f>
        <v>6.2902796876599885</v>
      </c>
    </row>
    <row r="142" spans="1:6" x14ac:dyDescent="0.25">
      <c r="A142" s="1">
        <v>137</v>
      </c>
      <c r="B142" s="1">
        <f t="shared" ca="1" si="6"/>
        <v>0.29597410132286783</v>
      </c>
      <c r="C142" s="1">
        <f t="shared" ca="1" si="7"/>
        <v>4.5969263501123017</v>
      </c>
      <c r="D142" s="1">
        <f t="shared" ca="1" si="8"/>
        <v>0.29597410132286783</v>
      </c>
      <c r="E142" s="1">
        <f ca="1">SUM($B$6:C142)/(2*A142)</f>
        <v>6.3288793581953575</v>
      </c>
      <c r="F142" s="1">
        <f ca="1">SUM($E$6:E142)/A142</f>
        <v>6.2905614370799547</v>
      </c>
    </row>
    <row r="143" spans="1:6" x14ac:dyDescent="0.25">
      <c r="A143" s="1">
        <v>138</v>
      </c>
      <c r="B143" s="1">
        <f t="shared" ca="1" si="6"/>
        <v>2.7873005053831346</v>
      </c>
      <c r="C143" s="1">
        <f t="shared" ca="1" si="7"/>
        <v>0.28355228491009021</v>
      </c>
      <c r="D143" s="1">
        <f t="shared" ca="1" si="8"/>
        <v>0.28355228491009021</v>
      </c>
      <c r="E143" s="1">
        <f ca="1">SUM($B$6:C143)/(2*A143)</f>
        <v>6.2941441917964536</v>
      </c>
      <c r="F143" s="1">
        <f ca="1">SUM($E$6:E143)/A143</f>
        <v>6.2905873990706542</v>
      </c>
    </row>
    <row r="144" spans="1:6" x14ac:dyDescent="0.25">
      <c r="A144" s="1">
        <v>139</v>
      </c>
      <c r="B144" s="1">
        <f t="shared" ca="1" si="6"/>
        <v>6.4190229066913229</v>
      </c>
      <c r="C144" s="1">
        <f t="shared" ca="1" si="7"/>
        <v>0.28093913473551724</v>
      </c>
      <c r="D144" s="1">
        <f t="shared" ca="1" si="8"/>
        <v>0.28093913473551724</v>
      </c>
      <c r="E144" s="1">
        <f ca="1">SUM($B$6:C144)/(2*A144)</f>
        <v>6.2729631617886614</v>
      </c>
      <c r="F144" s="1">
        <f ca="1">SUM($E$6:E144)/A144</f>
        <v>6.2904606059966826</v>
      </c>
    </row>
    <row r="145" spans="1:6" x14ac:dyDescent="0.25">
      <c r="A145" s="1">
        <v>140</v>
      </c>
      <c r="B145" s="1">
        <f t="shared" ca="1" si="6"/>
        <v>7.4387332854438482</v>
      </c>
      <c r="C145" s="1">
        <f t="shared" ca="1" si="7"/>
        <v>13.150318213581484</v>
      </c>
      <c r="D145" s="1">
        <f t="shared" ca="1" si="8"/>
        <v>7.4387332854438482</v>
      </c>
      <c r="E145" s="1">
        <f ca="1">SUM($B$6:C145)/(2*A145)</f>
        <v>6.3016886088438326</v>
      </c>
      <c r="F145" s="1">
        <f ca="1">SUM($E$6:E145)/A145</f>
        <v>6.2905408060170194</v>
      </c>
    </row>
    <row r="146" spans="1:6" x14ac:dyDescent="0.25">
      <c r="A146" s="1">
        <v>141</v>
      </c>
      <c r="B146" s="1">
        <f t="shared" ca="1" si="6"/>
        <v>1.3618190406282071</v>
      </c>
      <c r="C146" s="1">
        <f t="shared" ca="1" si="7"/>
        <v>2.1888246793946218</v>
      </c>
      <c r="D146" s="1">
        <f t="shared" ca="1" si="8"/>
        <v>1.3618190406282071</v>
      </c>
      <c r="E146" s="1">
        <f ca="1">SUM($B$6:C146)/(2*A146)</f>
        <v>6.2695867170081421</v>
      </c>
      <c r="F146" s="1">
        <f ca="1">SUM($E$6:E146)/A146</f>
        <v>6.2903921954566728</v>
      </c>
    </row>
    <row r="147" spans="1:6" x14ac:dyDescent="0.25">
      <c r="A147" s="1">
        <v>142</v>
      </c>
      <c r="B147" s="1">
        <f t="shared" ca="1" si="6"/>
        <v>9.2183977656621412</v>
      </c>
      <c r="C147" s="1">
        <f t="shared" ca="1" si="7"/>
        <v>12.439430462850481</v>
      </c>
      <c r="D147" s="1">
        <f t="shared" ca="1" si="8"/>
        <v>9.2183977656621412</v>
      </c>
      <c r="E147" s="1">
        <f ca="1">SUM($B$6:C147)/(2*A147)</f>
        <v>6.3016946564253828</v>
      </c>
      <c r="F147" s="1">
        <f ca="1">SUM($E$6:E147)/A147</f>
        <v>6.2904717902522274</v>
      </c>
    </row>
    <row r="148" spans="1:6" x14ac:dyDescent="0.25">
      <c r="A148" s="1">
        <v>143</v>
      </c>
      <c r="B148" s="1">
        <f t="shared" ca="1" si="6"/>
        <v>9.3812675848388221</v>
      </c>
      <c r="C148" s="1">
        <f t="shared" ca="1" si="7"/>
        <v>3.9580531117664486</v>
      </c>
      <c r="D148" s="1">
        <f t="shared" ca="1" si="8"/>
        <v>3.9580531117664486</v>
      </c>
      <c r="E148" s="1">
        <f ca="1">SUM($B$6:C148)/(2*A148)</f>
        <v>6.3042678430818668</v>
      </c>
      <c r="F148" s="1">
        <f ca="1">SUM($E$6:E148)/A148</f>
        <v>6.2905682661461411</v>
      </c>
    </row>
    <row r="149" spans="1:6" x14ac:dyDescent="0.25">
      <c r="A149" s="1">
        <v>144</v>
      </c>
      <c r="B149" s="1">
        <f t="shared" ca="1" si="6"/>
        <v>6.5991689040921377</v>
      </c>
      <c r="C149" s="1">
        <f t="shared" ca="1" si="7"/>
        <v>2.3852666584126796</v>
      </c>
      <c r="D149" s="1">
        <f t="shared" ca="1" si="8"/>
        <v>2.3852666584126796</v>
      </c>
      <c r="E149" s="1">
        <f ca="1">SUM($B$6:C149)/(2*A149)</f>
        <v>6.2916841620969395</v>
      </c>
      <c r="F149" s="1">
        <f ca="1">SUM($E$6:E149)/A149</f>
        <v>6.2905760154235768</v>
      </c>
    </row>
    <row r="150" spans="1:6" x14ac:dyDescent="0.25">
      <c r="A150" s="1">
        <v>145</v>
      </c>
      <c r="B150" s="1">
        <f t="shared" ca="1" si="6"/>
        <v>7.4978333593954396</v>
      </c>
      <c r="C150" s="1">
        <f t="shared" ca="1" si="7"/>
        <v>11.596741991955813</v>
      </c>
      <c r="D150" s="1">
        <f t="shared" ca="1" si="8"/>
        <v>7.4978333593954396</v>
      </c>
      <c r="E150" s="1">
        <f ca="1">SUM($B$6:C150)/(2*A150)</f>
        <v>6.3141366001216204</v>
      </c>
      <c r="F150" s="1">
        <f ca="1">SUM($E$6:E150)/A150</f>
        <v>6.2907385022145981</v>
      </c>
    </row>
    <row r="151" spans="1:6" x14ac:dyDescent="0.25">
      <c r="A151" s="1">
        <v>146</v>
      </c>
      <c r="B151" s="1">
        <f t="shared" ca="1" si="6"/>
        <v>4.8692066858903189</v>
      </c>
      <c r="C151" s="1">
        <f t="shared" ca="1" si="7"/>
        <v>13.049455044350823</v>
      </c>
      <c r="D151" s="1">
        <f t="shared" ca="1" si="8"/>
        <v>4.8692066858903189</v>
      </c>
      <c r="E151" s="1">
        <f ca="1">SUM($B$6:C151)/(2*A151)</f>
        <v>6.33225436905997</v>
      </c>
      <c r="F151" s="1">
        <f ca="1">SUM($E$6:E151)/A151</f>
        <v>6.291022857466964</v>
      </c>
    </row>
    <row r="152" spans="1:6" x14ac:dyDescent="0.25">
      <c r="A152" s="1">
        <v>147</v>
      </c>
      <c r="B152" s="1">
        <f t="shared" ca="1" si="6"/>
        <v>8.0162525251600254</v>
      </c>
      <c r="C152" s="1">
        <f t="shared" ca="1" si="7"/>
        <v>14.914328100648619</v>
      </c>
      <c r="D152" s="1">
        <f t="shared" ca="1" si="8"/>
        <v>8.0162525251600254</v>
      </c>
      <c r="E152" s="1">
        <f ca="1">SUM($B$6:C152)/(2*A152)</f>
        <v>6.3671729809228568</v>
      </c>
      <c r="F152" s="1">
        <f ca="1">SUM($E$6:E152)/A152</f>
        <v>6.2915408855176844</v>
      </c>
    </row>
    <row r="153" spans="1:6" x14ac:dyDescent="0.25">
      <c r="A153" s="1">
        <v>148</v>
      </c>
      <c r="B153" s="1">
        <f t="shared" ca="1" si="6"/>
        <v>3.0345667676109644</v>
      </c>
      <c r="C153" s="1">
        <f t="shared" ca="1" si="7"/>
        <v>0.86102239747163412</v>
      </c>
      <c r="D153" s="1">
        <f t="shared" ca="1" si="8"/>
        <v>0.86102239747163412</v>
      </c>
      <c r="E153" s="1">
        <f ca="1">SUM($B$6:C153)/(2*A153)</f>
        <v>6.3373123160689282</v>
      </c>
      <c r="F153" s="1">
        <f ca="1">SUM($E$6:E153)/A153</f>
        <v>6.291850151940328</v>
      </c>
    </row>
    <row r="154" spans="1:6" x14ac:dyDescent="0.25">
      <c r="A154" s="1">
        <v>149</v>
      </c>
      <c r="B154" s="1">
        <f t="shared" ca="1" si="6"/>
        <v>1.6556892928767286</v>
      </c>
      <c r="C154" s="1">
        <f t="shared" ca="1" si="7"/>
        <v>7.6425529701516046</v>
      </c>
      <c r="D154" s="1">
        <f t="shared" ca="1" si="8"/>
        <v>1.6556892928767286</v>
      </c>
      <c r="E154" s="1">
        <f ca="1">SUM($B$6:C154)/(2*A154)</f>
        <v>6.3259821738907087</v>
      </c>
      <c r="F154" s="1">
        <f ca="1">SUM($E$6:E154)/A154</f>
        <v>6.2920792259131488</v>
      </c>
    </row>
    <row r="155" spans="1:6" x14ac:dyDescent="0.25">
      <c r="A155" s="1">
        <v>150</v>
      </c>
      <c r="B155" s="1">
        <f t="shared" ca="1" si="6"/>
        <v>4.1875031193826029</v>
      </c>
      <c r="C155" s="1">
        <f t="shared" ca="1" si="7"/>
        <v>5.000693648668431</v>
      </c>
      <c r="D155" s="1">
        <f t="shared" ca="1" si="8"/>
        <v>4.1875031193826029</v>
      </c>
      <c r="E155" s="1">
        <f ca="1">SUM($B$6:C155)/(2*A155)</f>
        <v>6.3144362819582742</v>
      </c>
      <c r="F155" s="1">
        <f ca="1">SUM($E$6:E155)/A155</f>
        <v>6.2922282729534498</v>
      </c>
    </row>
    <row r="156" spans="1:6" x14ac:dyDescent="0.25">
      <c r="A156" s="1">
        <v>151</v>
      </c>
      <c r="B156" s="1">
        <f t="shared" ca="1" si="6"/>
        <v>6.9870022079276231</v>
      </c>
      <c r="C156" s="1">
        <f t="shared" ca="1" si="7"/>
        <v>3.6104475561242149</v>
      </c>
      <c r="D156" s="1">
        <f t="shared" ca="1" si="8"/>
        <v>3.6104475561242149</v>
      </c>
      <c r="E156" s="1">
        <f ca="1">SUM($B$6:C156)/(2*A156)</f>
        <v>6.3077097163958076</v>
      </c>
      <c r="F156" s="1">
        <f ca="1">SUM($E$6:E156)/A156</f>
        <v>6.2923307990689619</v>
      </c>
    </row>
    <row r="157" spans="1:6" x14ac:dyDescent="0.25">
      <c r="A157" s="1">
        <v>152</v>
      </c>
      <c r="B157" s="1">
        <f t="shared" ca="1" si="6"/>
        <v>1.8240592086424701</v>
      </c>
      <c r="C157" s="1">
        <f t="shared" ca="1" si="7"/>
        <v>3.3554116841346957</v>
      </c>
      <c r="D157" s="1">
        <f t="shared" ca="1" si="8"/>
        <v>1.8240592086424701</v>
      </c>
      <c r="E157" s="1">
        <f ca="1">SUM($B$6:C157)/(2*A157)</f>
        <v>6.2832493593562866</v>
      </c>
      <c r="F157" s="1">
        <f ca="1">SUM($E$6:E157)/A157</f>
        <v>6.2922710527550629</v>
      </c>
    </row>
    <row r="158" spans="1:6" x14ac:dyDescent="0.25">
      <c r="A158" s="1">
        <v>153</v>
      </c>
      <c r="B158" s="1">
        <f t="shared" ca="1" si="6"/>
        <v>5.9122575541341336</v>
      </c>
      <c r="C158" s="1">
        <f t="shared" ca="1" si="7"/>
        <v>7.9721619021689145</v>
      </c>
      <c r="D158" s="1">
        <f t="shared" ca="1" si="8"/>
        <v>5.9122575541341336</v>
      </c>
      <c r="E158" s="1">
        <f ca="1">SUM($B$6:C158)/(2*A158)</f>
        <v>6.2875562898712882</v>
      </c>
      <c r="F158" s="1">
        <f ca="1">SUM($E$6:E158)/A158</f>
        <v>6.2922402373113782</v>
      </c>
    </row>
    <row r="159" spans="1:6" x14ac:dyDescent="0.25">
      <c r="A159" s="1">
        <v>154</v>
      </c>
      <c r="B159" s="1">
        <f t="shared" ca="1" si="6"/>
        <v>9.3288819920018575</v>
      </c>
      <c r="C159" s="1">
        <f t="shared" ca="1" si="7"/>
        <v>10.115665951413627</v>
      </c>
      <c r="D159" s="1">
        <f t="shared" ca="1" si="8"/>
        <v>9.3288819920018575</v>
      </c>
      <c r="E159" s="1">
        <f ca="1">SUM($B$6:C159)/(2*A159)</f>
        <v>6.3098596514416547</v>
      </c>
      <c r="F159" s="1">
        <f ca="1">SUM($E$6:E159)/A159</f>
        <v>6.292354649091445</v>
      </c>
    </row>
    <row r="160" spans="1:6" x14ac:dyDescent="0.25">
      <c r="A160" s="1">
        <v>155</v>
      </c>
      <c r="B160" s="1">
        <f t="shared" ca="1" si="6"/>
        <v>0.10517233244499935</v>
      </c>
      <c r="C160" s="1">
        <f t="shared" ca="1" si="7"/>
        <v>0.5934424678320499</v>
      </c>
      <c r="D160" s="1">
        <f t="shared" ca="1" si="8"/>
        <v>0.10517233244499935</v>
      </c>
      <c r="E160" s="1">
        <f ca="1">SUM($B$6:C160)/(2*A160)</f>
        <v>6.2714044756267953</v>
      </c>
      <c r="F160" s="1">
        <f ca="1">SUM($E$6:E160)/A160</f>
        <v>6.2922194866819963</v>
      </c>
    </row>
    <row r="161" spans="1:6" x14ac:dyDescent="0.25">
      <c r="A161" s="1">
        <v>156</v>
      </c>
      <c r="B161" s="1">
        <f t="shared" ca="1" si="6"/>
        <v>1.1851461526894858</v>
      </c>
      <c r="C161" s="1">
        <f t="shared" ca="1" si="7"/>
        <v>11.676126114732515</v>
      </c>
      <c r="D161" s="1">
        <f t="shared" ca="1" si="8"/>
        <v>1.1851461526894858</v>
      </c>
      <c r="E161" s="1">
        <f ca="1">SUM($B$6:C161)/(2*A161)</f>
        <v>6.2724251913837454</v>
      </c>
      <c r="F161" s="1">
        <f ca="1">SUM($E$6:E161)/A161</f>
        <v>6.2920926001736737</v>
      </c>
    </row>
    <row r="162" spans="1:6" x14ac:dyDescent="0.25">
      <c r="A162" s="1">
        <v>157</v>
      </c>
      <c r="B162" s="1">
        <f t="shared" ca="1" si="6"/>
        <v>1.8191157416746506</v>
      </c>
      <c r="C162" s="1">
        <f t="shared" ca="1" si="7"/>
        <v>9.5977563720778409</v>
      </c>
      <c r="D162" s="1">
        <f t="shared" ca="1" si="8"/>
        <v>1.8191157416746506</v>
      </c>
      <c r="E162" s="1">
        <f ca="1">SUM($B$6:C162)/(2*A162)</f>
        <v>6.2688329039028066</v>
      </c>
      <c r="F162" s="1">
        <f ca="1">SUM($E$6:E162)/A162</f>
        <v>6.2919444492420116</v>
      </c>
    </row>
    <row r="163" spans="1:6" x14ac:dyDescent="0.25">
      <c r="A163" s="1">
        <v>158</v>
      </c>
      <c r="B163" s="1">
        <f t="shared" ca="1" si="6"/>
        <v>6.1204111005666482</v>
      </c>
      <c r="C163" s="1">
        <f t="shared" ca="1" si="7"/>
        <v>2.7369973816332132</v>
      </c>
      <c r="D163" s="1">
        <f t="shared" ca="1" si="8"/>
        <v>2.7369973816332132</v>
      </c>
      <c r="E163" s="1">
        <f ca="1">SUM($B$6:C163)/(2*A163)</f>
        <v>6.2571865199610155</v>
      </c>
      <c r="F163" s="1">
        <f ca="1">SUM($E$6:E163)/A163</f>
        <v>6.2917244623478288</v>
      </c>
    </row>
    <row r="164" spans="1:6" x14ac:dyDescent="0.25">
      <c r="A164" s="1">
        <v>159</v>
      </c>
      <c r="B164" s="1">
        <f t="shared" ca="1" si="6"/>
        <v>6.8026098033158622</v>
      </c>
      <c r="C164" s="1">
        <f t="shared" ca="1" si="7"/>
        <v>4.0453356164712932</v>
      </c>
      <c r="D164" s="1">
        <f t="shared" ca="1" si="8"/>
        <v>4.0453356164712932</v>
      </c>
      <c r="E164" s="1">
        <f ca="1">SUM($B$6:C164)/(2*A164)</f>
        <v>6.2519461815329187</v>
      </c>
      <c r="F164" s="1">
        <f ca="1">SUM($E$6:E164)/A164</f>
        <v>6.291474284481068</v>
      </c>
    </row>
    <row r="165" spans="1:6" x14ac:dyDescent="0.25">
      <c r="A165" s="1">
        <v>160</v>
      </c>
      <c r="B165" s="1">
        <f t="shared" ca="1" si="6"/>
        <v>3.3210327459103461</v>
      </c>
      <c r="C165" s="1">
        <f t="shared" ca="1" si="7"/>
        <v>1.0074379765072272</v>
      </c>
      <c r="D165" s="1">
        <f t="shared" ca="1" si="8"/>
        <v>1.0074379765072272</v>
      </c>
      <c r="E165" s="1">
        <f ca="1">SUM($B$6:C165)/(2*A165)</f>
        <v>6.2263979889058927</v>
      </c>
      <c r="F165" s="1">
        <f ca="1">SUM($E$6:E165)/A165</f>
        <v>6.2910675576337232</v>
      </c>
    </row>
    <row r="166" spans="1:6" x14ac:dyDescent="0.25">
      <c r="A166" s="1">
        <v>161</v>
      </c>
      <c r="B166" s="1">
        <f t="shared" ca="1" si="6"/>
        <v>5.4081861047309099</v>
      </c>
      <c r="C166" s="1">
        <f t="shared" ca="1" si="7"/>
        <v>4.9048077973637714</v>
      </c>
      <c r="D166" s="1">
        <f t="shared" ca="1" si="8"/>
        <v>4.9048077973637714</v>
      </c>
      <c r="E166" s="1">
        <f ca="1">SUM($B$6:C166)/(2*A166)</f>
        <v>6.2197526408446588</v>
      </c>
      <c r="F166" s="1">
        <f ca="1">SUM($E$6:E166)/A166</f>
        <v>6.2906246078400017</v>
      </c>
    </row>
    <row r="167" spans="1:6" x14ac:dyDescent="0.25">
      <c r="A167" s="1">
        <v>162</v>
      </c>
      <c r="B167" s="1">
        <f t="shared" ca="1" si="6"/>
        <v>2.9157823590280452</v>
      </c>
      <c r="C167" s="1">
        <f t="shared" ca="1" si="7"/>
        <v>3.4847227616917387</v>
      </c>
      <c r="D167" s="1">
        <f t="shared" ca="1" si="8"/>
        <v>2.9157823590280452</v>
      </c>
      <c r="E167" s="1">
        <f ca="1">SUM($B$6:C167)/(2*A167)</f>
        <v>6.2011137514589505</v>
      </c>
      <c r="F167" s="1">
        <f ca="1">SUM($E$6:E167)/A167</f>
        <v>6.2900720716895018</v>
      </c>
    </row>
    <row r="168" spans="1:6" x14ac:dyDescent="0.25">
      <c r="A168" s="1">
        <v>163</v>
      </c>
      <c r="B168" s="1">
        <f t="shared" ca="1" si="6"/>
        <v>9.6086515982023997</v>
      </c>
      <c r="C168" s="1">
        <f t="shared" ca="1" si="7"/>
        <v>6.141664320921195</v>
      </c>
      <c r="D168" s="1">
        <f t="shared" ca="1" si="8"/>
        <v>6.141664320921195</v>
      </c>
      <c r="E168" s="1">
        <f ca="1">SUM($B$6:C168)/(2*A168)</f>
        <v>6.2113839613246116</v>
      </c>
      <c r="F168" s="1">
        <f ca="1">SUM($E$6:E168)/A168</f>
        <v>6.289589322546159</v>
      </c>
    </row>
    <row r="169" spans="1:6" x14ac:dyDescent="0.25">
      <c r="A169" s="1">
        <v>164</v>
      </c>
      <c r="B169" s="1">
        <f t="shared" ca="1" si="6"/>
        <v>3.7632918300071196</v>
      </c>
      <c r="C169" s="1">
        <f t="shared" ca="1" si="7"/>
        <v>10.20487759388018</v>
      </c>
      <c r="D169" s="1">
        <f t="shared" ca="1" si="8"/>
        <v>3.7632918300071196</v>
      </c>
      <c r="E169" s="1">
        <f ca="1">SUM($B$6:C169)/(2*A169)</f>
        <v>6.2160955512674105</v>
      </c>
      <c r="F169" s="1">
        <f ca="1">SUM($E$6:E169)/A169</f>
        <v>6.2891411897944591</v>
      </c>
    </row>
    <row r="170" spans="1:6" x14ac:dyDescent="0.25">
      <c r="A170" s="1">
        <v>165</v>
      </c>
      <c r="B170" s="1">
        <f t="shared" ca="1" si="6"/>
        <v>5.422318386854716</v>
      </c>
      <c r="C170" s="1">
        <f t="shared" ca="1" si="7"/>
        <v>6.6966506015790923</v>
      </c>
      <c r="D170" s="1">
        <f t="shared" ca="1" si="8"/>
        <v>5.422318386854716</v>
      </c>
      <c r="E170" s="1">
        <f ca="1">SUM($B$6:C170)/(2*A170)</f>
        <v>6.2151463933458917</v>
      </c>
      <c r="F170" s="1">
        <f ca="1">SUM($E$6:E170)/A170</f>
        <v>6.2886927364826501</v>
      </c>
    </row>
    <row r="171" spans="1:6" x14ac:dyDescent="0.25">
      <c r="A171" s="1">
        <v>166</v>
      </c>
      <c r="B171" s="1">
        <f t="shared" ca="1" si="6"/>
        <v>4.9553484752731736</v>
      </c>
      <c r="C171" s="1">
        <f t="shared" ca="1" si="7"/>
        <v>2.6422852554033489</v>
      </c>
      <c r="D171" s="1">
        <f t="shared" ca="1" si="8"/>
        <v>2.6422852554033489</v>
      </c>
      <c r="E171" s="1">
        <f ca="1">SUM($B$6:C171)/(2*A171)</f>
        <v>6.2005901913699422</v>
      </c>
      <c r="F171" s="1">
        <f ca="1">SUM($E$6:E171)/A171</f>
        <v>6.2881619982590795</v>
      </c>
    </row>
    <row r="172" spans="1:6" x14ac:dyDescent="0.25">
      <c r="A172" s="1">
        <v>167</v>
      </c>
      <c r="B172" s="1">
        <f t="shared" ca="1" si="6"/>
        <v>1.3584766892967337</v>
      </c>
      <c r="C172" s="1">
        <f t="shared" ca="1" si="7"/>
        <v>13.382066799116094</v>
      </c>
      <c r="D172" s="1">
        <f t="shared" ca="1" si="8"/>
        <v>1.3584766892967337</v>
      </c>
      <c r="E172" s="1">
        <f ca="1">SUM($B$6:C172)/(2*A172)</f>
        <v>6.2075942725246529</v>
      </c>
      <c r="F172" s="1">
        <f ca="1">SUM($E$6:E172)/A172</f>
        <v>6.2876795567876158</v>
      </c>
    </row>
    <row r="173" spans="1:6" x14ac:dyDescent="0.25">
      <c r="A173" s="1">
        <v>168</v>
      </c>
      <c r="B173" s="1">
        <f t="shared" ca="1" si="6"/>
        <v>4.0977783013546931</v>
      </c>
      <c r="C173" s="1">
        <f t="shared" ca="1" si="7"/>
        <v>10.786085105648862</v>
      </c>
      <c r="D173" s="1">
        <f t="shared" ca="1" si="8"/>
        <v>4.0977783013546931</v>
      </c>
      <c r="E173" s="1">
        <f ca="1">SUM($B$6:C173)/(2*A173)</f>
        <v>6.2149415191376116</v>
      </c>
      <c r="F173" s="1">
        <f ca="1">SUM($E$6:E173)/A173</f>
        <v>6.2872465922777945</v>
      </c>
    </row>
    <row r="174" spans="1:6" x14ac:dyDescent="0.25">
      <c r="A174" s="1">
        <v>169</v>
      </c>
      <c r="B174" s="1">
        <f t="shared" ca="1" si="6"/>
        <v>6.140196578759979</v>
      </c>
      <c r="C174" s="1">
        <f t="shared" ca="1" si="7"/>
        <v>8.4379072185263428</v>
      </c>
      <c r="D174" s="1">
        <f t="shared" ca="1" si="8"/>
        <v>6.140196578759979</v>
      </c>
      <c r="E174" s="1">
        <f ca="1">SUM($B$6:C174)/(2*A174)</f>
        <v>6.2212972018565802</v>
      </c>
      <c r="F174" s="1">
        <f ca="1">SUM($E$6:E174)/A174</f>
        <v>6.2868563591983788</v>
      </c>
    </row>
    <row r="175" spans="1:6" x14ac:dyDescent="0.25">
      <c r="A175" s="1">
        <v>170</v>
      </c>
      <c r="B175" s="1">
        <f t="shared" ca="1" si="6"/>
        <v>1.8102829157760048</v>
      </c>
      <c r="C175" s="1">
        <f t="shared" ca="1" si="7"/>
        <v>6.9990695152719757</v>
      </c>
      <c r="D175" s="1">
        <f t="shared" ca="1" si="8"/>
        <v>1.8102829157760048</v>
      </c>
      <c r="E175" s="1">
        <f ca="1">SUM($B$6:C175)/(2*A175)</f>
        <v>6.2106111960546233</v>
      </c>
      <c r="F175" s="1">
        <f ca="1">SUM($E$6:E175)/A175</f>
        <v>6.2864078582387091</v>
      </c>
    </row>
    <row r="176" spans="1:6" x14ac:dyDescent="0.25">
      <c r="A176" s="1">
        <v>171</v>
      </c>
      <c r="B176" s="1">
        <f t="shared" ca="1" si="6"/>
        <v>9.0431603054715328</v>
      </c>
      <c r="C176" s="1">
        <f t="shared" ca="1" si="7"/>
        <v>13.116439396469245</v>
      </c>
      <c r="D176" s="1">
        <f t="shared" ca="1" si="8"/>
        <v>9.0431603054715328</v>
      </c>
      <c r="E176" s="1">
        <f ca="1">SUM($B$6:C176)/(2*A176)</f>
        <v>6.2390859835102708</v>
      </c>
      <c r="F176" s="1">
        <f ca="1">SUM($E$6:E176)/A176</f>
        <v>6.286131122129186</v>
      </c>
    </row>
    <row r="177" spans="1:6" x14ac:dyDescent="0.25">
      <c r="A177" s="1">
        <v>172</v>
      </c>
      <c r="B177" s="1">
        <f t="shared" ca="1" si="6"/>
        <v>4.1996107181435418</v>
      </c>
      <c r="C177" s="1">
        <f t="shared" ca="1" si="7"/>
        <v>4.1639821380188566</v>
      </c>
      <c r="D177" s="1">
        <f t="shared" ca="1" si="8"/>
        <v>4.1639821380188566</v>
      </c>
      <c r="E177" s="1">
        <f ca="1">SUM($B$6:C177)/(2*A177)</f>
        <v>6.2271249977228935</v>
      </c>
      <c r="F177" s="1">
        <f ca="1">SUM($E$6:E177)/A177</f>
        <v>6.2857880632663585</v>
      </c>
    </row>
    <row r="178" spans="1:6" x14ac:dyDescent="0.25">
      <c r="A178" s="1">
        <v>173</v>
      </c>
      <c r="B178" s="1">
        <f t="shared" ca="1" si="6"/>
        <v>9.2957722019094877</v>
      </c>
      <c r="C178" s="1">
        <f t="shared" ca="1" si="7"/>
        <v>6.7841180067059526</v>
      </c>
      <c r="D178" s="1">
        <f t="shared" ca="1" si="8"/>
        <v>6.7841180067059526</v>
      </c>
      <c r="E178" s="1">
        <f ca="1">SUM($B$6:C178)/(2*A178)</f>
        <v>6.2376037266626891</v>
      </c>
      <c r="F178" s="1">
        <f ca="1">SUM($E$6:E178)/A178</f>
        <v>6.2855095410894588</v>
      </c>
    </row>
    <row r="179" spans="1:6" x14ac:dyDescent="0.25">
      <c r="A179" s="1">
        <v>174</v>
      </c>
      <c r="B179" s="1">
        <f t="shared" ca="1" si="6"/>
        <v>0.20423334478509192</v>
      </c>
      <c r="C179" s="1">
        <f t="shared" ca="1" si="7"/>
        <v>6.3871801048600139</v>
      </c>
      <c r="D179" s="1">
        <f t="shared" ca="1" si="8"/>
        <v>0.20423334478509192</v>
      </c>
      <c r="E179" s="1">
        <f ca="1">SUM($B$6:C179)/(2*A179)</f>
        <v>6.2206962726291257</v>
      </c>
      <c r="F179" s="1">
        <f ca="1">SUM($E$6:E179)/A179</f>
        <v>6.2851370510408362</v>
      </c>
    </row>
    <row r="180" spans="1:6" x14ac:dyDescent="0.25">
      <c r="A180" s="1">
        <v>175</v>
      </c>
      <c r="B180" s="1">
        <f t="shared" ca="1" si="6"/>
        <v>6.2710807604454786</v>
      </c>
      <c r="C180" s="1">
        <f t="shared" ca="1" si="7"/>
        <v>7.6696214040613766</v>
      </c>
      <c r="D180" s="1">
        <f t="shared" ca="1" si="8"/>
        <v>6.2710807604454786</v>
      </c>
      <c r="E180" s="1">
        <f ca="1">SUM($B$6:C180)/(2*A180)</f>
        <v>6.2249800143984064</v>
      </c>
      <c r="F180" s="1">
        <f ca="1">SUM($E$6:E180)/A180</f>
        <v>6.284793296545736</v>
      </c>
    </row>
    <row r="181" spans="1:6" x14ac:dyDescent="0.25">
      <c r="A181" s="1">
        <v>176</v>
      </c>
      <c r="B181" s="1">
        <f t="shared" ca="1" si="6"/>
        <v>1.3327288323762121</v>
      </c>
      <c r="C181" s="1">
        <f t="shared" ca="1" si="7"/>
        <v>10.624422764485125</v>
      </c>
      <c r="D181" s="1">
        <f t="shared" ca="1" si="8"/>
        <v>1.3327288323762121</v>
      </c>
      <c r="E181" s="1">
        <f ca="1">SUM($B$6:C181)/(2*A181)</f>
        <v>6.223579990444045</v>
      </c>
      <c r="F181" s="1">
        <f ca="1">SUM($E$6:E181)/A181</f>
        <v>6.2844454936701588</v>
      </c>
    </row>
    <row r="182" spans="1:6" x14ac:dyDescent="0.25">
      <c r="A182" s="1">
        <v>177</v>
      </c>
      <c r="B182" s="1">
        <f t="shared" ca="1" si="6"/>
        <v>5.5898335323330937</v>
      </c>
      <c r="C182" s="1">
        <f t="shared" ca="1" si="7"/>
        <v>12.276653447156921</v>
      </c>
      <c r="D182" s="1">
        <f t="shared" ca="1" si="8"/>
        <v>5.5898335323330937</v>
      </c>
      <c r="E182" s="1">
        <f ca="1">SUM($B$6:C182)/(2*A182)</f>
        <v>6.2388888237734292</v>
      </c>
      <c r="F182" s="1">
        <f ca="1">SUM($E$6:E182)/A182</f>
        <v>6.2841881113543572</v>
      </c>
    </row>
    <row r="183" spans="1:6" x14ac:dyDescent="0.25">
      <c r="A183" s="1">
        <v>178</v>
      </c>
      <c r="B183" s="1">
        <f t="shared" ca="1" si="6"/>
        <v>7.260779898131422</v>
      </c>
      <c r="C183" s="1">
        <f t="shared" ca="1" si="7"/>
        <v>3.7460797883575978</v>
      </c>
      <c r="D183" s="1">
        <f t="shared" ca="1" si="8"/>
        <v>3.7460797883575978</v>
      </c>
      <c r="E183" s="1">
        <f ca="1">SUM($B$6:C183)/(2*A183)</f>
        <v>6.2347570317479857</v>
      </c>
      <c r="F183" s="1">
        <f ca="1">SUM($E$6:E183)/A183</f>
        <v>6.2839104086599384</v>
      </c>
    </row>
    <row r="184" spans="1:6" x14ac:dyDescent="0.25">
      <c r="A184" s="1">
        <v>179</v>
      </c>
      <c r="B184" s="1">
        <f t="shared" ca="1" si="6"/>
        <v>9.5481921640614758</v>
      </c>
      <c r="C184" s="1">
        <f t="shared" ca="1" si="7"/>
        <v>7.7428927501924401</v>
      </c>
      <c r="D184" s="1">
        <f t="shared" ca="1" si="8"/>
        <v>7.7428927501924401</v>
      </c>
      <c r="E184" s="1">
        <f ca="1">SUM($B$6:C184)/(2*A184)</f>
        <v>6.2482251067501036</v>
      </c>
      <c r="F184" s="1">
        <f ca="1">SUM($E$6:E184)/A184</f>
        <v>6.2837110494313926</v>
      </c>
    </row>
    <row r="185" spans="1:6" x14ac:dyDescent="0.25">
      <c r="A185" s="1">
        <v>180</v>
      </c>
      <c r="B185" s="1">
        <f t="shared" ca="1" si="6"/>
        <v>5.9321042712280114</v>
      </c>
      <c r="C185" s="1">
        <f t="shared" ca="1" si="7"/>
        <v>8.4876360326702844</v>
      </c>
      <c r="D185" s="1">
        <f t="shared" ca="1" si="8"/>
        <v>5.9321042712280114</v>
      </c>
      <c r="E185" s="1">
        <f ca="1">SUM($B$6:C185)/(2*A185)</f>
        <v>6.2535675792234313</v>
      </c>
      <c r="F185" s="1">
        <f ca="1">SUM($E$6:E185)/A185</f>
        <v>6.2835435857080153</v>
      </c>
    </row>
    <row r="186" spans="1:6" x14ac:dyDescent="0.25">
      <c r="A186" s="1">
        <v>181</v>
      </c>
      <c r="B186" s="1">
        <f t="shared" ca="1" si="6"/>
        <v>8.0651098142654991</v>
      </c>
      <c r="C186" s="1">
        <f t="shared" ca="1" si="7"/>
        <v>6.8655921199482446</v>
      </c>
      <c r="D186" s="1">
        <f t="shared" ca="1" si="8"/>
        <v>6.8655921199482446</v>
      </c>
      <c r="E186" s="1">
        <f ca="1">SUM($B$6:C186)/(2*A186)</f>
        <v>6.2602625150680922</v>
      </c>
      <c r="F186" s="1">
        <f ca="1">SUM($E$6:E186)/A186</f>
        <v>6.2834149610083472</v>
      </c>
    </row>
    <row r="187" spans="1:6" x14ac:dyDescent="0.25">
      <c r="A187" s="1">
        <v>182</v>
      </c>
      <c r="B187" s="1">
        <f t="shared" ca="1" si="6"/>
        <v>7.1336604577886646</v>
      </c>
      <c r="C187" s="1">
        <f t="shared" ca="1" si="7"/>
        <v>14.294711932165949</v>
      </c>
      <c r="D187" s="1">
        <f t="shared" ca="1" si="8"/>
        <v>7.1336604577886646</v>
      </c>
      <c r="E187" s="1">
        <f ca="1">SUM($B$6:C187)/(2*A187)</f>
        <v>6.2847346231994621</v>
      </c>
      <c r="F187" s="1">
        <f ca="1">SUM($E$6:E187)/A187</f>
        <v>6.2834222118995067</v>
      </c>
    </row>
    <row r="188" spans="1:6" x14ac:dyDescent="0.25">
      <c r="A188" s="1">
        <v>183</v>
      </c>
      <c r="B188" s="1">
        <f t="shared" ca="1" si="6"/>
        <v>1.5580150812275162</v>
      </c>
      <c r="C188" s="1">
        <f t="shared" ca="1" si="7"/>
        <v>8.143317123388913</v>
      </c>
      <c r="D188" s="1">
        <f t="shared" ca="1" si="8"/>
        <v>1.5580150812275162</v>
      </c>
      <c r="E188" s="1">
        <f ca="1">SUM($B$6:C188)/(2*A188)</f>
        <v>6.276898183194592</v>
      </c>
      <c r="F188" s="1">
        <f ca="1">SUM($E$6:E188)/A188</f>
        <v>6.2833865614694258</v>
      </c>
    </row>
    <row r="189" spans="1:6" x14ac:dyDescent="0.25">
      <c r="A189" s="1">
        <v>184</v>
      </c>
      <c r="B189" s="1">
        <f t="shared" ca="1" si="6"/>
        <v>9.4780100602444115</v>
      </c>
      <c r="C189" s="1">
        <f t="shared" ca="1" si="7"/>
        <v>4.6137155461376667</v>
      </c>
      <c r="D189" s="1">
        <f t="shared" ca="1" si="8"/>
        <v>4.6137155461376667</v>
      </c>
      <c r="E189" s="1">
        <f ca="1">SUM($B$6:C189)/(2*A189)</f>
        <v>6.2810773387380507</v>
      </c>
      <c r="F189" s="1">
        <f ca="1">SUM($E$6:E189)/A189</f>
        <v>6.2833740113458854</v>
      </c>
    </row>
    <row r="190" spans="1:6" x14ac:dyDescent="0.25">
      <c r="A190" s="1">
        <v>185</v>
      </c>
      <c r="B190" s="1">
        <f t="shared" ca="1" si="6"/>
        <v>7.0278127786278297</v>
      </c>
      <c r="C190" s="1">
        <f t="shared" ca="1" si="7"/>
        <v>0.27530676463943526</v>
      </c>
      <c r="D190" s="1">
        <f t="shared" ca="1" si="8"/>
        <v>0.27530676463943526</v>
      </c>
      <c r="E190" s="1">
        <f ca="1">SUM($B$6:C190)/(2*A190)</f>
        <v>6.2668637302672163</v>
      </c>
      <c r="F190" s="1">
        <f ca="1">SUM($E$6:E190)/A190</f>
        <v>6.2832847665832974</v>
      </c>
    </row>
    <row r="191" spans="1:6" x14ac:dyDescent="0.25">
      <c r="A191" s="1">
        <v>186</v>
      </c>
      <c r="B191" s="1">
        <f t="shared" ca="1" si="6"/>
        <v>8.3987391306486003</v>
      </c>
      <c r="C191" s="1">
        <f t="shared" ca="1" si="7"/>
        <v>8.184157345192725</v>
      </c>
      <c r="D191" s="1">
        <f t="shared" ca="1" si="8"/>
        <v>8.184157345192725</v>
      </c>
      <c r="E191" s="1">
        <f ca="1">SUM($B$6:C191)/(2*A191)</f>
        <v>6.2777485932115908</v>
      </c>
      <c r="F191" s="1">
        <f ca="1">SUM($E$6:E191)/A191</f>
        <v>6.2832550022103311</v>
      </c>
    </row>
    <row r="192" spans="1:6" x14ac:dyDescent="0.25">
      <c r="A192" s="1">
        <v>187</v>
      </c>
      <c r="B192" s="1">
        <f t="shared" ca="1" si="6"/>
        <v>0.11934121368417427</v>
      </c>
      <c r="C192" s="1">
        <f t="shared" ca="1" si="7"/>
        <v>12.179332825069075</v>
      </c>
      <c r="D192" s="1">
        <f t="shared" ca="1" si="8"/>
        <v>0.11934121368417427</v>
      </c>
      <c r="E192" s="1">
        <f ca="1">SUM($B$6:C192)/(2*A192)</f>
        <v>6.2770619003033818</v>
      </c>
      <c r="F192" s="1">
        <f ca="1">SUM($E$6:E192)/A192</f>
        <v>6.2832218840183156</v>
      </c>
    </row>
    <row r="193" spans="1:6" x14ac:dyDescent="0.25">
      <c r="A193" s="1">
        <v>188</v>
      </c>
      <c r="B193" s="1">
        <f t="shared" ca="1" si="6"/>
        <v>7.4456610540336765</v>
      </c>
      <c r="C193" s="1">
        <f t="shared" ca="1" si="7"/>
        <v>2.1128660082987478</v>
      </c>
      <c r="D193" s="1">
        <f t="shared" ca="1" si="8"/>
        <v>2.1128660082987478</v>
      </c>
      <c r="E193" s="1">
        <f ca="1">SUM($B$6:C193)/(2*A193)</f>
        <v>6.2690948877015886</v>
      </c>
      <c r="F193" s="1">
        <f ca="1">SUM($E$6:E193)/A193</f>
        <v>6.2831467404208858</v>
      </c>
    </row>
    <row r="194" spans="1:6" x14ac:dyDescent="0.25">
      <c r="A194" s="1">
        <v>189</v>
      </c>
      <c r="B194" s="1">
        <f t="shared" ca="1" si="6"/>
        <v>5.3141865256139189</v>
      </c>
      <c r="C194" s="1">
        <f t="shared" ca="1" si="7"/>
        <v>0.4694881312360849</v>
      </c>
      <c r="D194" s="1">
        <f t="shared" ca="1" si="8"/>
        <v>0.4694881312360849</v>
      </c>
      <c r="E194" s="1">
        <f ca="1">SUM($B$6:C194)/(2*A194)</f>
        <v>6.2512258000863685</v>
      </c>
      <c r="F194" s="1">
        <f ca="1">SUM($E$6:E194)/A194</f>
        <v>6.2829778465566823</v>
      </c>
    </row>
    <row r="195" spans="1:6" x14ac:dyDescent="0.25">
      <c r="A195" s="1">
        <v>190</v>
      </c>
      <c r="B195" s="1">
        <f t="shared" ca="1" si="6"/>
        <v>4.1982427374072753</v>
      </c>
      <c r="C195" s="1">
        <f t="shared" ca="1" si="7"/>
        <v>13.884526399535483</v>
      </c>
      <c r="D195" s="1">
        <f t="shared" ca="1" si="8"/>
        <v>4.1982427374072753</v>
      </c>
      <c r="E195" s="1">
        <f ca="1">SUM($B$6:C195)/(2*A195)</f>
        <v>6.2659108462357631</v>
      </c>
      <c r="F195" s="1">
        <f ca="1">SUM($E$6:E195)/A195</f>
        <v>6.2828880202392039</v>
      </c>
    </row>
    <row r="196" spans="1:6" x14ac:dyDescent="0.25">
      <c r="A196" s="1">
        <v>191</v>
      </c>
      <c r="B196" s="1">
        <f t="shared" ca="1" si="6"/>
        <v>9.5954671327915069</v>
      </c>
      <c r="C196" s="1">
        <f t="shared" ca="1" si="7"/>
        <v>7.7233372742139146</v>
      </c>
      <c r="D196" s="1">
        <f t="shared" ca="1" si="8"/>
        <v>7.7233372742139146</v>
      </c>
      <c r="E196" s="1">
        <f ca="1">SUM($B$6:C196)/(2*A196)</f>
        <v>6.2784422145984173</v>
      </c>
      <c r="F196" s="1">
        <f ca="1">SUM($E$6:E196)/A196</f>
        <v>6.2828647437698804</v>
      </c>
    </row>
    <row r="197" spans="1:6" x14ac:dyDescent="0.25">
      <c r="A197" s="1">
        <v>192</v>
      </c>
      <c r="B197" s="1">
        <f t="shared" ca="1" si="6"/>
        <v>5.6729612720212907</v>
      </c>
      <c r="C197" s="1">
        <f t="shared" ca="1" si="7"/>
        <v>3.7056248559977938</v>
      </c>
      <c r="D197" s="1">
        <f t="shared" ca="1" si="8"/>
        <v>3.7056248559977938</v>
      </c>
      <c r="E197" s="1">
        <f ca="1">SUM($B$6:C197)/(2*A197)</f>
        <v>6.2701653961057673</v>
      </c>
      <c r="F197" s="1">
        <f ca="1">SUM($E$6:E197)/A197</f>
        <v>6.2827986013341297</v>
      </c>
    </row>
    <row r="198" spans="1:6" x14ac:dyDescent="0.25">
      <c r="A198" s="1">
        <v>193</v>
      </c>
      <c r="B198" s="1">
        <f t="shared" ca="1" si="6"/>
        <v>6.0935656753436218</v>
      </c>
      <c r="C198" s="1">
        <f t="shared" ca="1" si="7"/>
        <v>6.2357715185413145</v>
      </c>
      <c r="D198" s="1">
        <f t="shared" ca="1" si="8"/>
        <v>6.0935656753436218</v>
      </c>
      <c r="E198" s="1">
        <f ca="1">SUM($B$6:C198)/(2*A198)</f>
        <v>6.269618780566061</v>
      </c>
      <c r="F198" s="1">
        <f ca="1">SUM($E$6:E198)/A198</f>
        <v>6.2827303121073532</v>
      </c>
    </row>
    <row r="199" spans="1:6" x14ac:dyDescent="0.25">
      <c r="A199" s="1">
        <v>194</v>
      </c>
      <c r="B199" s="1">
        <f t="shared" ref="B199:B262" ca="1" si="9">RAND()*$D$1</f>
        <v>4.7343373160381317</v>
      </c>
      <c r="C199" s="1">
        <f t="shared" ref="C199:C262" ca="1" si="10">RAND()*$D$2</f>
        <v>2.3318784911871946</v>
      </c>
      <c r="D199" s="1">
        <f t="shared" ref="D199:D262" ca="1" si="11">MIN(B199:C199)</f>
        <v>2.3318784911871946</v>
      </c>
      <c r="E199" s="1">
        <f ca="1">SUM($B$6:C199)/(2*A199)</f>
        <v>6.2555130543961974</v>
      </c>
      <c r="F199" s="1">
        <f ca="1">SUM($E$6:E199)/A199</f>
        <v>6.2825900169645124</v>
      </c>
    </row>
    <row r="200" spans="1:6" x14ac:dyDescent="0.25">
      <c r="A200" s="1">
        <v>195</v>
      </c>
      <c r="B200" s="1">
        <f t="shared" ca="1" si="9"/>
        <v>0.1183872647562878</v>
      </c>
      <c r="C200" s="1">
        <f t="shared" ca="1" si="10"/>
        <v>6.1622300473943534</v>
      </c>
      <c r="D200" s="1">
        <f t="shared" ca="1" si="11"/>
        <v>0.1183872647562878</v>
      </c>
      <c r="E200" s="1">
        <f ca="1">SUM($B$6:C200)/(2*A200)</f>
        <v>6.2395376472253199</v>
      </c>
      <c r="F200" s="1">
        <f ca="1">SUM($E$6:E200)/A200</f>
        <v>6.2823692355812337</v>
      </c>
    </row>
    <row r="201" spans="1:6" x14ac:dyDescent="0.25">
      <c r="A201" s="1">
        <v>196</v>
      </c>
      <c r="B201" s="1">
        <f t="shared" ca="1" si="9"/>
        <v>2.3100870329957903</v>
      </c>
      <c r="C201" s="1">
        <f t="shared" ca="1" si="10"/>
        <v>1.3139797083675626</v>
      </c>
      <c r="D201" s="1">
        <f t="shared" ca="1" si="11"/>
        <v>1.3139797083675626</v>
      </c>
      <c r="E201" s="1">
        <f ca="1">SUM($B$6:C201)/(2*A201)</f>
        <v>6.2169483396919345</v>
      </c>
      <c r="F201" s="1">
        <f ca="1">SUM($E$6:E201)/A201</f>
        <v>6.2820354555001661</v>
      </c>
    </row>
    <row r="202" spans="1:6" x14ac:dyDescent="0.25">
      <c r="A202" s="1">
        <v>197</v>
      </c>
      <c r="B202" s="1">
        <f t="shared" ca="1" si="9"/>
        <v>1.1470296190341023</v>
      </c>
      <c r="C202" s="1">
        <f t="shared" ca="1" si="10"/>
        <v>4.2362980844082712</v>
      </c>
      <c r="D202" s="1">
        <f t="shared" ca="1" si="11"/>
        <v>1.1470296190341023</v>
      </c>
      <c r="E202" s="1">
        <f ca="1">SUM($B$6:C202)/(2*A202)</f>
        <v>6.1990534945753319</v>
      </c>
      <c r="F202" s="1">
        <f ca="1">SUM($E$6:E202)/A202</f>
        <v>6.2816142272721214</v>
      </c>
    </row>
    <row r="203" spans="1:6" x14ac:dyDescent="0.25">
      <c r="A203" s="1">
        <v>198</v>
      </c>
      <c r="B203" s="1">
        <f t="shared" ca="1" si="9"/>
        <v>1.3752961521865004</v>
      </c>
      <c r="C203" s="1">
        <f t="shared" ca="1" si="10"/>
        <v>11.554773749887419</v>
      </c>
      <c r="D203" s="1">
        <f t="shared" ca="1" si="11"/>
        <v>1.3752961521865004</v>
      </c>
      <c r="E203" s="1">
        <f ca="1">SUM($B$6:C203)/(2*A203)</f>
        <v>6.2003968352645309</v>
      </c>
      <c r="F203" s="1">
        <f ca="1">SUM($E$6:E203)/A203</f>
        <v>6.2812040384235974</v>
      </c>
    </row>
    <row r="204" spans="1:6" x14ac:dyDescent="0.25">
      <c r="A204" s="1">
        <v>199</v>
      </c>
      <c r="B204" s="1">
        <f t="shared" ca="1" si="9"/>
        <v>8.3823846031848106</v>
      </c>
      <c r="C204" s="1">
        <f t="shared" ca="1" si="10"/>
        <v>7.6017945080411211</v>
      </c>
      <c r="D204" s="1">
        <f t="shared" ca="1" si="11"/>
        <v>7.6017945080411211</v>
      </c>
      <c r="E204" s="1">
        <f ca="1">SUM($B$6:C204)/(2*A204)</f>
        <v>6.2094003162713065</v>
      </c>
      <c r="F204" s="1">
        <f ca="1">SUM($E$6:E204)/A204</f>
        <v>6.280843215699214</v>
      </c>
    </row>
    <row r="205" spans="1:6" x14ac:dyDescent="0.25">
      <c r="A205" s="1">
        <v>200</v>
      </c>
      <c r="B205" s="1">
        <f t="shared" ca="1" si="9"/>
        <v>9.8698661600840492</v>
      </c>
      <c r="C205" s="1">
        <f t="shared" ca="1" si="10"/>
        <v>9.5091364199819939</v>
      </c>
      <c r="D205" s="1">
        <f t="shared" ca="1" si="11"/>
        <v>9.5091364199819939</v>
      </c>
      <c r="E205" s="1">
        <f ca="1">SUM($B$6:C205)/(2*A205)</f>
        <v>6.2268008211401158</v>
      </c>
      <c r="F205" s="1">
        <f ca="1">SUM($E$6:E205)/A205</f>
        <v>6.2805730037264187</v>
      </c>
    </row>
    <row r="206" spans="1:6" x14ac:dyDescent="0.25">
      <c r="A206" s="1">
        <v>201</v>
      </c>
      <c r="B206" s="1">
        <f t="shared" ca="1" si="9"/>
        <v>7.012915990931031</v>
      </c>
      <c r="C206" s="1">
        <f t="shared" ca="1" si="10"/>
        <v>4.3255046184408545</v>
      </c>
      <c r="D206" s="1">
        <f t="shared" ca="1" si="11"/>
        <v>4.3255046184408545</v>
      </c>
      <c r="E206" s="1">
        <f ca="1">SUM($B$6:C206)/(2*A206)</f>
        <v>6.2240267389687025</v>
      </c>
      <c r="F206" s="1">
        <f ca="1">SUM($E$6:E206)/A206</f>
        <v>6.2802916790261314</v>
      </c>
    </row>
    <row r="207" spans="1:6" x14ac:dyDescent="0.25">
      <c r="A207" s="1">
        <v>202</v>
      </c>
      <c r="B207" s="1">
        <f t="shared" ca="1" si="9"/>
        <v>1.2998287399039343</v>
      </c>
      <c r="C207" s="1">
        <f t="shared" ca="1" si="10"/>
        <v>1.9963145784659297</v>
      </c>
      <c r="D207" s="1">
        <f t="shared" ca="1" si="11"/>
        <v>1.2998287399039343</v>
      </c>
      <c r="E207" s="1">
        <f ca="1">SUM($B$6:C207)/(2*A207)</f>
        <v>6.2013734959994764</v>
      </c>
      <c r="F207" s="1">
        <f ca="1">SUM($E$6:E207)/A207</f>
        <v>6.279900994951741</v>
      </c>
    </row>
    <row r="208" spans="1:6" x14ac:dyDescent="0.25">
      <c r="A208" s="1">
        <v>203</v>
      </c>
      <c r="B208" s="1">
        <f t="shared" ca="1" si="9"/>
        <v>8.9025284576446211</v>
      </c>
      <c r="C208" s="1">
        <f t="shared" ca="1" si="10"/>
        <v>11.347495216040816</v>
      </c>
      <c r="D208" s="1">
        <f t="shared" ca="1" si="11"/>
        <v>8.9025284576446211</v>
      </c>
      <c r="E208" s="1">
        <f ca="1">SUM($B$6:C208)/(2*A208)</f>
        <v>6.2207017636883597</v>
      </c>
      <c r="F208" s="1">
        <f ca="1">SUM($E$6:E208)/A208</f>
        <v>6.2796093731228577</v>
      </c>
    </row>
    <row r="209" spans="1:6" x14ac:dyDescent="0.25">
      <c r="A209" s="1">
        <v>204</v>
      </c>
      <c r="B209" s="1">
        <f t="shared" ca="1" si="9"/>
        <v>6.0584602605464415</v>
      </c>
      <c r="C209" s="1">
        <f t="shared" ca="1" si="10"/>
        <v>13.439563108126055</v>
      </c>
      <c r="D209" s="1">
        <f t="shared" ca="1" si="11"/>
        <v>6.0584602605464415</v>
      </c>
      <c r="E209" s="1">
        <f ca="1">SUM($B$6:C209)/(2*A209)</f>
        <v>6.2379974005542804</v>
      </c>
      <c r="F209" s="1">
        <f ca="1">SUM($E$6:E209)/A209</f>
        <v>6.2794053928651694</v>
      </c>
    </row>
    <row r="210" spans="1:6" x14ac:dyDescent="0.25">
      <c r="A210" s="1">
        <v>205</v>
      </c>
      <c r="B210" s="1">
        <f t="shared" ca="1" si="9"/>
        <v>6.7111311359435701</v>
      </c>
      <c r="C210" s="1">
        <f t="shared" ca="1" si="10"/>
        <v>4.8555226152641549</v>
      </c>
      <c r="D210" s="1">
        <f t="shared" ca="1" si="11"/>
        <v>4.8555226152641549</v>
      </c>
      <c r="E210" s="1">
        <f ca="1">SUM($B$6:C210)/(2*A210)</f>
        <v>6.2357794955545227</v>
      </c>
      <c r="F210" s="1">
        <f ca="1">SUM($E$6:E210)/A210</f>
        <v>6.2791925836099942</v>
      </c>
    </row>
    <row r="211" spans="1:6" x14ac:dyDescent="0.25">
      <c r="A211" s="1">
        <v>206</v>
      </c>
      <c r="B211" s="1">
        <f t="shared" ca="1" si="9"/>
        <v>0.75806689910948633</v>
      </c>
      <c r="C211" s="1">
        <f t="shared" ca="1" si="10"/>
        <v>13.452298848060822</v>
      </c>
      <c r="D211" s="1">
        <f t="shared" ca="1" si="11"/>
        <v>0.75806689910948633</v>
      </c>
      <c r="E211" s="1">
        <f ca="1">SUM($B$6:C211)/(2*A211)</f>
        <v>6.2399999003022444</v>
      </c>
      <c r="F211" s="1">
        <f ca="1">SUM($E$6:E211)/A211</f>
        <v>6.2790023278657827</v>
      </c>
    </row>
    <row r="212" spans="1:6" x14ac:dyDescent="0.25">
      <c r="A212" s="1">
        <v>207</v>
      </c>
      <c r="B212" s="1">
        <f t="shared" ca="1" si="9"/>
        <v>2.8147850098672378</v>
      </c>
      <c r="C212" s="1">
        <f t="shared" ca="1" si="10"/>
        <v>3.3074387672259475</v>
      </c>
      <c r="D212" s="1">
        <f t="shared" ca="1" si="11"/>
        <v>2.8147850098672378</v>
      </c>
      <c r="E212" s="1">
        <f ca="1">SUM($B$6:C212)/(2*A212)</f>
        <v>6.2246429533855494</v>
      </c>
      <c r="F212" s="1">
        <f ca="1">SUM($E$6:E212)/A212</f>
        <v>6.2787397221919647</v>
      </c>
    </row>
    <row r="213" spans="1:6" x14ac:dyDescent="0.25">
      <c r="A213" s="1">
        <v>208</v>
      </c>
      <c r="B213" s="1">
        <f t="shared" ca="1" si="9"/>
        <v>2.3363013532243482</v>
      </c>
      <c r="C213" s="1">
        <f t="shared" ca="1" si="10"/>
        <v>5.7084383284029432</v>
      </c>
      <c r="D213" s="1">
        <f t="shared" ca="1" si="11"/>
        <v>2.3363013532243482</v>
      </c>
      <c r="E213" s="1">
        <f ca="1">SUM($B$6:C213)/(2*A213)</f>
        <v>6.2140551018828001</v>
      </c>
      <c r="F213" s="1">
        <f ca="1">SUM($E$6:E213)/A213</f>
        <v>6.2784287384404784</v>
      </c>
    </row>
    <row r="214" spans="1:6" x14ac:dyDescent="0.25">
      <c r="A214" s="1">
        <v>209</v>
      </c>
      <c r="B214" s="1">
        <f t="shared" ca="1" si="9"/>
        <v>7.5229831994931553</v>
      </c>
      <c r="C214" s="1">
        <f t="shared" ca="1" si="10"/>
        <v>7.4099730253676368</v>
      </c>
      <c r="D214" s="1">
        <f t="shared" ca="1" si="11"/>
        <v>7.4099730253676368</v>
      </c>
      <c r="E214" s="1">
        <f ca="1">SUM($B$6:C214)/(2*A214)</f>
        <v>6.2200475564787201</v>
      </c>
      <c r="F214" s="1">
        <f ca="1">SUM($E$6:E214)/A214</f>
        <v>6.2781494026416187</v>
      </c>
    </row>
    <row r="215" spans="1:6" x14ac:dyDescent="0.25">
      <c r="A215" s="1">
        <v>210</v>
      </c>
      <c r="B215" s="1">
        <f t="shared" ca="1" si="9"/>
        <v>2.1857381381328644</v>
      </c>
      <c r="C215" s="1">
        <f t="shared" ca="1" si="10"/>
        <v>11.301795663161284</v>
      </c>
      <c r="D215" s="1">
        <f t="shared" ca="1" si="11"/>
        <v>2.1857381381328644</v>
      </c>
      <c r="E215" s="1">
        <f ca="1">SUM($B$6:C215)/(2*A215)</f>
        <v>6.2225414581176164</v>
      </c>
      <c r="F215" s="1">
        <f ca="1">SUM($E$6:E215)/A215</f>
        <v>6.2778846029057895</v>
      </c>
    </row>
    <row r="216" spans="1:6" x14ac:dyDescent="0.25">
      <c r="A216" s="1">
        <v>211</v>
      </c>
      <c r="B216" s="1">
        <f t="shared" ca="1" si="9"/>
        <v>0.83391912358064979</v>
      </c>
      <c r="C216" s="1">
        <f t="shared" ca="1" si="10"/>
        <v>14.468460015640936</v>
      </c>
      <c r="D216" s="1">
        <f t="shared" ca="1" si="11"/>
        <v>0.83391912358064979</v>
      </c>
      <c r="E216" s="1">
        <f ca="1">SUM($B$6:C216)/(2*A216)</f>
        <v>6.2293123022479158</v>
      </c>
      <c r="F216" s="1">
        <f ca="1">SUM($E$6:E216)/A216</f>
        <v>6.2776544024287384</v>
      </c>
    </row>
    <row r="217" spans="1:6" x14ac:dyDescent="0.25">
      <c r="A217" s="1">
        <v>212</v>
      </c>
      <c r="B217" s="1">
        <f t="shared" ca="1" si="9"/>
        <v>7.8705203904981413</v>
      </c>
      <c r="C217" s="1">
        <f t="shared" ca="1" si="10"/>
        <v>4.3402032811951088</v>
      </c>
      <c r="D217" s="1">
        <f t="shared" ca="1" si="11"/>
        <v>4.3402032811951088</v>
      </c>
      <c r="E217" s="1">
        <f ca="1">SUM($B$6:C217)/(2*A217)</f>
        <v>6.2287276302365893</v>
      </c>
      <c r="F217" s="1">
        <f ca="1">SUM($E$6:E217)/A217</f>
        <v>6.2774236157674546</v>
      </c>
    </row>
    <row r="218" spans="1:6" x14ac:dyDescent="0.25">
      <c r="A218" s="1">
        <v>213</v>
      </c>
      <c r="B218" s="1">
        <f t="shared" ca="1" si="9"/>
        <v>4.2698478471648382</v>
      </c>
      <c r="C218" s="1">
        <f t="shared" ca="1" si="10"/>
        <v>11.135364573458961</v>
      </c>
      <c r="D218" s="1">
        <f t="shared" ca="1" si="11"/>
        <v>4.2698478471648382</v>
      </c>
      <c r="E218" s="1">
        <f ca="1">SUM($B$6:C218)/(2*A218)</f>
        <v>6.2356472479834215</v>
      </c>
      <c r="F218" s="1">
        <f ca="1">SUM($E$6:E218)/A218</f>
        <v>6.2772274825853698</v>
      </c>
    </row>
    <row r="219" spans="1:6" x14ac:dyDescent="0.25">
      <c r="A219" s="1">
        <v>214</v>
      </c>
      <c r="B219" s="1">
        <f t="shared" ca="1" si="9"/>
        <v>4.7608451230878535</v>
      </c>
      <c r="C219" s="1">
        <f t="shared" ca="1" si="10"/>
        <v>0.54532460139386563</v>
      </c>
      <c r="D219" s="1">
        <f t="shared" ca="1" si="11"/>
        <v>0.54532460139386563</v>
      </c>
      <c r="E219" s="1">
        <f ca="1">SUM($B$6:C219)/(2*A219)</f>
        <v>6.218906302255653</v>
      </c>
      <c r="F219" s="1">
        <f ca="1">SUM($E$6:E219)/A219</f>
        <v>6.2769549537053244</v>
      </c>
    </row>
    <row r="220" spans="1:6" x14ac:dyDescent="0.25">
      <c r="A220" s="1">
        <v>215</v>
      </c>
      <c r="B220" s="1">
        <f t="shared" ca="1" si="9"/>
        <v>8.7491663842562986</v>
      </c>
      <c r="C220" s="1">
        <f t="shared" ca="1" si="10"/>
        <v>7.5092744587398341E-2</v>
      </c>
      <c r="D220" s="1">
        <f t="shared" ca="1" si="11"/>
        <v>7.5092744587398341E-2</v>
      </c>
      <c r="E220" s="1">
        <f ca="1">SUM($B$6:C220)/(2*A220)</f>
        <v>6.2105026895215421</v>
      </c>
      <c r="F220" s="1">
        <f ca="1">SUM($E$6:E220)/A220</f>
        <v>6.2766458734067951</v>
      </c>
    </row>
    <row r="221" spans="1:6" x14ac:dyDescent="0.25">
      <c r="A221" s="1">
        <v>216</v>
      </c>
      <c r="B221" s="1">
        <f t="shared" ca="1" si="9"/>
        <v>2.2381170931241989</v>
      </c>
      <c r="C221" s="1">
        <f t="shared" ca="1" si="10"/>
        <v>6.7078175652357555</v>
      </c>
      <c r="D221" s="1">
        <f t="shared" ca="1" si="11"/>
        <v>2.2381170931241989</v>
      </c>
      <c r="E221" s="1">
        <f ca="1">SUM($B$6:C221)/(2*A221)</f>
        <v>6.2024585443347764</v>
      </c>
      <c r="F221" s="1">
        <f ca="1">SUM($E$6:E221)/A221</f>
        <v>6.2763024135499803</v>
      </c>
    </row>
    <row r="222" spans="1:6" x14ac:dyDescent="0.25">
      <c r="A222" s="1">
        <v>217</v>
      </c>
      <c r="B222" s="1">
        <f t="shared" ca="1" si="9"/>
        <v>2.0530921188078608</v>
      </c>
      <c r="C222" s="1">
        <f t="shared" ca="1" si="10"/>
        <v>0.7732096643180586</v>
      </c>
      <c r="D222" s="1">
        <f t="shared" ca="1" si="11"/>
        <v>0.7732096643180586</v>
      </c>
      <c r="E222" s="1">
        <f ca="1">SUM($B$6:C222)/(2*A222)</f>
        <v>6.1803880021561044</v>
      </c>
      <c r="F222" s="1">
        <f ca="1">SUM($E$6:E222)/A222</f>
        <v>6.2758604116541568</v>
      </c>
    </row>
    <row r="223" spans="1:6" x14ac:dyDescent="0.25">
      <c r="A223" s="1">
        <v>218</v>
      </c>
      <c r="B223" s="1">
        <f t="shared" ca="1" si="9"/>
        <v>4.6268375268070709</v>
      </c>
      <c r="C223" s="1">
        <f t="shared" ca="1" si="10"/>
        <v>10.395789984049472</v>
      </c>
      <c r="D223" s="1">
        <f t="shared" ca="1" si="11"/>
        <v>4.6268375268070709</v>
      </c>
      <c r="E223" s="1">
        <f ca="1">SUM($B$6:C223)/(2*A223)</f>
        <v>6.1864931661619398</v>
      </c>
      <c r="F223" s="1">
        <f ca="1">SUM($E$6:E223)/A223</f>
        <v>6.2754504701610729</v>
      </c>
    </row>
    <row r="224" spans="1:6" x14ac:dyDescent="0.25">
      <c r="A224" s="1">
        <v>219</v>
      </c>
      <c r="B224" s="1">
        <f t="shared" ca="1" si="9"/>
        <v>4.8492495588356945</v>
      </c>
      <c r="C224" s="1">
        <f t="shared" ca="1" si="10"/>
        <v>4.3954727614635409</v>
      </c>
      <c r="D224" s="1">
        <f t="shared" ca="1" si="11"/>
        <v>4.3954727614635409</v>
      </c>
      <c r="E224" s="1">
        <f ca="1">SUM($B$6:C224)/(2*A224)</f>
        <v>6.1793510108833445</v>
      </c>
      <c r="F224" s="1">
        <f ca="1">SUM($E$6:E224)/A224</f>
        <v>6.2750116598447354</v>
      </c>
    </row>
    <row r="225" spans="1:6" x14ac:dyDescent="0.25">
      <c r="A225" s="1">
        <v>220</v>
      </c>
      <c r="B225" s="1">
        <f t="shared" ca="1" si="9"/>
        <v>7.031362459727645</v>
      </c>
      <c r="C225" s="1">
        <f t="shared" ca="1" si="10"/>
        <v>6.8914518754084506</v>
      </c>
      <c r="D225" s="1">
        <f t="shared" ca="1" si="11"/>
        <v>6.8914518754084506</v>
      </c>
      <c r="E225" s="1">
        <f ca="1">SUM($B$6:C225)/(2*A225)</f>
        <v>6.182905811595548</v>
      </c>
      <c r="F225" s="1">
        <f ca="1">SUM($E$6:E225)/A225</f>
        <v>6.2745929968981482</v>
      </c>
    </row>
    <row r="226" spans="1:6" x14ac:dyDescent="0.25">
      <c r="A226" s="1">
        <v>221</v>
      </c>
      <c r="B226" s="1">
        <f t="shared" ca="1" si="9"/>
        <v>3.9235059308246178</v>
      </c>
      <c r="C226" s="1">
        <f t="shared" ca="1" si="10"/>
        <v>13.588590921500701</v>
      </c>
      <c r="D226" s="1">
        <f t="shared" ca="1" si="11"/>
        <v>3.9235059308246178</v>
      </c>
      <c r="E226" s="1">
        <f ca="1">SUM($B$6:C226)/(2*A226)</f>
        <v>6.1945489908469833</v>
      </c>
      <c r="F226" s="1">
        <f ca="1">SUM($E$6:E226)/A226</f>
        <v>6.2742308068255177</v>
      </c>
    </row>
    <row r="227" spans="1:6" x14ac:dyDescent="0.25">
      <c r="A227" s="1">
        <v>222</v>
      </c>
      <c r="B227" s="1">
        <f t="shared" ca="1" si="9"/>
        <v>1.1384987550130543</v>
      </c>
      <c r="C227" s="1">
        <f t="shared" ca="1" si="10"/>
        <v>3.0209381903721777</v>
      </c>
      <c r="D227" s="1">
        <f t="shared" ca="1" si="11"/>
        <v>1.1384987550130543</v>
      </c>
      <c r="E227" s="1">
        <f ca="1">SUM($B$6:C227)/(2*A227)</f>
        <v>6.1760137182426851</v>
      </c>
      <c r="F227" s="1">
        <f ca="1">SUM($E$6:E227)/A227</f>
        <v>6.2737883875075777</v>
      </c>
    </row>
    <row r="228" spans="1:6" x14ac:dyDescent="0.25">
      <c r="A228" s="1">
        <v>223</v>
      </c>
      <c r="B228" s="1">
        <f t="shared" ca="1" si="9"/>
        <v>5.1269373364833228</v>
      </c>
      <c r="C228" s="1">
        <f t="shared" ca="1" si="10"/>
        <v>3.4131226715746257</v>
      </c>
      <c r="D228" s="1">
        <f t="shared" ca="1" si="11"/>
        <v>3.4131226715746257</v>
      </c>
      <c r="E228" s="1">
        <f ca="1">SUM($B$6:C228)/(2*A228)</f>
        <v>6.1674667060713233</v>
      </c>
      <c r="F228" s="1">
        <f ca="1">SUM($E$6:E228)/A228</f>
        <v>6.2733116086670559</v>
      </c>
    </row>
    <row r="229" spans="1:6" x14ac:dyDescent="0.25">
      <c r="A229" s="1">
        <v>224</v>
      </c>
      <c r="B229" s="1">
        <f t="shared" ca="1" si="9"/>
        <v>3.1477777600689816</v>
      </c>
      <c r="C229" s="1">
        <f t="shared" ca="1" si="10"/>
        <v>3.3458462390036607</v>
      </c>
      <c r="D229" s="1">
        <f t="shared" ca="1" si="11"/>
        <v>3.1477777600689816</v>
      </c>
      <c r="E229" s="1">
        <f ca="1">SUM($B$6:C229)/(2*A229)</f>
        <v>6.1544280689885777</v>
      </c>
      <c r="F229" s="1">
        <f ca="1">SUM($E$6:E229)/A229</f>
        <v>6.2727808785792059</v>
      </c>
    </row>
    <row r="230" spans="1:6" x14ac:dyDescent="0.25">
      <c r="A230" s="1">
        <v>225</v>
      </c>
      <c r="B230" s="1">
        <f t="shared" ca="1" si="9"/>
        <v>7.3539543825860267</v>
      </c>
      <c r="C230" s="1">
        <f t="shared" ca="1" si="10"/>
        <v>5.7943428267572736</v>
      </c>
      <c r="D230" s="1">
        <f t="shared" ca="1" si="11"/>
        <v>5.7943428267572736</v>
      </c>
      <c r="E230" s="1">
        <f ca="1">SUM($B$6:C230)/(2*A230)</f>
        <v>6.1562934935916127</v>
      </c>
      <c r="F230" s="1">
        <f ca="1">SUM($E$6:E230)/A230</f>
        <v>6.2722631568681502</v>
      </c>
    </row>
    <row r="231" spans="1:6" x14ac:dyDescent="0.25">
      <c r="A231" s="1">
        <v>226</v>
      </c>
      <c r="B231" s="1">
        <f t="shared" ca="1" si="9"/>
        <v>0.51241901425857272</v>
      </c>
      <c r="C231" s="1">
        <f t="shared" ca="1" si="10"/>
        <v>4.1186399881602132</v>
      </c>
      <c r="D231" s="1">
        <f t="shared" ca="1" si="11"/>
        <v>0.51241901425857272</v>
      </c>
      <c r="E231" s="1">
        <f ca="1">SUM($B$6:C231)/(2*A231)</f>
        <v>6.1392989626518695</v>
      </c>
      <c r="F231" s="1">
        <f ca="1">SUM($E$6:E231)/A231</f>
        <v>6.2716748197255994</v>
      </c>
    </row>
    <row r="232" spans="1:6" x14ac:dyDescent="0.25">
      <c r="A232" s="1">
        <v>227</v>
      </c>
      <c r="B232" s="1">
        <f t="shared" ca="1" si="9"/>
        <v>4.154163793295421</v>
      </c>
      <c r="C232" s="1">
        <f t="shared" ca="1" si="10"/>
        <v>12.099936391090306</v>
      </c>
      <c r="D232" s="1">
        <f t="shared" ca="1" si="11"/>
        <v>4.154163793295421</v>
      </c>
      <c r="E232" s="1">
        <f ca="1">SUM($B$6:C232)/(2*A232)</f>
        <v>6.1480555755573372</v>
      </c>
      <c r="F232" s="1">
        <f ca="1">SUM($E$6:E232)/A232</f>
        <v>6.271130241557457</v>
      </c>
    </row>
    <row r="233" spans="1:6" x14ac:dyDescent="0.25">
      <c r="A233" s="1">
        <v>228</v>
      </c>
      <c r="B233" s="1">
        <f t="shared" ca="1" si="9"/>
        <v>6.6210679405998132</v>
      </c>
      <c r="C233" s="1">
        <f t="shared" ca="1" si="10"/>
        <v>14.766428986121081</v>
      </c>
      <c r="D233" s="1">
        <f t="shared" ca="1" si="11"/>
        <v>6.6210679405998132</v>
      </c>
      <c r="E233" s="1">
        <f ca="1">SUM($B$6:C233)/(2*A233)</f>
        <v>6.1679928250652454</v>
      </c>
      <c r="F233" s="1">
        <f ca="1">SUM($E$6:E233)/A233</f>
        <v>6.2706778844675792</v>
      </c>
    </row>
    <row r="234" spans="1:6" x14ac:dyDescent="0.25">
      <c r="A234" s="1">
        <v>229</v>
      </c>
      <c r="B234" s="1">
        <f t="shared" ca="1" si="9"/>
        <v>0.94407954450039133</v>
      </c>
      <c r="C234" s="1">
        <f t="shared" ca="1" si="10"/>
        <v>2.9208920642128602</v>
      </c>
      <c r="D234" s="1">
        <f t="shared" ca="1" si="11"/>
        <v>0.94407954450039133</v>
      </c>
      <c r="E234" s="1">
        <f ca="1">SUM($B$6:C234)/(2*A234)</f>
        <v>6.1494971612193554</v>
      </c>
      <c r="F234" s="1">
        <f ca="1">SUM($E$6:E234)/A234</f>
        <v>6.270148711003614</v>
      </c>
    </row>
    <row r="235" spans="1:6" x14ac:dyDescent="0.25">
      <c r="A235" s="1">
        <v>230</v>
      </c>
      <c r="B235" s="1">
        <f t="shared" ca="1" si="9"/>
        <v>3.2509195854036488</v>
      </c>
      <c r="C235" s="1">
        <f t="shared" ca="1" si="10"/>
        <v>11.696433285989444</v>
      </c>
      <c r="D235" s="1">
        <f t="shared" ca="1" si="11"/>
        <v>3.2509195854036488</v>
      </c>
      <c r="E235" s="1">
        <f ca="1">SUM($B$6:C235)/(2*A235)</f>
        <v>6.1552544624127341</v>
      </c>
      <c r="F235" s="1">
        <f ca="1">SUM($E$6:E235)/A235</f>
        <v>6.2696491707923494</v>
      </c>
    </row>
    <row r="236" spans="1:6" x14ac:dyDescent="0.25">
      <c r="A236" s="1">
        <v>231</v>
      </c>
      <c r="B236" s="1">
        <f t="shared" ca="1" si="9"/>
        <v>9.8683736858361204</v>
      </c>
      <c r="C236" s="1">
        <f t="shared" ca="1" si="10"/>
        <v>12.722995354447015</v>
      </c>
      <c r="D236" s="1">
        <f t="shared" ca="1" si="11"/>
        <v>9.8683736858361204</v>
      </c>
      <c r="E236" s="1">
        <f ca="1">SUM($B$6:C236)/(2*A236)</f>
        <v>6.1775074063855859</v>
      </c>
      <c r="F236" s="1">
        <f ca="1">SUM($E$6:E236)/A236</f>
        <v>6.2692502886953498</v>
      </c>
    </row>
    <row r="237" spans="1:6" x14ac:dyDescent="0.25">
      <c r="A237" s="1">
        <v>232</v>
      </c>
      <c r="B237" s="1">
        <f t="shared" ca="1" si="9"/>
        <v>6.2759870152760602</v>
      </c>
      <c r="C237" s="1">
        <f t="shared" ca="1" si="10"/>
        <v>13.619967398795474</v>
      </c>
      <c r="D237" s="1">
        <f t="shared" ca="1" si="11"/>
        <v>6.2759870152760602</v>
      </c>
      <c r="E237" s="1">
        <f ca="1">SUM($B$6:C237)/(2*A237)</f>
        <v>6.1937594313883881</v>
      </c>
      <c r="F237" s="1">
        <f ca="1">SUM($E$6:E237)/A237</f>
        <v>6.2689248970690263</v>
      </c>
    </row>
    <row r="238" spans="1:6" x14ac:dyDescent="0.25">
      <c r="A238" s="1">
        <v>233</v>
      </c>
      <c r="B238" s="1">
        <f t="shared" ca="1" si="9"/>
        <v>5.3817166520682775</v>
      </c>
      <c r="C238" s="1">
        <f t="shared" ca="1" si="10"/>
        <v>8.7063969598749491</v>
      </c>
      <c r="D238" s="1">
        <f t="shared" ca="1" si="11"/>
        <v>5.3817166520682775</v>
      </c>
      <c r="E238" s="1">
        <f ca="1">SUM($B$6:C238)/(2*A238)</f>
        <v>6.1974087763436811</v>
      </c>
      <c r="F238" s="1">
        <f ca="1">SUM($E$6:E238)/A238</f>
        <v>6.2686179609285748</v>
      </c>
    </row>
    <row r="239" spans="1:6" x14ac:dyDescent="0.25">
      <c r="A239" s="1">
        <v>234</v>
      </c>
      <c r="B239" s="1">
        <f t="shared" ca="1" si="9"/>
        <v>0.64110858261662074</v>
      </c>
      <c r="C239" s="1">
        <f t="shared" ca="1" si="10"/>
        <v>10.834564267189112</v>
      </c>
      <c r="D239" s="1">
        <f t="shared" ca="1" si="11"/>
        <v>0.64110858261662074</v>
      </c>
      <c r="E239" s="1">
        <f ca="1">SUM($B$6:C239)/(2*A239)</f>
        <v>6.1954447919358149</v>
      </c>
      <c r="F239" s="1">
        <f ca="1">SUM($E$6:E239)/A239</f>
        <v>6.2683052550781788</v>
      </c>
    </row>
    <row r="240" spans="1:6" x14ac:dyDescent="0.25">
      <c r="A240" s="1">
        <v>235</v>
      </c>
      <c r="B240" s="1">
        <f t="shared" ca="1" si="9"/>
        <v>5.7014836500215136</v>
      </c>
      <c r="C240" s="1">
        <f t="shared" ca="1" si="10"/>
        <v>12.834048630609372</v>
      </c>
      <c r="D240" s="1">
        <f t="shared" ca="1" si="11"/>
        <v>5.7014836500215136</v>
      </c>
      <c r="E240" s="1">
        <f ca="1">SUM($B$6:C240)/(2*A240)</f>
        <v>6.2085184998012597</v>
      </c>
      <c r="F240" s="1">
        <f ca="1">SUM($E$6:E240)/A240</f>
        <v>6.2680508433535964</v>
      </c>
    </row>
    <row r="241" spans="1:6" x14ac:dyDescent="0.25">
      <c r="A241" s="1">
        <v>236</v>
      </c>
      <c r="B241" s="1">
        <f t="shared" ca="1" si="9"/>
        <v>8.4696765229040434</v>
      </c>
      <c r="C241" s="1">
        <f t="shared" ca="1" si="10"/>
        <v>12.156946279757763</v>
      </c>
      <c r="D241" s="1">
        <f t="shared" ca="1" si="11"/>
        <v>8.4696765229040434</v>
      </c>
      <c r="E241" s="1">
        <f ca="1">SUM($B$6:C241)/(2*A241)</f>
        <v>6.2259116900619791</v>
      </c>
      <c r="F241" s="1">
        <f ca="1">SUM($E$6:E241)/A241</f>
        <v>6.2678722876193103</v>
      </c>
    </row>
    <row r="242" spans="1:6" x14ac:dyDescent="0.25">
      <c r="A242" s="1">
        <v>237</v>
      </c>
      <c r="B242" s="1">
        <f t="shared" ca="1" si="9"/>
        <v>4.7241950719631554</v>
      </c>
      <c r="C242" s="1">
        <f t="shared" ca="1" si="10"/>
        <v>13.466272340549589</v>
      </c>
      <c r="D242" s="1">
        <f t="shared" ca="1" si="11"/>
        <v>4.7241950719631554</v>
      </c>
      <c r="E242" s="1">
        <f ca="1">SUM($B$6:C242)/(2*A242)</f>
        <v>6.2380185340121663</v>
      </c>
      <c r="F242" s="1">
        <f ca="1">SUM($E$6:E242)/A242</f>
        <v>6.2677463224142169</v>
      </c>
    </row>
    <row r="243" spans="1:6" x14ac:dyDescent="0.25">
      <c r="A243" s="1">
        <v>238</v>
      </c>
      <c r="B243" s="1">
        <f t="shared" ca="1" si="9"/>
        <v>3.8202023896039883</v>
      </c>
      <c r="C243" s="1">
        <f t="shared" ca="1" si="10"/>
        <v>6.252200031580422</v>
      </c>
      <c r="D243" s="1">
        <f t="shared" ca="1" si="11"/>
        <v>3.8202023896039883</v>
      </c>
      <c r="E243" s="1">
        <f ca="1">SUM($B$6:C243)/(2*A243)</f>
        <v>6.232968881392754</v>
      </c>
      <c r="F243" s="1">
        <f ca="1">SUM($E$6:E243)/A243</f>
        <v>6.2676001987124454</v>
      </c>
    </row>
    <row r="244" spans="1:6" x14ac:dyDescent="0.25">
      <c r="A244" s="1">
        <v>239</v>
      </c>
      <c r="B244" s="1">
        <f t="shared" ca="1" si="9"/>
        <v>2.9835512108680851</v>
      </c>
      <c r="C244" s="1">
        <f t="shared" ca="1" si="10"/>
        <v>2.0768538415142936</v>
      </c>
      <c r="D244" s="1">
        <f t="shared" ca="1" si="11"/>
        <v>2.0768538415142936</v>
      </c>
      <c r="E244" s="1">
        <f ca="1">SUM($B$6:C244)/(2*A244)</f>
        <v>6.2174761351366792</v>
      </c>
      <c r="F244" s="1">
        <f ca="1">SUM($E$6:E244)/A244</f>
        <v>6.2673904745970654</v>
      </c>
    </row>
    <row r="245" spans="1:6" x14ac:dyDescent="0.25">
      <c r="A245" s="1">
        <v>240</v>
      </c>
      <c r="B245" s="1">
        <f t="shared" ca="1" si="9"/>
        <v>7.085477221433476</v>
      </c>
      <c r="C245" s="1">
        <f t="shared" ca="1" si="10"/>
        <v>7.0691797372364453</v>
      </c>
      <c r="D245" s="1">
        <f t="shared" ca="1" si="11"/>
        <v>7.0691797372364453</v>
      </c>
      <c r="E245" s="1">
        <f ca="1">SUM($B$6:C245)/(2*A245)</f>
        <v>6.2210588532375057</v>
      </c>
      <c r="F245" s="1">
        <f ca="1">SUM($E$6:E245)/A245</f>
        <v>6.2671974261747341</v>
      </c>
    </row>
    <row r="246" spans="1:6" x14ac:dyDescent="0.25">
      <c r="A246" s="1">
        <v>241</v>
      </c>
      <c r="B246" s="1">
        <f t="shared" ca="1" si="9"/>
        <v>8.3369075606845957</v>
      </c>
      <c r="C246" s="1">
        <f t="shared" ca="1" si="10"/>
        <v>5.9390527191316256</v>
      </c>
      <c r="D246" s="1">
        <f t="shared" ca="1" si="11"/>
        <v>5.9390527191316256</v>
      </c>
      <c r="E246" s="1">
        <f ca="1">SUM($B$6:C246)/(2*A246)</f>
        <v>6.2248635058792932</v>
      </c>
      <c r="F246" s="1">
        <f ca="1">SUM($E$6:E246)/A246</f>
        <v>6.2670217667544215</v>
      </c>
    </row>
    <row r="247" spans="1:6" x14ac:dyDescent="0.25">
      <c r="A247" s="1">
        <v>242</v>
      </c>
      <c r="B247" s="1">
        <f t="shared" ca="1" si="9"/>
        <v>6.9593031493554189</v>
      </c>
      <c r="C247" s="1">
        <f t="shared" ca="1" si="10"/>
        <v>7.6893196460409436</v>
      </c>
      <c r="D247" s="1">
        <f t="shared" ca="1" si="11"/>
        <v>6.9593031493554189</v>
      </c>
      <c r="E247" s="1">
        <f ca="1">SUM($B$6:C247)/(2*A247)</f>
        <v>6.229406678985983</v>
      </c>
      <c r="F247" s="1">
        <f ca="1">SUM($E$6:E247)/A247</f>
        <v>6.2668663325074441</v>
      </c>
    </row>
    <row r="248" spans="1:6" x14ac:dyDescent="0.25">
      <c r="A248" s="1">
        <v>243</v>
      </c>
      <c r="B248" s="1">
        <f t="shared" ca="1" si="9"/>
        <v>7.7395311300839209</v>
      </c>
      <c r="C248" s="1">
        <f t="shared" ca="1" si="10"/>
        <v>10.039530041450158</v>
      </c>
      <c r="D248" s="1">
        <f t="shared" ca="1" si="11"/>
        <v>7.7395311300839209</v>
      </c>
      <c r="E248" s="1">
        <f ca="1">SUM($B$6:C248)/(2*A248)</f>
        <v>6.2403536909480444</v>
      </c>
      <c r="F248" s="1">
        <f ca="1">SUM($E$6:E248)/A248</f>
        <v>6.2667572269866234</v>
      </c>
    </row>
    <row r="249" spans="1:6" x14ac:dyDescent="0.25">
      <c r="A249" s="1">
        <v>244</v>
      </c>
      <c r="B249" s="1">
        <f t="shared" ca="1" si="9"/>
        <v>1.2890057393127752</v>
      </c>
      <c r="C249" s="1">
        <f t="shared" ca="1" si="10"/>
        <v>12.301954180738541</v>
      </c>
      <c r="D249" s="1">
        <f t="shared" ca="1" si="11"/>
        <v>1.2890057393127752</v>
      </c>
      <c r="E249" s="1">
        <f ca="1">SUM($B$6:C249)/(2*A249)</f>
        <v>6.242628798608199</v>
      </c>
      <c r="F249" s="1">
        <f ca="1">SUM($E$6:E249)/A249</f>
        <v>6.2666583399850726</v>
      </c>
    </row>
    <row r="250" spans="1:6" x14ac:dyDescent="0.25">
      <c r="A250" s="1">
        <v>245</v>
      </c>
      <c r="B250" s="1">
        <f t="shared" ca="1" si="9"/>
        <v>9.9389260496163168</v>
      </c>
      <c r="C250" s="1">
        <f t="shared" ca="1" si="10"/>
        <v>6.120623799381435</v>
      </c>
      <c r="D250" s="1">
        <f t="shared" ca="1" si="11"/>
        <v>6.120623799381435</v>
      </c>
      <c r="E250" s="1">
        <f ca="1">SUM($B$6:C250)/(2*A250)</f>
        <v>6.2499232725914267</v>
      </c>
      <c r="F250" s="1">
        <f ca="1">SUM($E$6:E250)/A250</f>
        <v>6.2665900335875468</v>
      </c>
    </row>
    <row r="251" spans="1:6" x14ac:dyDescent="0.25">
      <c r="A251" s="1">
        <v>246</v>
      </c>
      <c r="B251" s="1">
        <f t="shared" ca="1" si="9"/>
        <v>8.3619078591850666</v>
      </c>
      <c r="C251" s="1">
        <f t="shared" ca="1" si="10"/>
        <v>2.4799638405269642</v>
      </c>
      <c r="D251" s="1">
        <f t="shared" ca="1" si="11"/>
        <v>2.4799638405269642</v>
      </c>
      <c r="E251" s="1">
        <f ca="1">SUM($B$6:C251)/(2*A251)</f>
        <v>6.2465534050193314</v>
      </c>
      <c r="F251" s="1">
        <f ca="1">SUM($E$6:E251)/A251</f>
        <v>6.2665085838779202</v>
      </c>
    </row>
    <row r="252" spans="1:6" x14ac:dyDescent="0.25">
      <c r="A252" s="1">
        <v>247</v>
      </c>
      <c r="B252" s="1">
        <f t="shared" ca="1" si="9"/>
        <v>7.5570884908022293</v>
      </c>
      <c r="C252" s="1">
        <f t="shared" ca="1" si="10"/>
        <v>3.7856336071134153</v>
      </c>
      <c r="D252" s="1">
        <f t="shared" ca="1" si="11"/>
        <v>3.7856336071134153</v>
      </c>
      <c r="E252" s="1">
        <f ca="1">SUM($B$6:C252)/(2*A252)</f>
        <v>6.2442246910271795</v>
      </c>
      <c r="F252" s="1">
        <f ca="1">SUM($E$6:E252)/A252</f>
        <v>6.2664183656882413</v>
      </c>
    </row>
    <row r="253" spans="1:6" x14ac:dyDescent="0.25">
      <c r="A253" s="1">
        <v>248</v>
      </c>
      <c r="B253" s="1">
        <f t="shared" ca="1" si="9"/>
        <v>5.5728697999135264</v>
      </c>
      <c r="C253" s="1">
        <f t="shared" ca="1" si="10"/>
        <v>14.788665096317139</v>
      </c>
      <c r="D253" s="1">
        <f t="shared" ca="1" si="11"/>
        <v>5.5728697999135264</v>
      </c>
      <c r="E253" s="1">
        <f ca="1">SUM($B$6:C253)/(2*A253)</f>
        <v>6.2600978473057607</v>
      </c>
      <c r="F253" s="1">
        <f ca="1">SUM($E$6:E253)/A253</f>
        <v>6.2663928797270216</v>
      </c>
    </row>
    <row r="254" spans="1:6" x14ac:dyDescent="0.25">
      <c r="A254" s="1">
        <v>249</v>
      </c>
      <c r="B254" s="1">
        <f t="shared" ca="1" si="9"/>
        <v>4.675707746493762</v>
      </c>
      <c r="C254" s="1">
        <f t="shared" ca="1" si="10"/>
        <v>7.9790077064605986</v>
      </c>
      <c r="D254" s="1">
        <f t="shared" ca="1" si="11"/>
        <v>4.675707746493762</v>
      </c>
      <c r="E254" s="1">
        <f ca="1">SUM($B$6:C254)/(2*A254)</f>
        <v>6.2603679673024324</v>
      </c>
      <c r="F254" s="1">
        <f ca="1">SUM($E$6:E254)/A254</f>
        <v>6.2663686832915815</v>
      </c>
    </row>
    <row r="255" spans="1:6" x14ac:dyDescent="0.25">
      <c r="A255" s="1">
        <v>250</v>
      </c>
      <c r="B255" s="1">
        <f t="shared" ca="1" si="9"/>
        <v>6.0549484183878208</v>
      </c>
      <c r="C255" s="1">
        <f t="shared" ca="1" si="10"/>
        <v>8.2078087968226612</v>
      </c>
      <c r="D255" s="1">
        <f t="shared" ca="1" si="11"/>
        <v>6.0549484183878208</v>
      </c>
      <c r="E255" s="1">
        <f ca="1">SUM($B$6:C255)/(2*A255)</f>
        <v>6.2638520098636432</v>
      </c>
      <c r="F255" s="1">
        <f ca="1">SUM($E$6:E255)/A255</f>
        <v>6.2663586165978709</v>
      </c>
    </row>
    <row r="256" spans="1:6" x14ac:dyDescent="0.25">
      <c r="A256" s="1">
        <v>251</v>
      </c>
      <c r="B256" s="1">
        <f t="shared" ca="1" si="9"/>
        <v>3.2952483129418155</v>
      </c>
      <c r="C256" s="1">
        <f t="shared" ca="1" si="10"/>
        <v>6.4108194152579703</v>
      </c>
      <c r="D256" s="1">
        <f t="shared" ca="1" si="11"/>
        <v>3.2952483129418155</v>
      </c>
      <c r="E256" s="1">
        <f ca="1">SUM($B$6:C256)/(2*A256)</f>
        <v>6.2582312204382911</v>
      </c>
      <c r="F256" s="1">
        <f ca="1">SUM($E$6:E256)/A256</f>
        <v>6.26632623653349</v>
      </c>
    </row>
    <row r="257" spans="1:6" x14ac:dyDescent="0.25">
      <c r="A257" s="1">
        <v>252</v>
      </c>
      <c r="B257" s="1">
        <f t="shared" ca="1" si="9"/>
        <v>7.1497083343305636</v>
      </c>
      <c r="C257" s="1">
        <f t="shared" ca="1" si="10"/>
        <v>0.62635548748824044</v>
      </c>
      <c r="D257" s="1">
        <f t="shared" ca="1" si="11"/>
        <v>0.62635548748824044</v>
      </c>
      <c r="E257" s="1">
        <f ca="1">SUM($B$6:C257)/(2*A257)</f>
        <v>6.2488256676227003</v>
      </c>
      <c r="F257" s="1">
        <f ca="1">SUM($E$6:E257)/A257</f>
        <v>6.2662567898314627</v>
      </c>
    </row>
    <row r="258" spans="1:6" x14ac:dyDescent="0.25">
      <c r="A258" s="1">
        <v>253</v>
      </c>
      <c r="B258" s="1">
        <f t="shared" ca="1" si="9"/>
        <v>2.4220647042104226</v>
      </c>
      <c r="C258" s="1">
        <f t="shared" ca="1" si="10"/>
        <v>8.8026831517412667</v>
      </c>
      <c r="D258" s="1">
        <f t="shared" ca="1" si="11"/>
        <v>2.4220647042104226</v>
      </c>
      <c r="E258" s="1">
        <f ca="1">SUM($B$6:C258)/(2*A258)</f>
        <v>6.2463100480984037</v>
      </c>
      <c r="F258" s="1">
        <f ca="1">SUM($E$6:E258)/A258</f>
        <v>6.2661779489550478</v>
      </c>
    </row>
    <row r="259" spans="1:6" x14ac:dyDescent="0.25">
      <c r="A259" s="1">
        <v>254</v>
      </c>
      <c r="B259" s="1">
        <f t="shared" ca="1" si="9"/>
        <v>6.5016740386833236</v>
      </c>
      <c r="C259" s="1">
        <f t="shared" ca="1" si="10"/>
        <v>9.8012477571552417</v>
      </c>
      <c r="D259" s="1">
        <f t="shared" ca="1" si="11"/>
        <v>6.5016740386833236</v>
      </c>
      <c r="E259" s="1">
        <f ca="1">SUM($B$6:C259)/(2*A259)</f>
        <v>6.2538106419953357</v>
      </c>
      <c r="F259" s="1">
        <f ca="1">SUM($E$6:E259)/A259</f>
        <v>6.2661292587701674</v>
      </c>
    </row>
    <row r="260" spans="1:6" x14ac:dyDescent="0.25">
      <c r="A260" s="1">
        <v>255</v>
      </c>
      <c r="B260" s="1">
        <f t="shared" ca="1" si="9"/>
        <v>4.8894080290170425</v>
      </c>
      <c r="C260" s="1">
        <f t="shared" ca="1" si="10"/>
        <v>11.450365572331808</v>
      </c>
      <c r="D260" s="1">
        <f t="shared" ca="1" si="11"/>
        <v>4.8894080290170425</v>
      </c>
      <c r="E260" s="1">
        <f ca="1">SUM($B$6:C260)/(2*A260)</f>
        <v>6.2613246661470185</v>
      </c>
      <c r="F260" s="1">
        <f ca="1">SUM($E$6:E260)/A260</f>
        <v>6.2661104172304682</v>
      </c>
    </row>
    <row r="261" spans="1:6" x14ac:dyDescent="0.25">
      <c r="A261" s="1">
        <v>256</v>
      </c>
      <c r="B261" s="1">
        <f t="shared" ca="1" si="9"/>
        <v>9.6654962738603309</v>
      </c>
      <c r="C261" s="1">
        <f t="shared" ca="1" si="10"/>
        <v>1.0436482274924486</v>
      </c>
      <c r="D261" s="1">
        <f t="shared" ca="1" si="11"/>
        <v>1.0436482274924486</v>
      </c>
      <c r="E261" s="1">
        <f ca="1">SUM($B$6:C261)/(2*A261)</f>
        <v>6.257782664524087</v>
      </c>
      <c r="F261" s="1">
        <f ca="1">SUM($E$6:E261)/A261</f>
        <v>6.2660778869464586</v>
      </c>
    </row>
    <row r="262" spans="1:6" x14ac:dyDescent="0.25">
      <c r="A262" s="1">
        <v>257</v>
      </c>
      <c r="B262" s="1">
        <f t="shared" ca="1" si="9"/>
        <v>1.9222484858813849</v>
      </c>
      <c r="C262" s="1">
        <f t="shared" ca="1" si="10"/>
        <v>1.2826183240388804</v>
      </c>
      <c r="D262" s="1">
        <f t="shared" ca="1" si="11"/>
        <v>1.2826183240388804</v>
      </c>
      <c r="E262" s="1">
        <f ca="1">SUM($B$6:C262)/(2*A262)</f>
        <v>6.2396684650705314</v>
      </c>
      <c r="F262" s="1">
        <f ca="1">SUM($E$6:E262)/A262</f>
        <v>6.2659751265500541</v>
      </c>
    </row>
    <row r="263" spans="1:6" x14ac:dyDescent="0.25">
      <c r="A263" s="1">
        <v>258</v>
      </c>
      <c r="B263" s="1">
        <f t="shared" ref="B263:B326" ca="1" si="12">RAND()*$D$1</f>
        <v>4.9360733624229711</v>
      </c>
      <c r="C263" s="1">
        <f t="shared" ref="C263:C326" ca="1" si="13">RAND()*$D$2</f>
        <v>2.0294743545452016</v>
      </c>
      <c r="D263" s="1">
        <f t="shared" ref="D263:D326" ca="1" si="14">MIN(B263:C263)</f>
        <v>2.0294743545452016</v>
      </c>
      <c r="E263" s="1">
        <f ca="1">SUM($B$6:C263)/(2*A263)</f>
        <v>6.2289828270605065</v>
      </c>
      <c r="F263" s="1">
        <f ca="1">SUM($E$6:E263)/A263</f>
        <v>6.2658317455442809</v>
      </c>
    </row>
    <row r="264" spans="1:6" x14ac:dyDescent="0.25">
      <c r="A264" s="1">
        <v>259</v>
      </c>
      <c r="B264" s="1">
        <f t="shared" ca="1" si="12"/>
        <v>5.5145743324999374</v>
      </c>
      <c r="C264" s="1">
        <f t="shared" ca="1" si="13"/>
        <v>1.211597604394135</v>
      </c>
      <c r="D264" s="1">
        <f t="shared" ca="1" si="14"/>
        <v>1.211597604394135</v>
      </c>
      <c r="E264" s="1">
        <f ca="1">SUM($B$6:C264)/(2*A264)</f>
        <v>6.2179175882241617</v>
      </c>
      <c r="F264" s="1">
        <f ca="1">SUM($E$6:E264)/A264</f>
        <v>6.2656467487978702</v>
      </c>
    </row>
    <row r="265" spans="1:6" x14ac:dyDescent="0.25">
      <c r="A265" s="1">
        <v>260</v>
      </c>
      <c r="B265" s="1">
        <f t="shared" ca="1" si="12"/>
        <v>6.511118315176601</v>
      </c>
      <c r="C265" s="1">
        <f t="shared" ca="1" si="13"/>
        <v>4.3928484462786832</v>
      </c>
      <c r="D265" s="1">
        <f t="shared" ca="1" si="14"/>
        <v>4.3928484462786832</v>
      </c>
      <c r="E265" s="1">
        <f ca="1">SUM($B$6:C265)/(2*A265)</f>
        <v>6.2149716874260976</v>
      </c>
      <c r="F265" s="1">
        <f ca="1">SUM($E$6:E265)/A265</f>
        <v>6.2654518447156704</v>
      </c>
    </row>
    <row r="266" spans="1:6" x14ac:dyDescent="0.25">
      <c r="A266" s="1">
        <v>261</v>
      </c>
      <c r="B266" s="1">
        <f t="shared" ca="1" si="12"/>
        <v>7.7643756227419534</v>
      </c>
      <c r="C266" s="1">
        <f t="shared" ca="1" si="13"/>
        <v>6.9563088110566129</v>
      </c>
      <c r="D266" s="1">
        <f t="shared" ca="1" si="14"/>
        <v>6.9563088110566129</v>
      </c>
      <c r="E266" s="1">
        <f ca="1">SUM($B$6:C266)/(2*A266)</f>
        <v>6.219360080259329</v>
      </c>
      <c r="F266" s="1">
        <f ca="1">SUM($E$6:E266)/A266</f>
        <v>6.2652752479169873</v>
      </c>
    </row>
    <row r="267" spans="1:6" x14ac:dyDescent="0.25">
      <c r="A267" s="1">
        <v>262</v>
      </c>
      <c r="B267" s="1">
        <f t="shared" ca="1" si="12"/>
        <v>3.48766366143338</v>
      </c>
      <c r="C267" s="1">
        <f t="shared" ca="1" si="13"/>
        <v>1.2450254770456075</v>
      </c>
      <c r="D267" s="1">
        <f t="shared" ca="1" si="14"/>
        <v>1.2450254770456075</v>
      </c>
      <c r="E267" s="1">
        <f ca="1">SUM($B$6:C267)/(2*A267)</f>
        <v>6.2046539141867347</v>
      </c>
      <c r="F267" s="1">
        <f ca="1">SUM($E$6:E267)/A267</f>
        <v>6.2650438687806131</v>
      </c>
    </row>
    <row r="268" spans="1:6" x14ac:dyDescent="0.25">
      <c r="A268" s="1">
        <v>263</v>
      </c>
      <c r="B268" s="1">
        <f t="shared" ca="1" si="12"/>
        <v>5.7769302618399614</v>
      </c>
      <c r="C268" s="1">
        <f t="shared" ca="1" si="13"/>
        <v>10.262151181422126</v>
      </c>
      <c r="D268" s="1">
        <f t="shared" ca="1" si="14"/>
        <v>5.7769302618399614</v>
      </c>
      <c r="E268" s="1">
        <f ca="1">SUM($B$6:C268)/(2*A268)</f>
        <v>6.2115546244811997</v>
      </c>
      <c r="F268" s="1">
        <f ca="1">SUM($E$6:E268)/A268</f>
        <v>6.2648404876235801</v>
      </c>
    </row>
    <row r="269" spans="1:6" x14ac:dyDescent="0.25">
      <c r="A269" s="1">
        <v>264</v>
      </c>
      <c r="B269" s="1">
        <f t="shared" ca="1" si="12"/>
        <v>5.6320751900700552</v>
      </c>
      <c r="C269" s="1">
        <f t="shared" ca="1" si="13"/>
        <v>3.1585048605457726</v>
      </c>
      <c r="D269" s="1">
        <f t="shared" ca="1" si="14"/>
        <v>3.1585048605457726</v>
      </c>
      <c r="E269" s="1">
        <f ca="1">SUM($B$6:C269)/(2*A269)</f>
        <v>6.204674834332816</v>
      </c>
      <c r="F269" s="1">
        <f ca="1">SUM($E$6:E269)/A269</f>
        <v>6.2646125874217216</v>
      </c>
    </row>
    <row r="270" spans="1:6" x14ac:dyDescent="0.25">
      <c r="A270" s="1">
        <v>265</v>
      </c>
      <c r="B270" s="1">
        <f t="shared" ca="1" si="12"/>
        <v>9.1133341079745822</v>
      </c>
      <c r="C270" s="1">
        <f t="shared" ca="1" si="13"/>
        <v>14.692266862500651</v>
      </c>
      <c r="D270" s="1">
        <f t="shared" ca="1" si="14"/>
        <v>9.1133341079745822</v>
      </c>
      <c r="E270" s="1">
        <f ca="1">SUM($B$6:C270)/(2*A270)</f>
        <v>6.2261771952796261</v>
      </c>
      <c r="F270" s="1">
        <f ca="1">SUM($E$6:E270)/A270</f>
        <v>6.264467548206091</v>
      </c>
    </row>
    <row r="271" spans="1:6" x14ac:dyDescent="0.25">
      <c r="A271" s="1">
        <v>266</v>
      </c>
      <c r="B271" s="1">
        <f t="shared" ca="1" si="12"/>
        <v>1.514950381918434</v>
      </c>
      <c r="C271" s="1">
        <f t="shared" ca="1" si="13"/>
        <v>9.5159823343603254</v>
      </c>
      <c r="D271" s="1">
        <f t="shared" ca="1" si="14"/>
        <v>1.514950381918434</v>
      </c>
      <c r="E271" s="1">
        <f ca="1">SUM($B$6:C271)/(2*A271)</f>
        <v>6.2235053500272191</v>
      </c>
      <c r="F271" s="1">
        <f ca="1">SUM($E$6:E271)/A271</f>
        <v>6.2643135549798545</v>
      </c>
    </row>
    <row r="272" spans="1:6" x14ac:dyDescent="0.25">
      <c r="A272" s="1">
        <v>267</v>
      </c>
      <c r="B272" s="1">
        <f t="shared" ca="1" si="12"/>
        <v>8.026013411819271</v>
      </c>
      <c r="C272" s="1">
        <f t="shared" ca="1" si="13"/>
        <v>10.574023328413286</v>
      </c>
      <c r="D272" s="1">
        <f t="shared" ca="1" si="14"/>
        <v>8.026013411819271</v>
      </c>
      <c r="E272" s="1">
        <f ca="1">SUM($B$6:C272)/(2*A272)</f>
        <v>6.2350278707017104</v>
      </c>
      <c r="F272" s="1">
        <f ca="1">SUM($E$6:E272)/A272</f>
        <v>6.2642038707690748</v>
      </c>
    </row>
    <row r="273" spans="1:6" x14ac:dyDescent="0.25">
      <c r="A273" s="1">
        <v>268</v>
      </c>
      <c r="B273" s="1">
        <f t="shared" ca="1" si="12"/>
        <v>1.2683425535666082</v>
      </c>
      <c r="C273" s="1">
        <f t="shared" ca="1" si="13"/>
        <v>5.9101251401546211</v>
      </c>
      <c r="D273" s="1">
        <f t="shared" ca="1" si="14"/>
        <v>1.2683425535666082</v>
      </c>
      <c r="E273" s="1">
        <f ca="1">SUM($B$6:C273)/(2*A273)</f>
        <v>6.2251555049411094</v>
      </c>
      <c r="F273" s="1">
        <f ca="1">SUM($E$6:E273)/A273</f>
        <v>6.2640581679115073</v>
      </c>
    </row>
    <row r="274" spans="1:6" x14ac:dyDescent="0.25">
      <c r="A274" s="1">
        <v>269</v>
      </c>
      <c r="B274" s="1">
        <f t="shared" ca="1" si="12"/>
        <v>1.6904625479904345</v>
      </c>
      <c r="C274" s="1">
        <f t="shared" ca="1" si="13"/>
        <v>8.9026130842236118</v>
      </c>
      <c r="D274" s="1">
        <f t="shared" ca="1" si="14"/>
        <v>1.6904625479904345</v>
      </c>
      <c r="E274" s="1">
        <f ca="1">SUM($B$6:C274)/(2*A274)</f>
        <v>6.2217033945736961</v>
      </c>
      <c r="F274" s="1">
        <f ca="1">SUM($E$6:E274)/A274</f>
        <v>6.2639007152225199</v>
      </c>
    </row>
    <row r="275" spans="1:6" x14ac:dyDescent="0.25">
      <c r="A275" s="1">
        <v>270</v>
      </c>
      <c r="B275" s="1">
        <f t="shared" ca="1" si="12"/>
        <v>0.99523506601967071</v>
      </c>
      <c r="C275" s="1">
        <f t="shared" ca="1" si="13"/>
        <v>2.626530388170234</v>
      </c>
      <c r="D275" s="1">
        <f t="shared" ca="1" si="14"/>
        <v>0.99523506601967071</v>
      </c>
      <c r="E275" s="1">
        <f ca="1">SUM($B$6:C275)/(2*A275)</f>
        <v>6.205367021731182</v>
      </c>
      <c r="F275" s="1">
        <f ca="1">SUM($E$6:E275)/A275</f>
        <v>6.2636839237651447</v>
      </c>
    </row>
    <row r="276" spans="1:6" x14ac:dyDescent="0.25">
      <c r="A276" s="1">
        <v>271</v>
      </c>
      <c r="B276" s="1">
        <f t="shared" ca="1" si="12"/>
        <v>4.6882031813103895</v>
      </c>
      <c r="C276" s="1">
        <f t="shared" ca="1" si="13"/>
        <v>4.5099345195419085</v>
      </c>
      <c r="D276" s="1">
        <f t="shared" ca="1" si="14"/>
        <v>4.5099345195419085</v>
      </c>
      <c r="E276" s="1">
        <f ca="1">SUM($B$6:C276)/(2*A276)</f>
        <v>6.1994397222060709</v>
      </c>
      <c r="F276" s="1">
        <f ca="1">SUM($E$6:E276)/A276</f>
        <v>6.2634468602907569</v>
      </c>
    </row>
    <row r="277" spans="1:6" x14ac:dyDescent="0.25">
      <c r="A277" s="1">
        <v>272</v>
      </c>
      <c r="B277" s="1">
        <f t="shared" ca="1" si="12"/>
        <v>4.4175097975661721</v>
      </c>
      <c r="C277" s="1">
        <f t="shared" ca="1" si="13"/>
        <v>12.571943312827209</v>
      </c>
      <c r="D277" s="1">
        <f t="shared" ca="1" si="14"/>
        <v>4.4175097975661721</v>
      </c>
      <c r="E277" s="1">
        <f ca="1">SUM($B$6:C277)/(2*A277)</f>
        <v>6.2078782767391241</v>
      </c>
      <c r="F277" s="1">
        <f ca="1">SUM($E$6:E277)/A277</f>
        <v>6.2632425640276992</v>
      </c>
    </row>
    <row r="278" spans="1:6" x14ac:dyDescent="0.25">
      <c r="A278" s="1">
        <v>273</v>
      </c>
      <c r="B278" s="1">
        <f t="shared" ca="1" si="12"/>
        <v>3.7386050721155528</v>
      </c>
      <c r="C278" s="1">
        <f t="shared" ca="1" si="13"/>
        <v>5.4858291182214964</v>
      </c>
      <c r="D278" s="1">
        <f t="shared" ca="1" si="14"/>
        <v>3.7386050721155528</v>
      </c>
      <c r="E278" s="1">
        <f ca="1">SUM($B$6:C278)/(2*A278)</f>
        <v>6.2020333639861178</v>
      </c>
      <c r="F278" s="1">
        <f ca="1">SUM($E$6:E278)/A278</f>
        <v>6.2630183545037381</v>
      </c>
    </row>
    <row r="279" spans="1:6" x14ac:dyDescent="0.25">
      <c r="A279" s="1">
        <v>274</v>
      </c>
      <c r="B279" s="1">
        <f t="shared" ca="1" si="12"/>
        <v>9.0601238533518487</v>
      </c>
      <c r="C279" s="1">
        <f t="shared" ca="1" si="13"/>
        <v>6.9696315844611938</v>
      </c>
      <c r="D279" s="1">
        <f t="shared" ca="1" si="14"/>
        <v>6.9696315844611938</v>
      </c>
      <c r="E279" s="1">
        <f ca="1">SUM($B$6:C279)/(2*A279)</f>
        <v>6.2086495842595504</v>
      </c>
      <c r="F279" s="1">
        <f ca="1">SUM($E$6:E279)/A279</f>
        <v>6.2628199283349639</v>
      </c>
    </row>
    <row r="280" spans="1:6" x14ac:dyDescent="0.25">
      <c r="A280" s="1">
        <v>275</v>
      </c>
      <c r="B280" s="1">
        <f t="shared" ca="1" si="12"/>
        <v>2.1190338761647434</v>
      </c>
      <c r="C280" s="1">
        <f t="shared" ca="1" si="13"/>
        <v>0.69011846961191781</v>
      </c>
      <c r="D280" s="1">
        <f t="shared" ca="1" si="14"/>
        <v>0.69011846961191781</v>
      </c>
      <c r="E280" s="1">
        <f ca="1">SUM($B$6:C280)/(2*A280)</f>
        <v>6.1911802264000189</v>
      </c>
      <c r="F280" s="1">
        <f ca="1">SUM($E$6:E280)/A280</f>
        <v>6.2625594203279276</v>
      </c>
    </row>
    <row r="281" spans="1:6" x14ac:dyDescent="0.25">
      <c r="A281" s="1">
        <v>276</v>
      </c>
      <c r="B281" s="1">
        <f t="shared" ca="1" si="12"/>
        <v>4.05665555616525</v>
      </c>
      <c r="C281" s="1">
        <f t="shared" ca="1" si="13"/>
        <v>6.3630085165900683</v>
      </c>
      <c r="D281" s="1">
        <f t="shared" ca="1" si="14"/>
        <v>4.05665555616525</v>
      </c>
      <c r="E281" s="1">
        <f ca="1">SUM($B$6:C281)/(2*A281)</f>
        <v>6.1876246170158806</v>
      </c>
      <c r="F281" s="1">
        <f ca="1">SUM($E$6:E281)/A281</f>
        <v>6.2622879174173764</v>
      </c>
    </row>
    <row r="282" spans="1:6" x14ac:dyDescent="0.25">
      <c r="A282" s="1">
        <v>277</v>
      </c>
      <c r="B282" s="1">
        <f t="shared" ca="1" si="12"/>
        <v>5.5588492979230377</v>
      </c>
      <c r="C282" s="1">
        <f t="shared" ca="1" si="13"/>
        <v>5.7999287267495312</v>
      </c>
      <c r="D282" s="1">
        <f t="shared" ca="1" si="14"/>
        <v>5.5588492979230377</v>
      </c>
      <c r="E282" s="1">
        <f ca="1">SUM($B$6:C282)/(2*A282)</f>
        <v>6.1857898314394193</v>
      </c>
      <c r="F282" s="1">
        <f ca="1">SUM($E$6:E282)/A282</f>
        <v>6.2620117510420057</v>
      </c>
    </row>
    <row r="283" spans="1:6" x14ac:dyDescent="0.25">
      <c r="A283" s="1">
        <v>278</v>
      </c>
      <c r="B283" s="1">
        <f t="shared" ca="1" si="12"/>
        <v>7.0037101292013118</v>
      </c>
      <c r="C283" s="1">
        <f t="shared" ca="1" si="13"/>
        <v>5.1717365304632237</v>
      </c>
      <c r="D283" s="1">
        <f t="shared" ca="1" si="14"/>
        <v>5.1717365304632237</v>
      </c>
      <c r="E283" s="1">
        <f ca="1">SUM($B$6:C283)/(2*A283)</f>
        <v>6.1854370742393936</v>
      </c>
      <c r="F283" s="1">
        <f ca="1">SUM($E$6:E283)/A283</f>
        <v>6.261736302564298</v>
      </c>
    </row>
    <row r="284" spans="1:6" x14ac:dyDescent="0.25">
      <c r="A284" s="1">
        <v>279</v>
      </c>
      <c r="B284" s="1">
        <f t="shared" ca="1" si="12"/>
        <v>5.7565188113037591</v>
      </c>
      <c r="C284" s="1">
        <f t="shared" ca="1" si="13"/>
        <v>1.8921606408656477</v>
      </c>
      <c r="D284" s="1">
        <f t="shared" ca="1" si="14"/>
        <v>1.8921606408656477</v>
      </c>
      <c r="E284" s="1">
        <f ca="1">SUM($B$6:C284)/(2*A284)</f>
        <v>6.1769743597298792</v>
      </c>
      <c r="F284" s="1">
        <f ca="1">SUM($E$6:E284)/A284</f>
        <v>6.26143249631758</v>
      </c>
    </row>
    <row r="285" spans="1:6" x14ac:dyDescent="0.25">
      <c r="A285" s="1">
        <v>280</v>
      </c>
      <c r="B285" s="1">
        <f t="shared" ca="1" si="12"/>
        <v>5.1515782311370479</v>
      </c>
      <c r="C285" s="1">
        <f t="shared" ca="1" si="13"/>
        <v>3.8480188863203368</v>
      </c>
      <c r="D285" s="1">
        <f t="shared" ca="1" si="14"/>
        <v>3.8480188863203368</v>
      </c>
      <c r="E285" s="1">
        <f ca="1">SUM($B$6:C285)/(2*A285)</f>
        <v>6.1709844461548755</v>
      </c>
      <c r="F285" s="1">
        <f ca="1">SUM($E$6:E285)/A285</f>
        <v>6.2611094675669996</v>
      </c>
    </row>
    <row r="286" spans="1:6" x14ac:dyDescent="0.25">
      <c r="A286" s="1">
        <v>281</v>
      </c>
      <c r="B286" s="1">
        <f t="shared" ca="1" si="12"/>
        <v>1.9121892416789565</v>
      </c>
      <c r="C286" s="1">
        <f t="shared" ca="1" si="13"/>
        <v>13.259948587781626</v>
      </c>
      <c r="D286" s="1">
        <f t="shared" ca="1" si="14"/>
        <v>1.9121892416789565</v>
      </c>
      <c r="E286" s="1">
        <f ca="1">SUM($B$6:C286)/(2*A286)</f>
        <v>6.1760203339434003</v>
      </c>
      <c r="F286" s="1">
        <f ca="1">SUM($E$6:E286)/A286</f>
        <v>6.2608066592622889</v>
      </c>
    </row>
    <row r="287" spans="1:6" x14ac:dyDescent="0.25">
      <c r="A287" s="1">
        <v>282</v>
      </c>
      <c r="B287" s="1">
        <f t="shared" ca="1" si="12"/>
        <v>0.73710117943214915</v>
      </c>
      <c r="C287" s="1">
        <f t="shared" ca="1" si="13"/>
        <v>7.5614897780684318</v>
      </c>
      <c r="D287" s="1">
        <f t="shared" ca="1" si="14"/>
        <v>0.73710117943214915</v>
      </c>
      <c r="E287" s="1">
        <f ca="1">SUM($B$6:C287)/(2*A287)</f>
        <v>6.1688333663717927</v>
      </c>
      <c r="F287" s="1">
        <f ca="1">SUM($E$6:E287)/A287</f>
        <v>6.260480512833599</v>
      </c>
    </row>
    <row r="288" spans="1:6" x14ac:dyDescent="0.25">
      <c r="A288" s="1">
        <v>283</v>
      </c>
      <c r="B288" s="1">
        <f t="shared" ca="1" si="12"/>
        <v>0.5929416850872804</v>
      </c>
      <c r="C288" s="1">
        <f t="shared" ca="1" si="13"/>
        <v>1.5488143161324524</v>
      </c>
      <c r="D288" s="1">
        <f t="shared" ca="1" si="14"/>
        <v>0.5929416850872804</v>
      </c>
      <c r="E288" s="1">
        <f ca="1">SUM($B$6:C288)/(2*A288)</f>
        <v>6.1508193898143304</v>
      </c>
      <c r="F288" s="1">
        <f ca="1">SUM($E$6:E288)/A288</f>
        <v>6.2600930176992557</v>
      </c>
    </row>
    <row r="289" spans="1:6" x14ac:dyDescent="0.25">
      <c r="A289" s="1">
        <v>284</v>
      </c>
      <c r="B289" s="1">
        <f t="shared" ca="1" si="12"/>
        <v>4.2539080058951235</v>
      </c>
      <c r="C289" s="1">
        <f t="shared" ca="1" si="13"/>
        <v>10.469387041276944</v>
      </c>
      <c r="D289" s="1">
        <f t="shared" ca="1" si="14"/>
        <v>4.2539080058951235</v>
      </c>
      <c r="E289" s="1">
        <f ca="1">SUM($B$6:C289)/(2*A289)</f>
        <v>6.1550828691585968</v>
      </c>
      <c r="F289" s="1">
        <f ca="1">SUM($E$6:E289)/A289</f>
        <v>6.2597232636550979</v>
      </c>
    </row>
    <row r="290" spans="1:6" x14ac:dyDescent="0.25">
      <c r="A290" s="1">
        <v>285</v>
      </c>
      <c r="B290" s="1">
        <f t="shared" ca="1" si="12"/>
        <v>9.9756299225737362</v>
      </c>
      <c r="C290" s="1">
        <f t="shared" ca="1" si="13"/>
        <v>7.8421673016964384</v>
      </c>
      <c r="D290" s="1">
        <f t="shared" ca="1" si="14"/>
        <v>7.8421673016964384</v>
      </c>
      <c r="E290" s="1">
        <f ca="1">SUM($B$6:C290)/(2*A290)</f>
        <v>6.1647453805374619</v>
      </c>
      <c r="F290" s="1">
        <f ca="1">SUM($E$6:E290)/A290</f>
        <v>6.2593900079248606</v>
      </c>
    </row>
    <row r="291" spans="1:6" x14ac:dyDescent="0.25">
      <c r="A291" s="1">
        <v>286</v>
      </c>
      <c r="B291" s="1">
        <f t="shared" ca="1" si="12"/>
        <v>5.1630774057598021</v>
      </c>
      <c r="C291" s="1">
        <f t="shared" ca="1" si="13"/>
        <v>4.9074536940461462</v>
      </c>
      <c r="D291" s="1">
        <f t="shared" ca="1" si="14"/>
        <v>4.9074536940461462</v>
      </c>
      <c r="E291" s="1">
        <f ca="1">SUM($B$6:C291)/(2*A291)</f>
        <v>6.1607961503604178</v>
      </c>
      <c r="F291" s="1">
        <f ca="1">SUM($E$6:E291)/A291</f>
        <v>6.2590452741571534</v>
      </c>
    </row>
    <row r="292" spans="1:6" x14ac:dyDescent="0.25">
      <c r="A292" s="1">
        <v>287</v>
      </c>
      <c r="B292" s="1">
        <f t="shared" ca="1" si="12"/>
        <v>8.6959375162355563</v>
      </c>
      <c r="C292" s="1">
        <f t="shared" ca="1" si="13"/>
        <v>12.603974804219629</v>
      </c>
      <c r="D292" s="1">
        <f t="shared" ca="1" si="14"/>
        <v>8.6959375162355563</v>
      </c>
      <c r="E292" s="1">
        <f ca="1">SUM($B$6:C292)/(2*A292)</f>
        <v>6.1764378228686656</v>
      </c>
      <c r="F292" s="1">
        <f ca="1">SUM($E$6:E292)/A292</f>
        <v>6.2587574433164264</v>
      </c>
    </row>
    <row r="293" spans="1:6" x14ac:dyDescent="0.25">
      <c r="A293" s="1">
        <v>288</v>
      </c>
      <c r="B293" s="1">
        <f t="shared" ca="1" si="12"/>
        <v>6.327238029916642</v>
      </c>
      <c r="C293" s="1">
        <f t="shared" ca="1" si="13"/>
        <v>5.6960005412953159</v>
      </c>
      <c r="D293" s="1">
        <f t="shared" ca="1" si="14"/>
        <v>5.6960005412953159</v>
      </c>
      <c r="E293" s="1">
        <f ca="1">SUM($B$6:C293)/(2*A293)</f>
        <v>6.1758655362809485</v>
      </c>
      <c r="F293" s="1">
        <f ca="1">SUM($E$6:E293)/A293</f>
        <v>6.2584696241947757</v>
      </c>
    </row>
    <row r="294" spans="1:6" x14ac:dyDescent="0.25">
      <c r="A294" s="1">
        <v>289</v>
      </c>
      <c r="B294" s="1">
        <f t="shared" ca="1" si="12"/>
        <v>5.201460815548181</v>
      </c>
      <c r="C294" s="1">
        <f t="shared" ca="1" si="13"/>
        <v>6.6916645315657703</v>
      </c>
      <c r="D294" s="1">
        <f t="shared" ca="1" si="14"/>
        <v>5.201460815548181</v>
      </c>
      <c r="E294" s="1">
        <f ca="1">SUM($B$6:C294)/(2*A294)</f>
        <v>6.1750721007697926</v>
      </c>
      <c r="F294" s="1">
        <f ca="1">SUM($E$6:E294)/A294</f>
        <v>6.2581810514493599</v>
      </c>
    </row>
    <row r="295" spans="1:6" x14ac:dyDescent="0.25">
      <c r="A295" s="1">
        <v>290</v>
      </c>
      <c r="B295" s="1">
        <f t="shared" ca="1" si="12"/>
        <v>5.1770646891284331</v>
      </c>
      <c r="C295" s="1">
        <f t="shared" ca="1" si="13"/>
        <v>5.32063838259268</v>
      </c>
      <c r="D295" s="1">
        <f t="shared" ca="1" si="14"/>
        <v>5.1770646891284331</v>
      </c>
      <c r="E295" s="1">
        <f ca="1">SUM($B$6:C295)/(2*A295)</f>
        <v>6.1718782367528648</v>
      </c>
      <c r="F295" s="1">
        <f ca="1">SUM($E$6:E295)/A295</f>
        <v>6.2578834555366143</v>
      </c>
    </row>
    <row r="296" spans="1:6" x14ac:dyDescent="0.25">
      <c r="A296" s="1">
        <v>291</v>
      </c>
      <c r="B296" s="1">
        <f t="shared" ca="1" si="12"/>
        <v>7.4684185764517963</v>
      </c>
      <c r="C296" s="1">
        <f t="shared" ca="1" si="13"/>
        <v>0.14560648002737431</v>
      </c>
      <c r="D296" s="1">
        <f t="shared" ca="1" si="14"/>
        <v>0.14560648002737431</v>
      </c>
      <c r="E296" s="1">
        <f ca="1">SUM($B$6:C296)/(2*A296)</f>
        <v>6.1637515504693141</v>
      </c>
      <c r="F296" s="1">
        <f ca="1">SUM($E$6:E296)/A296</f>
        <v>6.2575599781996125</v>
      </c>
    </row>
    <row r="297" spans="1:6" x14ac:dyDescent="0.25">
      <c r="A297" s="1">
        <v>292</v>
      </c>
      <c r="B297" s="1">
        <f t="shared" ca="1" si="12"/>
        <v>0.68621309985508749</v>
      </c>
      <c r="C297" s="1">
        <f t="shared" ca="1" si="13"/>
        <v>7.5655464708054936</v>
      </c>
      <c r="D297" s="1">
        <f t="shared" ca="1" si="14"/>
        <v>0.68621309985508749</v>
      </c>
      <c r="E297" s="1">
        <f ca="1">SUM($B$6:C297)/(2*A297)</f>
        <v>6.1567725375750024</v>
      </c>
      <c r="F297" s="1">
        <f ca="1">SUM($E$6:E297)/A297</f>
        <v>6.2572148157317207</v>
      </c>
    </row>
    <row r="298" spans="1:6" x14ac:dyDescent="0.25">
      <c r="A298" s="1">
        <v>293</v>
      </c>
      <c r="B298" s="1">
        <f t="shared" ca="1" si="12"/>
        <v>7.1811775112136065</v>
      </c>
      <c r="C298" s="1">
        <f t="shared" ca="1" si="13"/>
        <v>3.4581262052285466</v>
      </c>
      <c r="D298" s="1">
        <f t="shared" ca="1" si="14"/>
        <v>3.4581262052285466</v>
      </c>
      <c r="E298" s="1">
        <f ca="1">SUM($B$6:C298)/(2*A298)</f>
        <v>6.1539154704099719</v>
      </c>
      <c r="F298" s="1">
        <f ca="1">SUM($E$6:E298)/A298</f>
        <v>6.2568622582391553</v>
      </c>
    </row>
    <row r="299" spans="1:6" x14ac:dyDescent="0.25">
      <c r="A299" s="1">
        <v>294</v>
      </c>
      <c r="B299" s="1">
        <f t="shared" ca="1" si="12"/>
        <v>2.576644407299904</v>
      </c>
      <c r="C299" s="1">
        <f t="shared" ca="1" si="13"/>
        <v>9.0441325447761809</v>
      </c>
      <c r="D299" s="1">
        <f t="shared" ca="1" si="14"/>
        <v>2.576644407299904</v>
      </c>
      <c r="E299" s="1">
        <f ca="1">SUM($B$6:C299)/(2*A299)</f>
        <v>6.1527470112454417</v>
      </c>
      <c r="F299" s="1">
        <f ca="1">SUM($E$6:E299)/A299</f>
        <v>6.2565081247459791</v>
      </c>
    </row>
    <row r="300" spans="1:6" x14ac:dyDescent="0.25">
      <c r="A300" s="1">
        <v>295</v>
      </c>
      <c r="B300" s="1">
        <f t="shared" ca="1" si="12"/>
        <v>8.9532157646534145</v>
      </c>
      <c r="C300" s="1">
        <f t="shared" ca="1" si="13"/>
        <v>0.37048775048586446</v>
      </c>
      <c r="D300" s="1">
        <f t="shared" ca="1" si="14"/>
        <v>0.37048775048586446</v>
      </c>
      <c r="E300" s="1">
        <f ca="1">SUM($B$6:C300)/(2*A300)</f>
        <v>6.1476931290295918</v>
      </c>
      <c r="F300" s="1">
        <f ca="1">SUM($E$6:E300)/A300</f>
        <v>6.2561392603537209</v>
      </c>
    </row>
    <row r="301" spans="1:6" x14ac:dyDescent="0.25">
      <c r="A301" s="1">
        <v>296</v>
      </c>
      <c r="B301" s="1">
        <f t="shared" ca="1" si="12"/>
        <v>1.8694856769499268</v>
      </c>
      <c r="C301" s="1">
        <f t="shared" ca="1" si="13"/>
        <v>6.1454761721782489</v>
      </c>
      <c r="D301" s="1">
        <f t="shared" ca="1" si="14"/>
        <v>1.8694856769499268</v>
      </c>
      <c r="E301" s="1">
        <f ca="1">SUM($B$6:C301)/(2*A301)</f>
        <v>6.1404626823928847</v>
      </c>
      <c r="F301" s="1">
        <f ca="1">SUM($E$6:E301)/A301</f>
        <v>6.2557484611038525</v>
      </c>
    </row>
    <row r="302" spans="1:6" x14ac:dyDescent="0.25">
      <c r="A302" s="1">
        <v>297</v>
      </c>
      <c r="B302" s="1">
        <f t="shared" ca="1" si="12"/>
        <v>6.2468128708791228</v>
      </c>
      <c r="C302" s="1">
        <f t="shared" ca="1" si="13"/>
        <v>12.837837886349503</v>
      </c>
      <c r="D302" s="1">
        <f t="shared" ca="1" si="14"/>
        <v>6.2468128708791228</v>
      </c>
      <c r="E302" s="1">
        <f ca="1">SUM($B$6:C302)/(2*A302)</f>
        <v>6.1519167655451454</v>
      </c>
      <c r="F302" s="1">
        <f ca="1">SUM($E$6:E302)/A302</f>
        <v>6.2553988594353047</v>
      </c>
    </row>
    <row r="303" spans="1:6" x14ac:dyDescent="0.25">
      <c r="A303" s="1">
        <v>298</v>
      </c>
      <c r="B303" s="1">
        <f t="shared" ca="1" si="12"/>
        <v>4.2188861390355861</v>
      </c>
      <c r="C303" s="1">
        <f t="shared" ca="1" si="13"/>
        <v>7.0339872501954623</v>
      </c>
      <c r="D303" s="1">
        <f t="shared" ca="1" si="14"/>
        <v>4.2188861390355861</v>
      </c>
      <c r="E303" s="1">
        <f ca="1">SUM($B$6:C303)/(2*A303)</f>
        <v>6.150153409602428</v>
      </c>
      <c r="F303" s="1">
        <f ca="1">SUM($E$6:E303)/A303</f>
        <v>6.2550456867848592</v>
      </c>
    </row>
    <row r="304" spans="1:6" x14ac:dyDescent="0.25">
      <c r="A304" s="1">
        <v>299</v>
      </c>
      <c r="B304" s="1">
        <f t="shared" ca="1" si="12"/>
        <v>4.4053364304529721</v>
      </c>
      <c r="C304" s="1">
        <f t="shared" ca="1" si="13"/>
        <v>5.838822434517577</v>
      </c>
      <c r="D304" s="1">
        <f t="shared" ca="1" si="14"/>
        <v>4.4053364304529721</v>
      </c>
      <c r="E304" s="1">
        <f ca="1">SUM($B$6:C304)/(2*A304)</f>
        <v>6.1467150350970199</v>
      </c>
      <c r="F304" s="1">
        <f ca="1">SUM($E$6:E304)/A304</f>
        <v>6.2546833769129933</v>
      </c>
    </row>
    <row r="305" spans="1:6" x14ac:dyDescent="0.25">
      <c r="A305" s="1">
        <v>300</v>
      </c>
      <c r="B305" s="1">
        <f t="shared" ca="1" si="12"/>
        <v>5.7154267982950522</v>
      </c>
      <c r="C305" s="1">
        <f t="shared" ca="1" si="13"/>
        <v>7.7434953876187329</v>
      </c>
      <c r="D305" s="1">
        <f t="shared" ca="1" si="14"/>
        <v>5.7154267982950522</v>
      </c>
      <c r="E305" s="1">
        <f ca="1">SUM($B$6:C305)/(2*A305)</f>
        <v>6.1486575219565527</v>
      </c>
      <c r="F305" s="1">
        <f ca="1">SUM($E$6:E305)/A305</f>
        <v>6.2543299573964717</v>
      </c>
    </row>
    <row r="306" spans="1:6" x14ac:dyDescent="0.25">
      <c r="A306" s="1">
        <v>301</v>
      </c>
      <c r="B306" s="1">
        <f t="shared" ca="1" si="12"/>
        <v>1.0252563281238924</v>
      </c>
      <c r="C306" s="1">
        <f t="shared" ca="1" si="13"/>
        <v>14.916691734580441</v>
      </c>
      <c r="D306" s="1">
        <f t="shared" ca="1" si="14"/>
        <v>1.0252563281238924</v>
      </c>
      <c r="E306" s="1">
        <f ca="1">SUM($B$6:C306)/(2*A306)</f>
        <v>6.1547117296289633</v>
      </c>
      <c r="F306" s="1">
        <f ca="1">SUM($E$6:E306)/A306</f>
        <v>6.2539989998291379</v>
      </c>
    </row>
    <row r="307" spans="1:6" x14ac:dyDescent="0.25">
      <c r="A307" s="1">
        <v>302</v>
      </c>
      <c r="B307" s="1">
        <f t="shared" ca="1" si="12"/>
        <v>8.2649985433324531</v>
      </c>
      <c r="C307" s="1">
        <f t="shared" ca="1" si="13"/>
        <v>7.2498434212852221</v>
      </c>
      <c r="D307" s="1">
        <f t="shared" ca="1" si="14"/>
        <v>7.2498434212852221</v>
      </c>
      <c r="E307" s="1">
        <f ca="1">SUM($B$6:C307)/(2*A307)</f>
        <v>6.1600187139093601</v>
      </c>
      <c r="F307" s="1">
        <f ca="1">SUM($E$6:E307)/A307</f>
        <v>6.2536878068294035</v>
      </c>
    </row>
    <row r="308" spans="1:6" x14ac:dyDescent="0.25">
      <c r="A308" s="1">
        <v>303</v>
      </c>
      <c r="B308" s="1">
        <f t="shared" ca="1" si="12"/>
        <v>9.6743037196572867</v>
      </c>
      <c r="C308" s="1">
        <f t="shared" ca="1" si="13"/>
        <v>12.458062543711499</v>
      </c>
      <c r="D308" s="1">
        <f t="shared" ca="1" si="14"/>
        <v>9.6743037196572867</v>
      </c>
      <c r="E308" s="1">
        <f ca="1">SUM($B$6:C308)/(2*A308)</f>
        <v>6.1762106756841959</v>
      </c>
      <c r="F308" s="1">
        <f ca="1">SUM($E$6:E308)/A308</f>
        <v>6.2534321067266134</v>
      </c>
    </row>
    <row r="309" spans="1:6" x14ac:dyDescent="0.25">
      <c r="A309" s="1">
        <v>304</v>
      </c>
      <c r="B309" s="1">
        <f t="shared" ca="1" si="12"/>
        <v>0.35009721821514739</v>
      </c>
      <c r="C309" s="1">
        <f t="shared" ca="1" si="13"/>
        <v>11.306911744535086</v>
      </c>
      <c r="D309" s="1">
        <f t="shared" ca="1" si="14"/>
        <v>0.35009721821514739</v>
      </c>
      <c r="E309" s="1">
        <f ca="1">SUM($B$6:C309)/(2*A309)</f>
        <v>6.1750669053081788</v>
      </c>
      <c r="F309" s="1">
        <f ca="1">SUM($E$6:E309)/A309</f>
        <v>6.2531743264587893</v>
      </c>
    </row>
    <row r="310" spans="1:6" x14ac:dyDescent="0.25">
      <c r="A310" s="1">
        <v>305</v>
      </c>
      <c r="B310" s="1">
        <f t="shared" ca="1" si="12"/>
        <v>6.9995905791911603</v>
      </c>
      <c r="C310" s="1">
        <f t="shared" ca="1" si="13"/>
        <v>14.512320582013283</v>
      </c>
      <c r="D310" s="1">
        <f t="shared" ca="1" si="14"/>
        <v>6.9995905791911603</v>
      </c>
      <c r="E310" s="1">
        <f ca="1">SUM($B$6:C310)/(2*A310)</f>
        <v>6.1900862124402902</v>
      </c>
      <c r="F310" s="1">
        <f ca="1">SUM($E$6:E310)/A310</f>
        <v>6.2529674801833188</v>
      </c>
    </row>
    <row r="311" spans="1:6" x14ac:dyDescent="0.25">
      <c r="A311" s="1">
        <v>306</v>
      </c>
      <c r="B311" s="1">
        <f t="shared" ca="1" si="12"/>
        <v>4.3019327957683648</v>
      </c>
      <c r="C311" s="1">
        <f t="shared" ca="1" si="13"/>
        <v>0.92746590353874503</v>
      </c>
      <c r="D311" s="1">
        <f t="shared" ca="1" si="14"/>
        <v>0.92746590353874503</v>
      </c>
      <c r="E311" s="1">
        <f ca="1">SUM($B$6:C311)/(2*A311)</f>
        <v>6.178401941646869</v>
      </c>
      <c r="F311" s="1">
        <f ca="1">SUM($E$6:E311)/A311</f>
        <v>6.2527238019528077</v>
      </c>
    </row>
    <row r="312" spans="1:6" x14ac:dyDescent="0.25">
      <c r="A312" s="1">
        <v>307</v>
      </c>
      <c r="B312" s="1">
        <f t="shared" ca="1" si="12"/>
        <v>0.73255121430560455</v>
      </c>
      <c r="C312" s="1">
        <f t="shared" ca="1" si="13"/>
        <v>9.6590237150366001</v>
      </c>
      <c r="D312" s="1">
        <f t="shared" ca="1" si="14"/>
        <v>0.73255121430560455</v>
      </c>
      <c r="E312" s="1">
        <f ca="1">SUM($B$6:C312)/(2*A312)</f>
        <v>6.1752012430247989</v>
      </c>
      <c r="F312" s="1">
        <f ca="1">SUM($E$6:E312)/A312</f>
        <v>6.2524712854742148</v>
      </c>
    </row>
    <row r="313" spans="1:6" x14ac:dyDescent="0.25">
      <c r="A313" s="1">
        <v>308</v>
      </c>
      <c r="B313" s="1">
        <f t="shared" ca="1" si="12"/>
        <v>2.4239104129035214</v>
      </c>
      <c r="C313" s="1">
        <f t="shared" ca="1" si="13"/>
        <v>10.07119643194155</v>
      </c>
      <c r="D313" s="1">
        <f t="shared" ca="1" si="14"/>
        <v>2.4239104129035214</v>
      </c>
      <c r="E313" s="1">
        <f ca="1">SUM($B$6:C313)/(2*A313)</f>
        <v>6.1754361526981674</v>
      </c>
      <c r="F313" s="1">
        <f ca="1">SUM($E$6:E313)/A313</f>
        <v>6.2522211714067604</v>
      </c>
    </row>
    <row r="314" spans="1:6" x14ac:dyDescent="0.25">
      <c r="A314" s="1">
        <v>309</v>
      </c>
      <c r="B314" s="1">
        <f t="shared" ca="1" si="12"/>
        <v>6.2615928014442401</v>
      </c>
      <c r="C314" s="1">
        <f t="shared" ca="1" si="13"/>
        <v>10.534532022058956</v>
      </c>
      <c r="D314" s="1">
        <f t="shared" ca="1" si="14"/>
        <v>6.2615928014442401</v>
      </c>
      <c r="E314" s="1">
        <f ca="1">SUM($B$6:C314)/(2*A314)</f>
        <v>6.1826291179378234</v>
      </c>
      <c r="F314" s="1">
        <f ca="1">SUM($E$6:E314)/A314</f>
        <v>6.2519959544052419</v>
      </c>
    </row>
    <row r="315" spans="1:6" x14ac:dyDescent="0.25">
      <c r="A315" s="1">
        <v>310</v>
      </c>
      <c r="B315" s="1">
        <f t="shared" ca="1" si="12"/>
        <v>7.0504860662771414</v>
      </c>
      <c r="C315" s="1">
        <f t="shared" ca="1" si="13"/>
        <v>11.245968272611258</v>
      </c>
      <c r="D315" s="1">
        <f t="shared" ca="1" si="14"/>
        <v>7.0504860662771414</v>
      </c>
      <c r="E315" s="1">
        <f ca="1">SUM($B$6:C315)/(2*A315)</f>
        <v>6.1921955632652628</v>
      </c>
      <c r="F315" s="1">
        <f ca="1">SUM($E$6:E315)/A315</f>
        <v>6.2518030499176938</v>
      </c>
    </row>
    <row r="316" spans="1:6" x14ac:dyDescent="0.25">
      <c r="A316" s="1">
        <v>311</v>
      </c>
      <c r="B316" s="1">
        <f t="shared" ca="1" si="12"/>
        <v>4.83785675074731</v>
      </c>
      <c r="C316" s="1">
        <f t="shared" ca="1" si="13"/>
        <v>3.1270155168501135</v>
      </c>
      <c r="D316" s="1">
        <f t="shared" ca="1" si="14"/>
        <v>3.1270155168501135</v>
      </c>
      <c r="E316" s="1">
        <f ca="1">SUM($B$6:C316)/(2*A316)</f>
        <v>6.185090227479197</v>
      </c>
      <c r="F316" s="1">
        <f ca="1">SUM($E$6:E316)/A316</f>
        <v>6.2515885392346116</v>
      </c>
    </row>
    <row r="317" spans="1:6" x14ac:dyDescent="0.25">
      <c r="A317" s="1">
        <v>312</v>
      </c>
      <c r="B317" s="1">
        <f t="shared" ca="1" si="12"/>
        <v>4.1010468858891871</v>
      </c>
      <c r="C317" s="1">
        <f t="shared" ca="1" si="13"/>
        <v>2.4278521057884515</v>
      </c>
      <c r="D317" s="1">
        <f t="shared" ca="1" si="14"/>
        <v>2.4278521057884515</v>
      </c>
      <c r="E317" s="1">
        <f ca="1">SUM($B$6:C317)/(2*A317)</f>
        <v>6.17572919949317</v>
      </c>
      <c r="F317" s="1">
        <f ca="1">SUM($E$6:E317)/A317</f>
        <v>6.2513454003251834</v>
      </c>
    </row>
    <row r="318" spans="1:6" x14ac:dyDescent="0.25">
      <c r="A318" s="1">
        <v>313</v>
      </c>
      <c r="B318" s="1">
        <f t="shared" ca="1" si="12"/>
        <v>7.182880262731917</v>
      </c>
      <c r="C318" s="1">
        <f t="shared" ca="1" si="13"/>
        <v>9.4366071594007277</v>
      </c>
      <c r="D318" s="1">
        <f t="shared" ca="1" si="14"/>
        <v>7.182880262731917</v>
      </c>
      <c r="E318" s="1">
        <f ca="1">SUM($B$6:C318)/(2*A318)</f>
        <v>6.1825471372298253</v>
      </c>
      <c r="F318" s="1">
        <f ca="1">SUM($E$6:E318)/A318</f>
        <v>6.2511255975676905</v>
      </c>
    </row>
    <row r="319" spans="1:6" x14ac:dyDescent="0.25">
      <c r="A319" s="1">
        <v>314</v>
      </c>
      <c r="B319" s="1">
        <f t="shared" ca="1" si="12"/>
        <v>5.004358851039024</v>
      </c>
      <c r="C319" s="1">
        <f t="shared" ca="1" si="13"/>
        <v>12.995747015065787</v>
      </c>
      <c r="D319" s="1">
        <f t="shared" ca="1" si="14"/>
        <v>5.004358851039024</v>
      </c>
      <c r="E319" s="1">
        <f ca="1">SUM($B$6:C319)/(2*A319)</f>
        <v>6.1915200856241652</v>
      </c>
      <c r="F319" s="1">
        <f ca="1">SUM($E$6:E319)/A319</f>
        <v>6.2509357710965334</v>
      </c>
    </row>
    <row r="320" spans="1:6" x14ac:dyDescent="0.25">
      <c r="A320" s="1">
        <v>315</v>
      </c>
      <c r="B320" s="1">
        <f t="shared" ca="1" si="12"/>
        <v>1.7757099108731889</v>
      </c>
      <c r="C320" s="1">
        <f t="shared" ca="1" si="13"/>
        <v>0.47968912515054751</v>
      </c>
      <c r="D320" s="1">
        <f t="shared" ca="1" si="14"/>
        <v>0.47968912515054751</v>
      </c>
      <c r="E320" s="1">
        <f ca="1">SUM($B$6:C320)/(2*A320)</f>
        <v>6.1754444647746016</v>
      </c>
      <c r="F320" s="1">
        <f ca="1">SUM($E$6:E320)/A320</f>
        <v>6.2506961161558285</v>
      </c>
    </row>
    <row r="321" spans="1:6" x14ac:dyDescent="0.25">
      <c r="A321" s="1">
        <v>316</v>
      </c>
      <c r="B321" s="1">
        <f t="shared" ca="1" si="12"/>
        <v>7.4568088509727684</v>
      </c>
      <c r="C321" s="1">
        <f t="shared" ca="1" si="13"/>
        <v>12.581924636355859</v>
      </c>
      <c r="D321" s="1">
        <f t="shared" ca="1" si="14"/>
        <v>7.4568088509727684</v>
      </c>
      <c r="E321" s="1">
        <f ca="1">SUM($B$6:C321)/(2*A321)</f>
        <v>6.1876087757837457</v>
      </c>
      <c r="F321" s="1">
        <f ca="1">SUM($E$6:E321)/A321</f>
        <v>6.2504964726736381</v>
      </c>
    </row>
    <row r="322" spans="1:6" x14ac:dyDescent="0.25">
      <c r="A322" s="1">
        <v>317</v>
      </c>
      <c r="B322" s="1">
        <f t="shared" ca="1" si="12"/>
        <v>8.9981980117269238</v>
      </c>
      <c r="C322" s="1">
        <f t="shared" ca="1" si="13"/>
        <v>8.2120448859439925</v>
      </c>
      <c r="D322" s="1">
        <f t="shared" ca="1" si="14"/>
        <v>8.2120448859439925</v>
      </c>
      <c r="E322" s="1">
        <f ca="1">SUM($B$6:C322)/(2*A322)</f>
        <v>6.1952349987271269</v>
      </c>
      <c r="F322" s="1">
        <f ca="1">SUM($E$6:E322)/A322</f>
        <v>6.2503221462574023</v>
      </c>
    </row>
    <row r="323" spans="1:6" x14ac:dyDescent="0.25">
      <c r="A323" s="1">
        <v>318</v>
      </c>
      <c r="B323" s="1">
        <f t="shared" ca="1" si="12"/>
        <v>1.7208306771093229</v>
      </c>
      <c r="C323" s="1">
        <f t="shared" ca="1" si="13"/>
        <v>10.806050631394662</v>
      </c>
      <c r="D323" s="1">
        <f t="shared" ca="1" si="14"/>
        <v>1.7208306771093229</v>
      </c>
      <c r="E323" s="1">
        <f ca="1">SUM($B$6:C323)/(2*A323)</f>
        <v>6.1954494819206012</v>
      </c>
      <c r="F323" s="1">
        <f ca="1">SUM($E$6:E323)/A323</f>
        <v>6.2501495907091735</v>
      </c>
    </row>
    <row r="324" spans="1:6" x14ac:dyDescent="0.25">
      <c r="A324" s="1">
        <v>319</v>
      </c>
      <c r="B324" s="1">
        <f t="shared" ca="1" si="12"/>
        <v>0.17159878972469511</v>
      </c>
      <c r="C324" s="1">
        <f t="shared" ca="1" si="13"/>
        <v>7.944018963181203</v>
      </c>
      <c r="D324" s="1">
        <f t="shared" ca="1" si="14"/>
        <v>0.17159878972469511</v>
      </c>
      <c r="E324" s="1">
        <f ca="1">SUM($B$6:C324)/(2*A324)</f>
        <v>6.1887484141918625</v>
      </c>
      <c r="F324" s="1">
        <f ca="1">SUM($E$6:E324)/A324</f>
        <v>6.2499571105320033</v>
      </c>
    </row>
    <row r="325" spans="1:6" x14ac:dyDescent="0.25">
      <c r="A325" s="1">
        <v>320</v>
      </c>
      <c r="B325" s="1">
        <f t="shared" ca="1" si="12"/>
        <v>1.9049404014035798</v>
      </c>
      <c r="C325" s="1">
        <f t="shared" ca="1" si="13"/>
        <v>13.805642154445984</v>
      </c>
      <c r="D325" s="1">
        <f t="shared" ca="1" si="14"/>
        <v>1.9049404014035798</v>
      </c>
      <c r="E325" s="1">
        <f ca="1">SUM($B$6:C325)/(2*A325)</f>
        <v>6.1939563606410282</v>
      </c>
      <c r="F325" s="1">
        <f ca="1">SUM($E$6:E325)/A325</f>
        <v>6.2497821081885947</v>
      </c>
    </row>
    <row r="326" spans="1:6" x14ac:dyDescent="0.25">
      <c r="A326" s="1">
        <v>321</v>
      </c>
      <c r="B326" s="1">
        <f t="shared" ca="1" si="12"/>
        <v>0.34204577133161274</v>
      </c>
      <c r="C326" s="1">
        <f t="shared" ca="1" si="13"/>
        <v>9.4766111478779269</v>
      </c>
      <c r="D326" s="1">
        <f t="shared" ca="1" si="14"/>
        <v>0.34204577133161274</v>
      </c>
      <c r="E326" s="1">
        <f ca="1">SUM($B$6:C326)/(2*A326)</f>
        <v>6.189954404563033</v>
      </c>
      <c r="F326" s="1">
        <f ca="1">SUM($E$6:E326)/A326</f>
        <v>6.2495957290495738</v>
      </c>
    </row>
    <row r="327" spans="1:6" x14ac:dyDescent="0.25">
      <c r="A327" s="1">
        <v>322</v>
      </c>
      <c r="B327" s="1">
        <f t="shared" ref="B327:B370" ca="1" si="15">RAND()*$D$1</f>
        <v>6.3104466402297774</v>
      </c>
      <c r="C327" s="1">
        <f t="shared" ref="C327:C370" ca="1" si="16">RAND()*$D$2</f>
        <v>14.085301482241817</v>
      </c>
      <c r="D327" s="1">
        <f t="shared" ref="D327:D370" ca="1" si="17">MIN(B327:C327)</f>
        <v>6.3104466402297774</v>
      </c>
      <c r="E327" s="1">
        <f ca="1">SUM($B$6:C327)/(2*A327)</f>
        <v>6.2024013600185386</v>
      </c>
      <c r="F327" s="1">
        <f ca="1">SUM($E$6:E327)/A327</f>
        <v>6.2494491626861235</v>
      </c>
    </row>
    <row r="328" spans="1:6" x14ac:dyDescent="0.25">
      <c r="A328" s="1">
        <v>323</v>
      </c>
      <c r="B328" s="1">
        <f t="shared" ca="1" si="15"/>
        <v>8.9677348399408814</v>
      </c>
      <c r="C328" s="1">
        <f t="shared" ca="1" si="16"/>
        <v>5.5000454850309168</v>
      </c>
      <c r="D328" s="1">
        <f t="shared" ca="1" si="17"/>
        <v>5.5000454850309168</v>
      </c>
      <c r="E328" s="1">
        <f ca="1">SUM($B$6:C328)/(2*A328)</f>
        <v>6.2055948238032679</v>
      </c>
      <c r="F328" s="1">
        <f ca="1">SUM($E$6:E328)/A328</f>
        <v>6.2493133907391174</v>
      </c>
    </row>
    <row r="329" spans="1:6" x14ac:dyDescent="0.25">
      <c r="A329" s="1">
        <v>324</v>
      </c>
      <c r="B329" s="1">
        <f t="shared" ca="1" si="15"/>
        <v>9.7439657819488126</v>
      </c>
      <c r="C329" s="1">
        <f t="shared" ca="1" si="16"/>
        <v>12.11389686093232</v>
      </c>
      <c r="D329" s="1">
        <f t="shared" ca="1" si="17"/>
        <v>9.7439657819488126</v>
      </c>
      <c r="E329" s="1">
        <f ca="1">SUM($B$6:C329)/(2*A329)</f>
        <v>6.2201730228700498</v>
      </c>
      <c r="F329" s="1">
        <f ca="1">SUM($E$6:E329)/A329</f>
        <v>6.2492234513321145</v>
      </c>
    </row>
    <row r="330" spans="1:6" x14ac:dyDescent="0.25">
      <c r="A330" s="1">
        <v>325</v>
      </c>
      <c r="B330" s="1">
        <f t="shared" ca="1" si="15"/>
        <v>2.8315927413344264</v>
      </c>
      <c r="C330" s="1">
        <f t="shared" ca="1" si="16"/>
        <v>0.47038820674191073</v>
      </c>
      <c r="D330" s="1">
        <f t="shared" ca="1" si="17"/>
        <v>0.47038820674191073</v>
      </c>
      <c r="E330" s="1">
        <f ca="1">SUM($B$6:C330)/(2*A330)</f>
        <v>6.2061139996428745</v>
      </c>
      <c r="F330" s="1">
        <f ca="1">SUM($E$6:E330)/A330</f>
        <v>6.2490908068653779</v>
      </c>
    </row>
    <row r="331" spans="1:6" x14ac:dyDescent="0.25">
      <c r="A331" s="1">
        <v>326</v>
      </c>
      <c r="B331" s="1">
        <f t="shared" ca="1" si="15"/>
        <v>4.107425409425252</v>
      </c>
      <c r="C331" s="1">
        <f t="shared" ca="1" si="16"/>
        <v>11.663746262500052</v>
      </c>
      <c r="D331" s="1">
        <f t="shared" ca="1" si="17"/>
        <v>4.107425409425252</v>
      </c>
      <c r="E331" s="1">
        <f ca="1">SUM($B$6:C331)/(2*A331)</f>
        <v>6.2112657537420146</v>
      </c>
      <c r="F331" s="1">
        <f ca="1">SUM($E$6:E331)/A331</f>
        <v>6.2489747790950609</v>
      </c>
    </row>
    <row r="332" spans="1:6" x14ac:dyDescent="0.25">
      <c r="A332" s="1">
        <v>327</v>
      </c>
      <c r="B332" s="1">
        <f t="shared" ca="1" si="15"/>
        <v>1.3661935809593906</v>
      </c>
      <c r="C332" s="1">
        <f t="shared" ca="1" si="16"/>
        <v>8.8459010306569343</v>
      </c>
      <c r="D332" s="1">
        <f t="shared" ca="1" si="17"/>
        <v>1.3661935809593906</v>
      </c>
      <c r="E332" s="1">
        <f ca="1">SUM($B$6:C332)/(2*A332)</f>
        <v>6.2078858808125537</v>
      </c>
      <c r="F332" s="1">
        <f ca="1">SUM($E$6:E332)/A332</f>
        <v>6.2488491249718727</v>
      </c>
    </row>
    <row r="333" spans="1:6" x14ac:dyDescent="0.25">
      <c r="A333" s="1">
        <v>328</v>
      </c>
      <c r="B333" s="1">
        <f t="shared" ca="1" si="15"/>
        <v>7.6157703796358529</v>
      </c>
      <c r="C333" s="1">
        <f t="shared" ca="1" si="16"/>
        <v>7.7548198976151728E-3</v>
      </c>
      <c r="D333" s="1">
        <f t="shared" ca="1" si="17"/>
        <v>7.7548198976151728E-3</v>
      </c>
      <c r="E333" s="1">
        <f ca="1">SUM($B$6:C333)/(2*A333)</f>
        <v>6.2005806269069259</v>
      </c>
      <c r="F333" s="1">
        <f ca="1">SUM($E$6:E333)/A333</f>
        <v>6.2487019649167976</v>
      </c>
    </row>
    <row r="334" spans="1:6" x14ac:dyDescent="0.25">
      <c r="A334" s="1">
        <v>329</v>
      </c>
      <c r="B334" s="1">
        <f t="shared" ca="1" si="15"/>
        <v>1.3145453286643949</v>
      </c>
      <c r="C334" s="1">
        <f t="shared" ca="1" si="16"/>
        <v>5.7862682597840482</v>
      </c>
      <c r="D334" s="1">
        <f t="shared" ca="1" si="17"/>
        <v>1.3145453286643949</v>
      </c>
      <c r="E334" s="1">
        <f ca="1">SUM($B$6:C334)/(2*A334)</f>
        <v>6.1925253872939088</v>
      </c>
      <c r="F334" s="1">
        <f ca="1">SUM($E$6:E334)/A334</f>
        <v>6.2485312154407398</v>
      </c>
    </row>
    <row r="335" spans="1:6" x14ac:dyDescent="0.25">
      <c r="A335" s="1">
        <v>330</v>
      </c>
      <c r="B335" s="1">
        <f t="shared" ca="1" si="15"/>
        <v>1.8764127146985776</v>
      </c>
      <c r="C335" s="1">
        <f t="shared" ca="1" si="16"/>
        <v>14.257108477700713</v>
      </c>
      <c r="D335" s="1">
        <f t="shared" ca="1" si="17"/>
        <v>1.8764127146985776</v>
      </c>
      <c r="E335" s="1">
        <f ca="1">SUM($B$6:C335)/(2*A335)</f>
        <v>6.1982048879269565</v>
      </c>
      <c r="F335" s="1">
        <f ca="1">SUM($E$6:E335)/A335</f>
        <v>6.2483787114179696</v>
      </c>
    </row>
    <row r="336" spans="1:6" x14ac:dyDescent="0.25">
      <c r="A336" s="1">
        <v>331</v>
      </c>
      <c r="B336" s="1">
        <f t="shared" ca="1" si="15"/>
        <v>3.2320481019430272</v>
      </c>
      <c r="C336" s="1">
        <f t="shared" ca="1" si="16"/>
        <v>7.1689662400699969</v>
      </c>
      <c r="D336" s="1">
        <f t="shared" ca="1" si="17"/>
        <v>3.2320481019430272</v>
      </c>
      <c r="E336" s="1">
        <f ca="1">SUM($B$6:C336)/(2*A336)</f>
        <v>6.1951906954287068</v>
      </c>
      <c r="F336" s="1">
        <f ca="1">SUM($E$6:E336)/A336</f>
        <v>6.2482180225479116</v>
      </c>
    </row>
    <row r="337" spans="1:6" x14ac:dyDescent="0.25">
      <c r="A337" s="1">
        <v>332</v>
      </c>
      <c r="B337" s="1">
        <f t="shared" ca="1" si="15"/>
        <v>6.7567856656063512</v>
      </c>
      <c r="C337" s="1">
        <f t="shared" ca="1" si="16"/>
        <v>3.711883523383662</v>
      </c>
      <c r="D337" s="1">
        <f t="shared" ca="1" si="17"/>
        <v>3.711883523383662</v>
      </c>
      <c r="E337" s="1">
        <f ca="1">SUM($B$6:C337)/(2*A337)</f>
        <v>6.1922965505463754</v>
      </c>
      <c r="F337" s="1">
        <f ca="1">SUM($E$6:E337)/A337</f>
        <v>6.2480495843792321</v>
      </c>
    </row>
    <row r="338" spans="1:6" x14ac:dyDescent="0.25">
      <c r="A338" s="1">
        <v>333</v>
      </c>
      <c r="B338" s="1">
        <f t="shared" ca="1" si="15"/>
        <v>2.9516875074217284</v>
      </c>
      <c r="C338" s="1">
        <f t="shared" ca="1" si="16"/>
        <v>4.4846856667389607</v>
      </c>
      <c r="D338" s="1">
        <f t="shared" ca="1" si="17"/>
        <v>2.9516875074217284</v>
      </c>
      <c r="E338" s="1">
        <f ca="1">SUM($B$6:C338)/(2*A338)</f>
        <v>6.1848667908963266</v>
      </c>
      <c r="F338" s="1">
        <f ca="1">SUM($E$6:E338)/A338</f>
        <v>6.2478598462606643</v>
      </c>
    </row>
    <row r="339" spans="1:6" x14ac:dyDescent="0.25">
      <c r="A339" s="1">
        <v>334</v>
      </c>
      <c r="B339" s="1">
        <f t="shared" ca="1" si="15"/>
        <v>8.2531514503053707</v>
      </c>
      <c r="C339" s="1">
        <f t="shared" ca="1" si="16"/>
        <v>12.414449264297694</v>
      </c>
      <c r="D339" s="1">
        <f t="shared" ca="1" si="17"/>
        <v>8.2531514503053707</v>
      </c>
      <c r="E339" s="1">
        <f ca="1">SUM($B$6:C339)/(2*A339)</f>
        <v>6.1972887476819718</v>
      </c>
      <c r="F339" s="1">
        <f ca="1">SUM($E$6:E339)/A339</f>
        <v>6.2477084357858779</v>
      </c>
    </row>
    <row r="340" spans="1:6" x14ac:dyDescent="0.25">
      <c r="A340" s="1">
        <v>335</v>
      </c>
      <c r="B340" s="1">
        <f t="shared" ca="1" si="15"/>
        <v>5.147445919358864</v>
      </c>
      <c r="C340" s="1">
        <f t="shared" ca="1" si="16"/>
        <v>1.4268117897026988</v>
      </c>
      <c r="D340" s="1">
        <f t="shared" ca="1" si="17"/>
        <v>1.4268117897026988</v>
      </c>
      <c r="E340" s="1">
        <f ca="1">SUM($B$6:C340)/(2*A340)</f>
        <v>6.188601703224804</v>
      </c>
      <c r="F340" s="1">
        <f ca="1">SUM($E$6:E340)/A340</f>
        <v>6.2475319977782329</v>
      </c>
    </row>
    <row r="341" spans="1:6" x14ac:dyDescent="0.25">
      <c r="A341" s="1">
        <v>336</v>
      </c>
      <c r="B341" s="1">
        <f t="shared" ca="1" si="15"/>
        <v>1.0071198042396379</v>
      </c>
      <c r="C341" s="1">
        <f t="shared" ca="1" si="16"/>
        <v>0.2673279568781417</v>
      </c>
      <c r="D341" s="1">
        <f t="shared" ca="1" si="17"/>
        <v>0.2673279568781417</v>
      </c>
      <c r="E341" s="1">
        <f ca="1">SUM($B$6:C341)/(2*A341)</f>
        <v>6.17207974541925</v>
      </c>
      <c r="F341" s="1">
        <f ca="1">SUM($E$6:E341)/A341</f>
        <v>6.2473074375033537</v>
      </c>
    </row>
    <row r="342" spans="1:6" x14ac:dyDescent="0.25">
      <c r="A342" s="1">
        <v>337</v>
      </c>
      <c r="B342" s="1">
        <f t="shared" ca="1" si="15"/>
        <v>1.5092544624714899</v>
      </c>
      <c r="C342" s="1">
        <f t="shared" ca="1" si="16"/>
        <v>4.0076136517433962</v>
      </c>
      <c r="D342" s="1">
        <f t="shared" ca="1" si="17"/>
        <v>1.5092544624714899</v>
      </c>
      <c r="E342" s="1">
        <f ca="1">SUM($B$6:C342)/(2*A342)</f>
        <v>6.1619502329910256</v>
      </c>
      <c r="F342" s="1">
        <f ca="1">SUM($E$6:E342)/A342</f>
        <v>6.2470541520300236</v>
      </c>
    </row>
    <row r="343" spans="1:6" x14ac:dyDescent="0.25">
      <c r="A343" s="1">
        <v>338</v>
      </c>
      <c r="B343" s="1">
        <f t="shared" ca="1" si="15"/>
        <v>8.876006812316291</v>
      </c>
      <c r="C343" s="1">
        <f t="shared" ca="1" si="16"/>
        <v>2.7938950858191873</v>
      </c>
      <c r="D343" s="1">
        <f t="shared" ca="1" si="17"/>
        <v>2.7938950858191873</v>
      </c>
      <c r="E343" s="1">
        <f ca="1">SUM($B$6:C343)/(2*A343)</f>
        <v>6.1609827794882932</v>
      </c>
      <c r="F343" s="1">
        <f ca="1">SUM($E$6:E343)/A343</f>
        <v>6.2467995029988348</v>
      </c>
    </row>
    <row r="344" spans="1:6" x14ac:dyDescent="0.25">
      <c r="A344" s="1">
        <v>339</v>
      </c>
      <c r="B344" s="1">
        <f t="shared" ca="1" si="15"/>
        <v>4.2214654728518228</v>
      </c>
      <c r="C344" s="1">
        <f t="shared" ca="1" si="16"/>
        <v>9.8624036713539542</v>
      </c>
      <c r="D344" s="1">
        <f t="shared" ca="1" si="17"/>
        <v>4.2214654728518228</v>
      </c>
      <c r="E344" s="1">
        <f ca="1">SUM($B$6:C344)/(2*A344)</f>
        <v>6.1635814573426124</v>
      </c>
      <c r="F344" s="1">
        <f ca="1">SUM($E$6:E344)/A344</f>
        <v>6.2465540220381959</v>
      </c>
    </row>
    <row r="345" spans="1:6" x14ac:dyDescent="0.25">
      <c r="A345" s="1">
        <v>340</v>
      </c>
      <c r="B345" s="1">
        <f t="shared" ca="1" si="15"/>
        <v>7.4264571281247038</v>
      </c>
      <c r="C345" s="1">
        <f t="shared" ca="1" si="16"/>
        <v>3.9266854456308002</v>
      </c>
      <c r="D345" s="1">
        <f t="shared" ca="1" si="17"/>
        <v>3.9266854456308002</v>
      </c>
      <c r="E345" s="1">
        <f ca="1">SUM($B$6:C345)/(2*A345)</f>
        <v>6.1621490744883047</v>
      </c>
      <c r="F345" s="1">
        <f ca="1">SUM($E$6:E345)/A345</f>
        <v>6.2463057721924606</v>
      </c>
    </row>
    <row r="346" spans="1:6" x14ac:dyDescent="0.25">
      <c r="A346" s="1">
        <v>341</v>
      </c>
      <c r="B346" s="1">
        <f t="shared" ca="1" si="15"/>
        <v>9.0972902641791471</v>
      </c>
      <c r="C346" s="1">
        <f t="shared" ca="1" si="16"/>
        <v>4.3980892054911145</v>
      </c>
      <c r="D346" s="1">
        <f t="shared" ca="1" si="17"/>
        <v>4.3980892054911145</v>
      </c>
      <c r="E346" s="1">
        <f ca="1">SUM($B$6:C346)/(2*A346)</f>
        <v>6.1638662025245123</v>
      </c>
      <c r="F346" s="1">
        <f ca="1">SUM($E$6:E346)/A346</f>
        <v>6.2460640139236396</v>
      </c>
    </row>
    <row r="347" spans="1:6" x14ac:dyDescent="0.25">
      <c r="A347" s="1">
        <v>342</v>
      </c>
      <c r="B347" s="1">
        <f t="shared" ca="1" si="15"/>
        <v>9.2572954845433806</v>
      </c>
      <c r="C347" s="1">
        <f t="shared" ca="1" si="16"/>
        <v>11.95493900295434</v>
      </c>
      <c r="D347" s="1">
        <f t="shared" ca="1" si="17"/>
        <v>9.2572954845433806</v>
      </c>
      <c r="E347" s="1">
        <f ca="1">SUM($B$6:C347)/(2*A347)</f>
        <v>6.1768552406567476</v>
      </c>
      <c r="F347" s="1">
        <f ca="1">SUM($E$6:E347)/A347</f>
        <v>6.2458616490895249</v>
      </c>
    </row>
    <row r="348" spans="1:6" x14ac:dyDescent="0.25">
      <c r="A348" s="1">
        <v>343</v>
      </c>
      <c r="B348" s="1">
        <f t="shared" ca="1" si="15"/>
        <v>2.1368375943475248</v>
      </c>
      <c r="C348" s="1">
        <f t="shared" ca="1" si="16"/>
        <v>0.5646819354917415</v>
      </c>
      <c r="D348" s="1">
        <f t="shared" ca="1" si="17"/>
        <v>0.5646819354917415</v>
      </c>
      <c r="E348" s="1">
        <f ca="1">SUM($B$6:C348)/(2*A348)</f>
        <v>6.1627849914563475</v>
      </c>
      <c r="F348" s="1">
        <f ca="1">SUM($E$6:E348)/A348</f>
        <v>6.245619443090594</v>
      </c>
    </row>
    <row r="349" spans="1:6" x14ac:dyDescent="0.25">
      <c r="A349" s="1">
        <v>344</v>
      </c>
      <c r="B349" s="1">
        <f t="shared" ca="1" si="15"/>
        <v>4.2876210089218496</v>
      </c>
      <c r="C349" s="1">
        <f t="shared" ca="1" si="16"/>
        <v>9.0492716664777237</v>
      </c>
      <c r="D349" s="1">
        <f t="shared" ca="1" si="17"/>
        <v>4.2876210089218496</v>
      </c>
      <c r="E349" s="1">
        <f ca="1">SUM($B$6:C349)/(2*A349)</f>
        <v>6.1642549372303099</v>
      </c>
      <c r="F349" s="1">
        <f ca="1">SUM($E$6:E349)/A349</f>
        <v>6.2453829183642569</v>
      </c>
    </row>
    <row r="350" spans="1:6" x14ac:dyDescent="0.25">
      <c r="A350" s="1">
        <v>345</v>
      </c>
      <c r="B350" s="1">
        <f t="shared" ca="1" si="15"/>
        <v>6.2294071452598043</v>
      </c>
      <c r="C350" s="1">
        <f t="shared" ca="1" si="16"/>
        <v>4.8192130789911216</v>
      </c>
      <c r="D350" s="1">
        <f t="shared" ca="1" si="17"/>
        <v>4.8192130789911216</v>
      </c>
      <c r="E350" s="1">
        <f ca="1">SUM($B$6:C350)/(2*A350)</f>
        <v>6.162400024693774</v>
      </c>
      <c r="F350" s="1">
        <f ca="1">SUM($E$6:E350)/A350</f>
        <v>6.2451423882376753</v>
      </c>
    </row>
    <row r="351" spans="1:6" x14ac:dyDescent="0.25">
      <c r="A351" s="1">
        <v>346</v>
      </c>
      <c r="B351" s="1">
        <f t="shared" ca="1" si="15"/>
        <v>9.3022610489691893</v>
      </c>
      <c r="C351" s="1">
        <f t="shared" ca="1" si="16"/>
        <v>9.5716515549764107</v>
      </c>
      <c r="D351" s="1">
        <f t="shared" ca="1" si="17"/>
        <v>9.3022610489691893</v>
      </c>
      <c r="E351" s="1">
        <f ca="1">SUM($B$6:C351)/(2*A351)</f>
        <v>6.1718640601772394</v>
      </c>
      <c r="F351" s="1">
        <f ca="1">SUM($E$6:E351)/A351</f>
        <v>6.2449306011623564</v>
      </c>
    </row>
    <row r="352" spans="1:6" x14ac:dyDescent="0.25">
      <c r="A352" s="1">
        <v>347</v>
      </c>
      <c r="B352" s="1">
        <f t="shared" ca="1" si="15"/>
        <v>0.20163645669829977</v>
      </c>
      <c r="C352" s="1">
        <f t="shared" ca="1" si="16"/>
        <v>1.4125677260479592</v>
      </c>
      <c r="D352" s="1">
        <f t="shared" ca="1" si="17"/>
        <v>0.20163645669829977</v>
      </c>
      <c r="E352" s="1">
        <f ca="1">SUM($B$6:C352)/(2*A352)</f>
        <v>6.1564036510452391</v>
      </c>
      <c r="F352" s="1">
        <f ca="1">SUM($E$6:E352)/A352</f>
        <v>6.244675480268647</v>
      </c>
    </row>
    <row r="353" spans="1:6" x14ac:dyDescent="0.25">
      <c r="A353" s="1">
        <v>348</v>
      </c>
      <c r="B353" s="1">
        <f t="shared" ca="1" si="15"/>
        <v>1.4535581495122485</v>
      </c>
      <c r="C353" s="1">
        <f t="shared" ca="1" si="16"/>
        <v>0.41349324788247765</v>
      </c>
      <c r="D353" s="1">
        <f t="shared" ca="1" si="17"/>
        <v>0.41349324788247765</v>
      </c>
      <c r="E353" s="1">
        <f ca="1">SUM($B$6:C353)/(2*A353)</f>
        <v>6.1413953810672277</v>
      </c>
      <c r="F353" s="1">
        <f ca="1">SUM($E$6:E353)/A353</f>
        <v>6.2443786983743896</v>
      </c>
    </row>
    <row r="354" spans="1:6" x14ac:dyDescent="0.25">
      <c r="A354" s="1">
        <v>349</v>
      </c>
      <c r="B354" s="1">
        <f t="shared" ca="1" si="15"/>
        <v>2.9875865599423412</v>
      </c>
      <c r="C354" s="1">
        <f t="shared" ca="1" si="16"/>
        <v>4.9116996506875772</v>
      </c>
      <c r="D354" s="1">
        <f t="shared" ca="1" si="17"/>
        <v>2.9875865599423412</v>
      </c>
      <c r="E354" s="1">
        <f ca="1">SUM($B$6:C354)/(2*A354)</f>
        <v>6.1351152885865625</v>
      </c>
      <c r="F354" s="1">
        <f ca="1">SUM($E$6:E354)/A354</f>
        <v>6.244065622701644</v>
      </c>
    </row>
    <row r="355" spans="1:6" x14ac:dyDescent="0.25">
      <c r="A355" s="1">
        <v>350</v>
      </c>
      <c r="B355" s="1">
        <f t="shared" ca="1" si="15"/>
        <v>3.0911284796958274</v>
      </c>
      <c r="C355" s="1">
        <f t="shared" ca="1" si="16"/>
        <v>11.653782518970155</v>
      </c>
      <c r="D355" s="1">
        <f t="shared" ca="1" si="17"/>
        <v>3.0911284796958274</v>
      </c>
      <c r="E355" s="1">
        <f ca="1">SUM($B$6:C355)/(2*A355)</f>
        <v>6.1386505463315517</v>
      </c>
      <c r="F355" s="1">
        <f ca="1">SUM($E$6:E355)/A355</f>
        <v>6.2437644367691583</v>
      </c>
    </row>
    <row r="356" spans="1:6" x14ac:dyDescent="0.25">
      <c r="A356" s="1">
        <v>351</v>
      </c>
      <c r="B356" s="1">
        <f t="shared" ca="1" si="15"/>
        <v>3.2766624440592973</v>
      </c>
      <c r="C356" s="1">
        <f t="shared" ca="1" si="16"/>
        <v>10.761073617339321</v>
      </c>
      <c r="D356" s="1">
        <f t="shared" ca="1" si="17"/>
        <v>3.2766624440592973</v>
      </c>
      <c r="E356" s="1">
        <f ca="1">SUM($B$6:C356)/(2*A356)</f>
        <v>6.1411582884522566</v>
      </c>
      <c r="F356" s="1">
        <f ca="1">SUM($E$6:E356)/A356</f>
        <v>6.243472111560278</v>
      </c>
    </row>
    <row r="357" spans="1:6" x14ac:dyDescent="0.25">
      <c r="A357" s="1">
        <v>352</v>
      </c>
      <c r="B357" s="1">
        <f t="shared" ca="1" si="15"/>
        <v>4.3445789234671528</v>
      </c>
      <c r="C357" s="1">
        <f t="shared" ca="1" si="16"/>
        <v>0.41963387831812193</v>
      </c>
      <c r="D357" s="1">
        <f t="shared" ca="1" si="17"/>
        <v>0.41963387831812193</v>
      </c>
      <c r="E357" s="1">
        <f ca="1">SUM($B$6:C357)/(2*A357)</f>
        <v>6.1304791637716907</v>
      </c>
      <c r="F357" s="1">
        <f ca="1">SUM($E$6:E357)/A357</f>
        <v>6.2431511088676963</v>
      </c>
    </row>
    <row r="358" spans="1:6" x14ac:dyDescent="0.25">
      <c r="A358" s="1">
        <v>353</v>
      </c>
      <c r="B358" s="1">
        <f t="shared" ca="1" si="15"/>
        <v>4.7401087511879538</v>
      </c>
      <c r="C358" s="1">
        <f t="shared" ca="1" si="16"/>
        <v>10.976140795549895</v>
      </c>
      <c r="D358" s="1">
        <f t="shared" ca="1" si="17"/>
        <v>4.7401087511879538</v>
      </c>
      <c r="E358" s="1">
        <f ca="1">SUM($B$6:C358)/(2*A358)</f>
        <v>6.1353733439688511</v>
      </c>
      <c r="F358" s="1">
        <f ca="1">SUM($E$6:E358)/A358</f>
        <v>6.2428457894203904</v>
      </c>
    </row>
    <row r="359" spans="1:6" x14ac:dyDescent="0.25">
      <c r="A359" s="1">
        <v>354</v>
      </c>
      <c r="B359" s="1">
        <f t="shared" ca="1" si="15"/>
        <v>1.8859661465073929</v>
      </c>
      <c r="C359" s="1">
        <f t="shared" ca="1" si="16"/>
        <v>7.2114383138080722</v>
      </c>
      <c r="D359" s="1">
        <f t="shared" ca="1" si="17"/>
        <v>1.8859661465073929</v>
      </c>
      <c r="E359" s="1">
        <f ca="1">SUM($B$6:C359)/(2*A359)</f>
        <v>6.1308912221784233</v>
      </c>
      <c r="F359" s="1">
        <f ca="1">SUM($E$6:E359)/A359</f>
        <v>6.2425295335807238</v>
      </c>
    </row>
    <row r="360" spans="1:6" x14ac:dyDescent="0.25">
      <c r="A360" s="1">
        <v>355</v>
      </c>
      <c r="B360" s="1">
        <f t="shared" ca="1" si="15"/>
        <v>7.3819683939060221</v>
      </c>
      <c r="C360" s="1">
        <f t="shared" ca="1" si="16"/>
        <v>10.266171489784018</v>
      </c>
      <c r="D360" s="1">
        <f t="shared" ca="1" si="17"/>
        <v>7.3819683939060221</v>
      </c>
      <c r="E360" s="1">
        <f ca="1">SUM($B$6:C360)/(2*A360)</f>
        <v>6.1384776411070625</v>
      </c>
      <c r="F360" s="1">
        <f ca="1">SUM($E$6:E360)/A360</f>
        <v>6.2422364296582629</v>
      </c>
    </row>
    <row r="361" spans="1:6" x14ac:dyDescent="0.25">
      <c r="A361" s="1">
        <v>356</v>
      </c>
      <c r="B361" s="1">
        <f t="shared" ca="1" si="15"/>
        <v>8.0696789119897705</v>
      </c>
      <c r="C361" s="1">
        <f t="shared" ca="1" si="16"/>
        <v>6.3490836872400713</v>
      </c>
      <c r="D361" s="1">
        <f t="shared" ca="1" si="17"/>
        <v>6.3490836872400713</v>
      </c>
      <c r="E361" s="1">
        <f ca="1">SUM($B$6:C361)/(2*A361)</f>
        <v>6.1414857974511854</v>
      </c>
      <c r="F361" s="1">
        <f ca="1">SUM($E$6:E361)/A361</f>
        <v>6.2419534222644222</v>
      </c>
    </row>
    <row r="362" spans="1:6" x14ac:dyDescent="0.25">
      <c r="A362" s="1">
        <v>357</v>
      </c>
      <c r="B362" s="1">
        <f t="shared" ca="1" si="15"/>
        <v>6.3252045589185855</v>
      </c>
      <c r="C362" s="1">
        <f t="shared" ca="1" si="16"/>
        <v>1.864108854170905</v>
      </c>
      <c r="D362" s="1">
        <f t="shared" ca="1" si="17"/>
        <v>1.864108854170905</v>
      </c>
      <c r="E362" s="1">
        <f ca="1">SUM($B$6:C362)/(2*A362)</f>
        <v>6.1357523826307201</v>
      </c>
      <c r="F362" s="1">
        <f ca="1">SUM($E$6:E362)/A362</f>
        <v>6.2416559403606868</v>
      </c>
    </row>
    <row r="363" spans="1:6" x14ac:dyDescent="0.25">
      <c r="A363" s="1">
        <v>358</v>
      </c>
      <c r="B363" s="1">
        <f t="shared" ca="1" si="15"/>
        <v>9.1196122216232371</v>
      </c>
      <c r="C363" s="1">
        <f t="shared" ca="1" si="16"/>
        <v>1.0252959578969985</v>
      </c>
      <c r="D363" s="1">
        <f t="shared" ca="1" si="17"/>
        <v>1.0252959578969985</v>
      </c>
      <c r="E363" s="1">
        <f ca="1">SUM($B$6:C363)/(2*A363)</f>
        <v>6.1327822756673935</v>
      </c>
      <c r="F363" s="1">
        <f ca="1">SUM($E$6:E363)/A363</f>
        <v>6.2413518239788619</v>
      </c>
    </row>
    <row r="364" spans="1:6" x14ac:dyDescent="0.25">
      <c r="A364" s="1">
        <v>359</v>
      </c>
      <c r="B364" s="1">
        <f t="shared" ca="1" si="15"/>
        <v>6.0489109464917368</v>
      </c>
      <c r="C364" s="1">
        <f t="shared" ca="1" si="16"/>
        <v>5.2076865489753814</v>
      </c>
      <c r="D364" s="1">
        <f t="shared" ca="1" si="17"/>
        <v>5.2076865489753814</v>
      </c>
      <c r="E364" s="1">
        <f ca="1">SUM($B$6:C364)/(2*A364)</f>
        <v>6.1313770290714773</v>
      </c>
      <c r="F364" s="1">
        <f ca="1">SUM($E$6:E364)/A364</f>
        <v>6.2410454875027979</v>
      </c>
    </row>
    <row r="365" spans="1:6" x14ac:dyDescent="0.25">
      <c r="A365" s="1">
        <v>360</v>
      </c>
      <c r="B365" s="1">
        <f t="shared" ca="1" si="15"/>
        <v>6.7792872960561779</v>
      </c>
      <c r="C365" s="1">
        <f t="shared" ca="1" si="16"/>
        <v>1.5633588581504765</v>
      </c>
      <c r="D365" s="1">
        <f t="shared" ca="1" si="17"/>
        <v>1.5633588581504765</v>
      </c>
      <c r="E365" s="1">
        <f ca="1">SUM($B$6:C365)/(2*A365)</f>
        <v>6.1259324347604549</v>
      </c>
      <c r="F365" s="1">
        <f ca="1">SUM($E$6:E365)/A365</f>
        <v>6.2407257290229587</v>
      </c>
    </row>
    <row r="366" spans="1:6" x14ac:dyDescent="0.25">
      <c r="A366" s="1">
        <v>361</v>
      </c>
      <c r="B366" s="1">
        <f t="shared" ca="1" si="15"/>
        <v>1.2193682442242781</v>
      </c>
      <c r="C366" s="1">
        <f t="shared" ca="1" si="16"/>
        <v>7.2994332595715115</v>
      </c>
      <c r="D366" s="1">
        <f t="shared" ca="1" si="17"/>
        <v>1.2193682442242781</v>
      </c>
      <c r="E366" s="1">
        <f ca="1">SUM($B$6:C366)/(2*A366)</f>
        <v>6.1207619868854888</v>
      </c>
      <c r="F366" s="1">
        <f ca="1">SUM($E$6:E366)/A366</f>
        <v>6.240393419487952</v>
      </c>
    </row>
    <row r="367" spans="1:6" x14ac:dyDescent="0.25">
      <c r="A367" s="1">
        <v>362</v>
      </c>
      <c r="B367" s="1">
        <f t="shared" ca="1" si="15"/>
        <v>9.417854605904779</v>
      </c>
      <c r="C367" s="1">
        <f t="shared" ca="1" si="16"/>
        <v>11.675192304785231</v>
      </c>
      <c r="D367" s="1">
        <f t="shared" ca="1" si="17"/>
        <v>9.417854605904779</v>
      </c>
      <c r="E367" s="1">
        <f ca="1">SUM($B$6:C367)/(2*A367)</f>
        <v>6.1329878472955981</v>
      </c>
      <c r="F367" s="1">
        <f ca="1">SUM($E$6:E367)/A367</f>
        <v>6.240096719012282</v>
      </c>
    </row>
    <row r="368" spans="1:6" x14ac:dyDescent="0.25">
      <c r="A368" s="1">
        <v>363</v>
      </c>
      <c r="B368" s="1">
        <f t="shared" ca="1" si="15"/>
        <v>7.3713110981298779</v>
      </c>
      <c r="C368" s="1">
        <f t="shared" ca="1" si="16"/>
        <v>5.7011571882076284</v>
      </c>
      <c r="D368" s="1">
        <f t="shared" ca="1" si="17"/>
        <v>5.7011571882076284</v>
      </c>
      <c r="E368" s="1">
        <f ca="1">SUM($B$6:C368)/(2*A368)</f>
        <v>6.1340987186340916</v>
      </c>
      <c r="F368" s="1">
        <f ca="1">SUM($E$6:E368)/A368</f>
        <v>6.2398047135015986</v>
      </c>
    </row>
    <row r="369" spans="1:6" x14ac:dyDescent="0.25">
      <c r="A369" s="1">
        <v>364</v>
      </c>
      <c r="B369" s="1">
        <f t="shared" ca="1" si="15"/>
        <v>9.8465504729221873</v>
      </c>
      <c r="C369" s="1">
        <f t="shared" ca="1" si="16"/>
        <v>8.571088723242748E-2</v>
      </c>
      <c r="D369" s="1">
        <f t="shared" ca="1" si="17"/>
        <v>8.571088723242748E-2</v>
      </c>
      <c r="E369" s="1">
        <f ca="1">SUM($B$6:C369)/(2*A369)</f>
        <v>6.1308900152314623</v>
      </c>
      <c r="F369" s="1">
        <f ca="1">SUM($E$6:E369)/A369</f>
        <v>6.2395054972975608</v>
      </c>
    </row>
    <row r="370" spans="1:6" x14ac:dyDescent="0.25">
      <c r="A370" s="1">
        <v>365</v>
      </c>
      <c r="B370" s="1">
        <f t="shared" ca="1" si="15"/>
        <v>4.4952649389560451</v>
      </c>
      <c r="C370" s="1">
        <f t="shared" ca="1" si="16"/>
        <v>9.1597506631789862</v>
      </c>
      <c r="D370" s="1">
        <f t="shared" ca="1" si="17"/>
        <v>4.4952649389560451</v>
      </c>
      <c r="E370" s="1">
        <f ca="1">SUM($B$6:C370)/(2*A370)</f>
        <v>6.1327985571104646</v>
      </c>
      <c r="F370" s="1">
        <f ca="1">SUM($E$6:E370)/A370</f>
        <v>6.2392131495162264</v>
      </c>
    </row>
  </sheetData>
  <mergeCells count="2">
    <mergeCell ref="A1:A2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CE9FF-1A6F-4C67-A836-5596C355CC39}">
  <dimension ref="A1"/>
  <sheetViews>
    <sheetView workbookViewId="0">
      <selection activeCell="F35" sqref="F3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74CDF-B7C0-490F-95B4-6BDEA7F609EE}">
  <dimension ref="A1:I29"/>
  <sheetViews>
    <sheetView workbookViewId="0">
      <selection activeCell="B17" sqref="B17"/>
    </sheetView>
  </sheetViews>
  <sheetFormatPr defaultRowHeight="15" x14ac:dyDescent="0.25"/>
  <cols>
    <col min="1" max="1" width="19.140625" bestFit="1" customWidth="1"/>
    <col min="2" max="2" width="11.5703125" bestFit="1" customWidth="1"/>
    <col min="3" max="3" width="9.5703125" bestFit="1" customWidth="1"/>
    <col min="4" max="4" width="10.5703125" bestFit="1" customWidth="1"/>
    <col min="7" max="7" width="9.5703125" bestFit="1" customWidth="1"/>
    <col min="8" max="8" width="34.42578125" bestFit="1" customWidth="1"/>
    <col min="9" max="9" width="10" bestFit="1" customWidth="1"/>
  </cols>
  <sheetData>
    <row r="1" spans="1:9" x14ac:dyDescent="0.25">
      <c r="A1" s="6" t="s">
        <v>13</v>
      </c>
      <c r="B1" s="6"/>
      <c r="C1" s="6"/>
      <c r="D1" s="6"/>
    </row>
    <row r="3" spans="1:9" x14ac:dyDescent="0.25">
      <c r="A3" s="7" t="s">
        <v>14</v>
      </c>
    </row>
    <row r="4" spans="1:9" x14ac:dyDescent="0.25">
      <c r="A4" s="1" t="s">
        <v>15</v>
      </c>
      <c r="B4" s="1">
        <v>10</v>
      </c>
      <c r="C4" s="1" t="s">
        <v>18</v>
      </c>
      <c r="D4" s="1">
        <v>10</v>
      </c>
    </row>
    <row r="5" spans="1:9" x14ac:dyDescent="0.25">
      <c r="A5" s="7" t="s">
        <v>16</v>
      </c>
      <c r="F5" s="6" t="s">
        <v>26</v>
      </c>
      <c r="G5" s="6"/>
      <c r="H5" s="6"/>
      <c r="I5" s="6"/>
    </row>
    <row r="6" spans="1:9" x14ac:dyDescent="0.25">
      <c r="A6" s="1" t="s">
        <v>17</v>
      </c>
      <c r="B6" s="1" t="s">
        <v>19</v>
      </c>
      <c r="C6" s="1" t="s">
        <v>20</v>
      </c>
      <c r="D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</row>
    <row r="7" spans="1:9" x14ac:dyDescent="0.25">
      <c r="A7" s="1">
        <f ca="1">IF(RAND()&lt;0.5,1,0)</f>
        <v>1</v>
      </c>
      <c r="B7" s="1">
        <f ca="1">IF(A7=1, $B$4+$D$4,$B$4-$D$4)</f>
        <v>20</v>
      </c>
      <c r="C7" s="1" t="str">
        <f ca="1">IF(B7&lt;2*$B$4,"-","банк")</f>
        <v>банк</v>
      </c>
      <c r="D7" s="1" t="str">
        <f ca="1">IF(B7&gt;0, "-","банкрот")</f>
        <v>-</v>
      </c>
      <c r="F7" s="1">
        <v>1</v>
      </c>
      <c r="G7" s="1">
        <v>1</v>
      </c>
      <c r="H7" s="1">
        <v>14</v>
      </c>
      <c r="I7" s="1" t="s">
        <v>28</v>
      </c>
    </row>
    <row r="8" spans="1:9" x14ac:dyDescent="0.25">
      <c r="A8" s="1">
        <f t="shared" ref="A8:A29" ca="1" si="0">IF(RAND()&lt;0.5,1,0)</f>
        <v>0</v>
      </c>
      <c r="B8" s="1">
        <f ca="1">IF(A8=1, B7+$D$4,B7-$D$4)</f>
        <v>10</v>
      </c>
      <c r="C8" s="1" t="str">
        <f t="shared" ref="C8:C29" ca="1" si="1">IF(B8&lt;2*$B$4,"-","банк")</f>
        <v>-</v>
      </c>
      <c r="D8" s="1" t="str">
        <f t="shared" ref="D8:D15" ca="1" si="2">IF(B8&gt;0, "-","банкрот")</f>
        <v>-</v>
      </c>
      <c r="F8" s="1">
        <v>2</v>
      </c>
      <c r="G8" s="1">
        <v>2</v>
      </c>
      <c r="H8" s="1">
        <v>11</v>
      </c>
      <c r="I8" s="1" t="s">
        <v>27</v>
      </c>
    </row>
    <row r="9" spans="1:9" x14ac:dyDescent="0.25">
      <c r="A9" s="1">
        <f t="shared" ca="1" si="0"/>
        <v>1</v>
      </c>
      <c r="B9" s="1">
        <f ca="1">IF(A9=1, B8+$D$4,B8-$D$4)</f>
        <v>20</v>
      </c>
      <c r="C9" s="1" t="str">
        <f t="shared" ca="1" si="1"/>
        <v>банк</v>
      </c>
      <c r="D9" s="1" t="str">
        <f t="shared" ref="D9:D29" ca="1" si="3">IF(B9&gt;0, "-","банкрот")</f>
        <v>-</v>
      </c>
      <c r="F9" s="1">
        <v>3</v>
      </c>
      <c r="G9" s="1">
        <v>3</v>
      </c>
      <c r="H9" s="1">
        <v>8</v>
      </c>
      <c r="I9" s="1" t="s">
        <v>27</v>
      </c>
    </row>
    <row r="10" spans="1:9" x14ac:dyDescent="0.25">
      <c r="A10" s="1">
        <f t="shared" ca="1" si="0"/>
        <v>1</v>
      </c>
      <c r="B10" s="1">
        <f ca="1">IF(A10=1, B9+$D$4,B9-$D$4)</f>
        <v>30</v>
      </c>
      <c r="C10" s="1" t="str">
        <f t="shared" ca="1" si="1"/>
        <v>банк</v>
      </c>
      <c r="D10" s="1" t="str">
        <f t="shared" ca="1" si="3"/>
        <v>-</v>
      </c>
      <c r="F10" s="1">
        <v>4</v>
      </c>
      <c r="G10" s="1">
        <v>4</v>
      </c>
      <c r="H10" s="1">
        <v>13</v>
      </c>
      <c r="I10" s="1" t="s">
        <v>28</v>
      </c>
    </row>
    <row r="11" spans="1:9" x14ac:dyDescent="0.25">
      <c r="A11" s="1">
        <f t="shared" ca="1" si="0"/>
        <v>0</v>
      </c>
      <c r="B11" s="1">
        <f ca="1">IF(A11=1, B10+$D$4,B10-$D$4)</f>
        <v>20</v>
      </c>
      <c r="C11" s="1" t="str">
        <f t="shared" ca="1" si="1"/>
        <v>банк</v>
      </c>
      <c r="D11" s="1" t="str">
        <f t="shared" ca="1" si="3"/>
        <v>-</v>
      </c>
      <c r="F11" s="1">
        <v>5</v>
      </c>
      <c r="G11" s="1">
        <v>5</v>
      </c>
      <c r="H11" s="1">
        <v>8</v>
      </c>
      <c r="I11" s="1" t="s">
        <v>28</v>
      </c>
    </row>
    <row r="12" spans="1:9" x14ac:dyDescent="0.25">
      <c r="A12" s="1">
        <f t="shared" ca="1" si="0"/>
        <v>1</v>
      </c>
      <c r="B12" s="1">
        <f ca="1">IF(A12=1, B11+$D$4,B11-$D$4)</f>
        <v>30</v>
      </c>
      <c r="C12" s="1" t="str">
        <f t="shared" ca="1" si="1"/>
        <v>банк</v>
      </c>
      <c r="D12" s="1" t="str">
        <f t="shared" ca="1" si="3"/>
        <v>-</v>
      </c>
      <c r="F12" s="1">
        <v>6</v>
      </c>
      <c r="G12" s="1">
        <v>6</v>
      </c>
      <c r="H12" s="1">
        <v>2</v>
      </c>
      <c r="I12" s="1" t="s">
        <v>27</v>
      </c>
    </row>
    <row r="13" spans="1:9" x14ac:dyDescent="0.25">
      <c r="A13" s="1">
        <f t="shared" ca="1" si="0"/>
        <v>0</v>
      </c>
      <c r="B13" s="1">
        <f ca="1">IF(A13=1, B12+$D$4,B12-$D$4)</f>
        <v>20</v>
      </c>
      <c r="C13" s="1" t="str">
        <f t="shared" ca="1" si="1"/>
        <v>банк</v>
      </c>
      <c r="D13" s="1" t="str">
        <f t="shared" ca="1" si="3"/>
        <v>-</v>
      </c>
      <c r="F13" s="1">
        <v>7</v>
      </c>
      <c r="G13" s="1">
        <v>7</v>
      </c>
      <c r="H13" s="1">
        <v>14</v>
      </c>
      <c r="I13" s="1" t="s">
        <v>28</v>
      </c>
    </row>
    <row r="14" spans="1:9" x14ac:dyDescent="0.25">
      <c r="A14" s="1">
        <f t="shared" ca="1" si="0"/>
        <v>0</v>
      </c>
      <c r="B14" s="1">
        <f ca="1">IF(A14=1, B13+$D$4,B13-$D$4)</f>
        <v>10</v>
      </c>
      <c r="C14" s="1" t="str">
        <f t="shared" ca="1" si="1"/>
        <v>-</v>
      </c>
      <c r="D14" s="1" t="str">
        <f t="shared" ca="1" si="3"/>
        <v>-</v>
      </c>
      <c r="F14" s="1">
        <v>8</v>
      </c>
      <c r="G14" s="1">
        <v>8</v>
      </c>
      <c r="H14" s="1">
        <v>2</v>
      </c>
      <c r="I14" s="1" t="s">
        <v>27</v>
      </c>
    </row>
    <row r="15" spans="1:9" x14ac:dyDescent="0.25">
      <c r="A15" s="1">
        <f t="shared" ca="1" si="0"/>
        <v>0</v>
      </c>
      <c r="B15" s="1">
        <f ca="1">IF(A15=1, B14+$D$4,B14-$D$4)</f>
        <v>0</v>
      </c>
      <c r="C15" s="1" t="str">
        <f t="shared" ca="1" si="1"/>
        <v>-</v>
      </c>
      <c r="D15" s="1" t="str">
        <f t="shared" ca="1" si="3"/>
        <v>банкрот</v>
      </c>
      <c r="F15" s="1">
        <v>9</v>
      </c>
      <c r="G15" s="1">
        <v>9</v>
      </c>
      <c r="H15" s="1">
        <v>6</v>
      </c>
      <c r="I15" s="1" t="s">
        <v>27</v>
      </c>
    </row>
    <row r="16" spans="1:9" x14ac:dyDescent="0.25">
      <c r="A16" s="1">
        <f t="shared" ca="1" si="0"/>
        <v>1</v>
      </c>
      <c r="B16" s="1">
        <f ca="1">IF(A16=1, B15+$D$4,B15-$D$4)</f>
        <v>10</v>
      </c>
      <c r="C16" s="1" t="str">
        <f t="shared" ca="1" si="1"/>
        <v>-</v>
      </c>
      <c r="D16" s="1" t="str">
        <f t="shared" ca="1" si="3"/>
        <v>-</v>
      </c>
      <c r="F16" s="1">
        <v>10</v>
      </c>
      <c r="G16" s="1">
        <v>10</v>
      </c>
      <c r="H16" s="1">
        <v>1</v>
      </c>
      <c r="I16" s="1" t="s">
        <v>27</v>
      </c>
    </row>
    <row r="17" spans="1:4" x14ac:dyDescent="0.25">
      <c r="A17" s="1">
        <f t="shared" ca="1" si="0"/>
        <v>1</v>
      </c>
      <c r="B17" s="1">
        <f t="shared" ref="B9:B29" ca="1" si="4">IF(A17=1, B16+$D$4,B16-$D$4)</f>
        <v>20</v>
      </c>
      <c r="C17" s="1" t="str">
        <f t="shared" ca="1" si="1"/>
        <v>банк</v>
      </c>
      <c r="D17" s="1" t="str">
        <f t="shared" ca="1" si="3"/>
        <v>-</v>
      </c>
    </row>
    <row r="18" spans="1:4" x14ac:dyDescent="0.25">
      <c r="A18" s="1">
        <f t="shared" ca="1" si="0"/>
        <v>0</v>
      </c>
      <c r="B18" s="1">
        <f t="shared" ca="1" si="4"/>
        <v>10</v>
      </c>
      <c r="C18" s="1" t="str">
        <f t="shared" ca="1" si="1"/>
        <v>-</v>
      </c>
      <c r="D18" s="1" t="str">
        <f t="shared" ca="1" si="3"/>
        <v>-</v>
      </c>
    </row>
    <row r="19" spans="1:4" x14ac:dyDescent="0.25">
      <c r="A19" s="1">
        <f t="shared" ca="1" si="0"/>
        <v>0</v>
      </c>
      <c r="B19" s="1">
        <f t="shared" ca="1" si="4"/>
        <v>0</v>
      </c>
      <c r="C19" s="1" t="str">
        <f t="shared" ca="1" si="1"/>
        <v>-</v>
      </c>
      <c r="D19" s="1" t="str">
        <f t="shared" ca="1" si="3"/>
        <v>банкрот</v>
      </c>
    </row>
    <row r="20" spans="1:4" x14ac:dyDescent="0.25">
      <c r="A20" s="1">
        <f t="shared" ca="1" si="0"/>
        <v>1</v>
      </c>
      <c r="B20" s="1">
        <f t="shared" ca="1" si="4"/>
        <v>10</v>
      </c>
      <c r="C20" s="1" t="str">
        <f t="shared" ca="1" si="1"/>
        <v>-</v>
      </c>
      <c r="D20" s="1" t="str">
        <f t="shared" ca="1" si="3"/>
        <v>-</v>
      </c>
    </row>
    <row r="21" spans="1:4" x14ac:dyDescent="0.25">
      <c r="A21" s="1">
        <f t="shared" ca="1" si="0"/>
        <v>0</v>
      </c>
      <c r="B21" s="1">
        <f t="shared" ca="1" si="4"/>
        <v>0</v>
      </c>
      <c r="C21" s="1" t="str">
        <f t="shared" ca="1" si="1"/>
        <v>-</v>
      </c>
      <c r="D21" s="1" t="str">
        <f t="shared" ca="1" si="3"/>
        <v>банкрот</v>
      </c>
    </row>
    <row r="22" spans="1:4" x14ac:dyDescent="0.25">
      <c r="A22" s="1">
        <f t="shared" ca="1" si="0"/>
        <v>0</v>
      </c>
      <c r="B22" s="1">
        <f t="shared" ca="1" si="4"/>
        <v>-10</v>
      </c>
      <c r="C22" s="1" t="str">
        <f t="shared" ca="1" si="1"/>
        <v>-</v>
      </c>
      <c r="D22" s="1" t="str">
        <f t="shared" ca="1" si="3"/>
        <v>банкрот</v>
      </c>
    </row>
    <row r="23" spans="1:4" x14ac:dyDescent="0.25">
      <c r="A23" s="1">
        <f t="shared" ca="1" si="0"/>
        <v>1</v>
      </c>
      <c r="B23" s="1">
        <f t="shared" ca="1" si="4"/>
        <v>0</v>
      </c>
      <c r="C23" s="1" t="str">
        <f t="shared" ca="1" si="1"/>
        <v>-</v>
      </c>
      <c r="D23" s="1" t="str">
        <f t="shared" ca="1" si="3"/>
        <v>банкрот</v>
      </c>
    </row>
    <row r="24" spans="1:4" x14ac:dyDescent="0.25">
      <c r="A24" s="1">
        <f t="shared" ca="1" si="0"/>
        <v>0</v>
      </c>
      <c r="B24" s="1">
        <f t="shared" ca="1" si="4"/>
        <v>-10</v>
      </c>
      <c r="C24" s="1" t="str">
        <f t="shared" ca="1" si="1"/>
        <v>-</v>
      </c>
      <c r="D24" s="1" t="str">
        <f t="shared" ca="1" si="3"/>
        <v>банкрот</v>
      </c>
    </row>
    <row r="25" spans="1:4" x14ac:dyDescent="0.25">
      <c r="A25" s="1">
        <f t="shared" ca="1" si="0"/>
        <v>0</v>
      </c>
      <c r="B25" s="1">
        <f t="shared" ca="1" si="4"/>
        <v>-20</v>
      </c>
      <c r="C25" s="1" t="str">
        <f t="shared" ca="1" si="1"/>
        <v>-</v>
      </c>
      <c r="D25" s="1" t="str">
        <f t="shared" ca="1" si="3"/>
        <v>банкрот</v>
      </c>
    </row>
    <row r="26" spans="1:4" x14ac:dyDescent="0.25">
      <c r="A26" s="1">
        <f t="shared" ca="1" si="0"/>
        <v>0</v>
      </c>
      <c r="B26" s="1">
        <f t="shared" ca="1" si="4"/>
        <v>-30</v>
      </c>
      <c r="C26" s="1" t="str">
        <f t="shared" ca="1" si="1"/>
        <v>-</v>
      </c>
      <c r="D26" s="1" t="str">
        <f t="shared" ca="1" si="3"/>
        <v>банкрот</v>
      </c>
    </row>
    <row r="27" spans="1:4" x14ac:dyDescent="0.25">
      <c r="A27" s="1">
        <f t="shared" ca="1" si="0"/>
        <v>1</v>
      </c>
      <c r="B27" s="1">
        <f t="shared" ca="1" si="4"/>
        <v>-20</v>
      </c>
      <c r="C27" s="1" t="str">
        <f t="shared" ca="1" si="1"/>
        <v>-</v>
      </c>
      <c r="D27" s="1" t="str">
        <f t="shared" ca="1" si="3"/>
        <v>банкрот</v>
      </c>
    </row>
    <row r="28" spans="1:4" x14ac:dyDescent="0.25">
      <c r="A28" s="1">
        <f t="shared" ca="1" si="0"/>
        <v>0</v>
      </c>
      <c r="B28" s="1">
        <f t="shared" ca="1" si="4"/>
        <v>-30</v>
      </c>
      <c r="C28" s="1" t="str">
        <f t="shared" ca="1" si="1"/>
        <v>-</v>
      </c>
      <c r="D28" s="1" t="str">
        <f t="shared" ca="1" si="3"/>
        <v>банкрот</v>
      </c>
    </row>
    <row r="29" spans="1:4" x14ac:dyDescent="0.25">
      <c r="A29" s="1">
        <f t="shared" ca="1" si="0"/>
        <v>1</v>
      </c>
      <c r="B29" s="1">
        <f t="shared" ca="1" si="4"/>
        <v>-20</v>
      </c>
      <c r="C29" s="1" t="str">
        <f t="shared" ca="1" si="1"/>
        <v>-</v>
      </c>
      <c r="D29" s="1" t="str">
        <f t="shared" ca="1" si="3"/>
        <v>банкрот</v>
      </c>
    </row>
  </sheetData>
  <mergeCells count="2">
    <mergeCell ref="A1:D1"/>
    <mergeCell ref="F5:I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67A3B-EECB-4044-AFAA-C1AE6F5A9B93}">
  <dimension ref="A1:G25"/>
  <sheetViews>
    <sheetView tabSelected="1" workbookViewId="0">
      <selection activeCell="H11" sqref="H11"/>
    </sheetView>
  </sheetViews>
  <sheetFormatPr defaultRowHeight="15" x14ac:dyDescent="0.25"/>
  <cols>
    <col min="1" max="1" width="18.5703125" customWidth="1"/>
    <col min="2" max="2" width="17.7109375" customWidth="1"/>
    <col min="3" max="3" width="18.5703125" customWidth="1"/>
    <col min="4" max="4" width="19.28515625" customWidth="1"/>
    <col min="5" max="5" width="10" bestFit="1" customWidth="1"/>
    <col min="7" max="7" width="11.42578125" bestFit="1" customWidth="1"/>
  </cols>
  <sheetData>
    <row r="1" spans="1:7" x14ac:dyDescent="0.25">
      <c r="A1" s="6" t="s">
        <v>31</v>
      </c>
      <c r="B1" s="6"/>
      <c r="C1" s="6"/>
      <c r="D1" s="6"/>
      <c r="E1" s="6"/>
    </row>
    <row r="3" spans="1:7" ht="47.25" customHeight="1" x14ac:dyDescent="0.25">
      <c r="A3" s="2" t="s">
        <v>32</v>
      </c>
      <c r="B3" s="2" t="s">
        <v>34</v>
      </c>
      <c r="C3" s="2" t="s">
        <v>35</v>
      </c>
      <c r="D3" s="2" t="s">
        <v>33</v>
      </c>
      <c r="E3" s="2" t="s">
        <v>29</v>
      </c>
      <c r="F3" s="2" t="s">
        <v>30</v>
      </c>
      <c r="G3" s="2" t="s">
        <v>25</v>
      </c>
    </row>
    <row r="4" spans="1:7" x14ac:dyDescent="0.25">
      <c r="A4" s="1">
        <f ca="1">INT(1+6*RAND())</f>
        <v>3</v>
      </c>
      <c r="B4" s="1">
        <f ca="1">INT(1+6*RAND())</f>
        <v>2</v>
      </c>
      <c r="C4" s="1">
        <f ca="1">INT(1+6*RAND())</f>
        <v>1</v>
      </c>
      <c r="D4" s="1">
        <f ca="1">INT(1+6*RAND())</f>
        <v>2</v>
      </c>
      <c r="E4" s="1">
        <f ca="1">SUM(A4:B4)</f>
        <v>5</v>
      </c>
      <c r="F4" s="1">
        <f ca="1">SUM(C4:D4)</f>
        <v>3</v>
      </c>
      <c r="G4" s="1" t="str">
        <f ca="1">IF(OR(E4&gt;101, F4&gt;101), "конец игры", "-")</f>
        <v>-</v>
      </c>
    </row>
    <row r="5" spans="1:7" x14ac:dyDescent="0.25">
      <c r="A5" s="1">
        <f ca="1">INT(1+6*RAND())</f>
        <v>6</v>
      </c>
      <c r="B5" s="1">
        <f t="shared" ref="A5:D22" ca="1" si="0">INT(1+6*RAND())</f>
        <v>4</v>
      </c>
      <c r="C5" s="1">
        <f t="shared" ca="1" si="0"/>
        <v>3</v>
      </c>
      <c r="D5" s="1">
        <f t="shared" ca="1" si="0"/>
        <v>5</v>
      </c>
      <c r="E5" s="1">
        <f ca="1">SUM(A5:B5)+E4</f>
        <v>15</v>
      </c>
      <c r="F5" s="1">
        <f ca="1">SUM(C5:D5)+F4</f>
        <v>11</v>
      </c>
      <c r="G5" s="1" t="str">
        <f ca="1">IF(OR(E5&gt;101, F5&gt;101), "конец игры", "-")</f>
        <v>-</v>
      </c>
    </row>
    <row r="6" spans="1:7" x14ac:dyDescent="0.25">
      <c r="A6" s="1">
        <f ca="1">INT(1+6*RAND())</f>
        <v>2</v>
      </c>
      <c r="B6" s="1">
        <f t="shared" ca="1" si="0"/>
        <v>5</v>
      </c>
      <c r="C6" s="1">
        <f t="shared" ca="1" si="0"/>
        <v>1</v>
      </c>
      <c r="D6" s="1">
        <f t="shared" ca="1" si="0"/>
        <v>6</v>
      </c>
      <c r="E6" s="1">
        <f t="shared" ref="E6:E13" ca="1" si="1">SUM(A6:B6)+E5</f>
        <v>22</v>
      </c>
      <c r="F6" s="1">
        <f t="shared" ref="F6:F13" ca="1" si="2">SUM(C6:D6)+F5</f>
        <v>18</v>
      </c>
      <c r="G6" s="1" t="str">
        <f ca="1">IF(OR(E6&gt;101, F6&gt;101), "конец игры", "-")</f>
        <v>-</v>
      </c>
    </row>
    <row r="7" spans="1:7" x14ac:dyDescent="0.25">
      <c r="A7" s="1">
        <f ca="1">INT(1+6*RAND())</f>
        <v>3</v>
      </c>
      <c r="B7" s="1">
        <f t="shared" ca="1" si="0"/>
        <v>1</v>
      </c>
      <c r="C7" s="1">
        <f t="shared" ca="1" si="0"/>
        <v>3</v>
      </c>
      <c r="D7" s="1">
        <f t="shared" ca="1" si="0"/>
        <v>6</v>
      </c>
      <c r="E7" s="1">
        <f t="shared" ca="1" si="1"/>
        <v>26</v>
      </c>
      <c r="F7" s="1">
        <f t="shared" ca="1" si="2"/>
        <v>27</v>
      </c>
      <c r="G7" s="1" t="str">
        <f ca="1">IF(OR(E7&gt;101, F7&gt;101), "конец игры", "-")</f>
        <v>-</v>
      </c>
    </row>
    <row r="8" spans="1:7" x14ac:dyDescent="0.25">
      <c r="A8" s="1">
        <f ca="1">INT(1+6*RAND())</f>
        <v>5</v>
      </c>
      <c r="B8" s="1">
        <f t="shared" ca="1" si="0"/>
        <v>2</v>
      </c>
      <c r="C8" s="1">
        <f t="shared" ca="1" si="0"/>
        <v>5</v>
      </c>
      <c r="D8" s="1">
        <f t="shared" ca="1" si="0"/>
        <v>4</v>
      </c>
      <c r="E8" s="1">
        <f t="shared" ca="1" si="1"/>
        <v>33</v>
      </c>
      <c r="F8" s="1">
        <f t="shared" ca="1" si="2"/>
        <v>36</v>
      </c>
      <c r="G8" s="1" t="str">
        <f ca="1">IF(OR(E8&gt;101, F8&gt;101), "конец игры", "-")</f>
        <v>-</v>
      </c>
    </row>
    <row r="9" spans="1:7" x14ac:dyDescent="0.25">
      <c r="A9" s="1">
        <f ca="1">INT(1+6*RAND())</f>
        <v>4</v>
      </c>
      <c r="B9" s="1">
        <f t="shared" ca="1" si="0"/>
        <v>1</v>
      </c>
      <c r="C9" s="1">
        <f t="shared" ca="1" si="0"/>
        <v>2</v>
      </c>
      <c r="D9" s="1">
        <f t="shared" ca="1" si="0"/>
        <v>2</v>
      </c>
      <c r="E9" s="1">
        <f t="shared" ca="1" si="1"/>
        <v>38</v>
      </c>
      <c r="F9" s="1">
        <f t="shared" ca="1" si="2"/>
        <v>40</v>
      </c>
      <c r="G9" s="1" t="str">
        <f ca="1">IF(OR(E9&gt;101, F9&gt;101), "конец игры", "-")</f>
        <v>-</v>
      </c>
    </row>
    <row r="10" spans="1:7" x14ac:dyDescent="0.25">
      <c r="A10" s="1">
        <f ca="1">INT(1+6*RAND())</f>
        <v>5</v>
      </c>
      <c r="B10" s="1">
        <f t="shared" ca="1" si="0"/>
        <v>3</v>
      </c>
      <c r="C10" s="1">
        <f t="shared" ca="1" si="0"/>
        <v>2</v>
      </c>
      <c r="D10" s="1">
        <f t="shared" ca="1" si="0"/>
        <v>5</v>
      </c>
      <c r="E10" s="1">
        <f t="shared" ca="1" si="1"/>
        <v>46</v>
      </c>
      <c r="F10" s="1">
        <f t="shared" ca="1" si="2"/>
        <v>47</v>
      </c>
      <c r="G10" s="1" t="str">
        <f ca="1">IF(OR(E10&gt;101, F10&gt;101), "конец игры", "-")</f>
        <v>-</v>
      </c>
    </row>
    <row r="11" spans="1:7" x14ac:dyDescent="0.25">
      <c r="A11" s="1">
        <f ca="1">INT(1+6*RAND())</f>
        <v>2</v>
      </c>
      <c r="B11" s="1">
        <f t="shared" ca="1" si="0"/>
        <v>5</v>
      </c>
      <c r="C11" s="1">
        <f t="shared" ca="1" si="0"/>
        <v>5</v>
      </c>
      <c r="D11" s="1">
        <f t="shared" ca="1" si="0"/>
        <v>5</v>
      </c>
      <c r="E11" s="1">
        <f t="shared" ca="1" si="1"/>
        <v>53</v>
      </c>
      <c r="F11" s="1">
        <f t="shared" ca="1" si="2"/>
        <v>57</v>
      </c>
      <c r="G11" s="1" t="str">
        <f ca="1">IF(OR(E11&gt;101, F11&gt;101), "конец игры", "-")</f>
        <v>-</v>
      </c>
    </row>
    <row r="12" spans="1:7" x14ac:dyDescent="0.25">
      <c r="A12" s="1">
        <f ca="1">INT(1+6*RAND())</f>
        <v>2</v>
      </c>
      <c r="B12" s="1">
        <f t="shared" ca="1" si="0"/>
        <v>1</v>
      </c>
      <c r="C12" s="1">
        <f t="shared" ca="1" si="0"/>
        <v>5</v>
      </c>
      <c r="D12" s="1">
        <f t="shared" ca="1" si="0"/>
        <v>4</v>
      </c>
      <c r="E12" s="1">
        <f t="shared" ca="1" si="1"/>
        <v>56</v>
      </c>
      <c r="F12" s="1">
        <f t="shared" ca="1" si="2"/>
        <v>66</v>
      </c>
      <c r="G12" s="1" t="str">
        <f ca="1">IF(OR(E12&gt;101, F12&gt;101), "конец игры", "-")</f>
        <v>-</v>
      </c>
    </row>
    <row r="13" spans="1:7" x14ac:dyDescent="0.25">
      <c r="A13" s="1">
        <f ca="1">INT(1+6*RAND())</f>
        <v>1</v>
      </c>
      <c r="B13" s="1">
        <f t="shared" ca="1" si="0"/>
        <v>6</v>
      </c>
      <c r="C13" s="1">
        <f t="shared" ca="1" si="0"/>
        <v>3</v>
      </c>
      <c r="D13" s="1">
        <f t="shared" ca="1" si="0"/>
        <v>5</v>
      </c>
      <c r="E13" s="1">
        <f t="shared" ca="1" si="1"/>
        <v>63</v>
      </c>
      <c r="F13" s="1">
        <f t="shared" ca="1" si="2"/>
        <v>74</v>
      </c>
      <c r="G13" s="1" t="str">
        <f t="shared" ref="G13:G25" ca="1" si="3">IF(OR(E13&gt;101, F13&gt;101), "конец игры", "-")</f>
        <v>-</v>
      </c>
    </row>
    <row r="14" spans="1:7" x14ac:dyDescent="0.25">
      <c r="A14" s="1">
        <f ca="1">INT(1+6*RAND())</f>
        <v>3</v>
      </c>
      <c r="B14" s="1">
        <f t="shared" ca="1" si="0"/>
        <v>3</v>
      </c>
      <c r="C14" s="1">
        <f t="shared" ca="1" si="0"/>
        <v>1</v>
      </c>
      <c r="D14" s="1">
        <f t="shared" ca="1" si="0"/>
        <v>1</v>
      </c>
      <c r="E14" s="1">
        <f t="shared" ref="E14:E25" ca="1" si="4">SUM(A14:B14)+E13</f>
        <v>69</v>
      </c>
      <c r="F14" s="1">
        <f t="shared" ref="F14:F25" ca="1" si="5">SUM(C14:D14)+F13</f>
        <v>76</v>
      </c>
      <c r="G14" s="1" t="str">
        <f t="shared" ca="1" si="3"/>
        <v>-</v>
      </c>
    </row>
    <row r="15" spans="1:7" x14ac:dyDescent="0.25">
      <c r="A15" s="1">
        <f ca="1">INT(1+6*RAND())</f>
        <v>3</v>
      </c>
      <c r="B15" s="1">
        <f t="shared" ca="1" si="0"/>
        <v>2</v>
      </c>
      <c r="C15" s="1">
        <f t="shared" ca="1" si="0"/>
        <v>3</v>
      </c>
      <c r="D15" s="1">
        <f t="shared" ca="1" si="0"/>
        <v>1</v>
      </c>
      <c r="E15" s="1">
        <f t="shared" ca="1" si="4"/>
        <v>74</v>
      </c>
      <c r="F15" s="1">
        <f t="shared" ca="1" si="5"/>
        <v>80</v>
      </c>
      <c r="G15" s="1" t="str">
        <f t="shared" ca="1" si="3"/>
        <v>-</v>
      </c>
    </row>
    <row r="16" spans="1:7" x14ac:dyDescent="0.25">
      <c r="A16" s="1">
        <f t="shared" ca="1" si="0"/>
        <v>6</v>
      </c>
      <c r="B16" s="1">
        <f t="shared" ca="1" si="0"/>
        <v>4</v>
      </c>
      <c r="C16" s="1">
        <f t="shared" ca="1" si="0"/>
        <v>3</v>
      </c>
      <c r="D16" s="1">
        <f t="shared" ca="1" si="0"/>
        <v>1</v>
      </c>
      <c r="E16" s="1">
        <f t="shared" ca="1" si="4"/>
        <v>84</v>
      </c>
      <c r="F16" s="1">
        <f t="shared" ca="1" si="5"/>
        <v>84</v>
      </c>
      <c r="G16" s="1" t="str">
        <f t="shared" ca="1" si="3"/>
        <v>-</v>
      </c>
    </row>
    <row r="17" spans="1:7" x14ac:dyDescent="0.25">
      <c r="A17" s="1">
        <f ca="1">INT(1+6*RAND())</f>
        <v>3</v>
      </c>
      <c r="B17" s="1">
        <f t="shared" ca="1" si="0"/>
        <v>4</v>
      </c>
      <c r="C17" s="1">
        <f t="shared" ca="1" si="0"/>
        <v>1</v>
      </c>
      <c r="D17" s="1">
        <f t="shared" ca="1" si="0"/>
        <v>1</v>
      </c>
      <c r="E17" s="1">
        <f t="shared" ca="1" si="4"/>
        <v>91</v>
      </c>
      <c r="F17" s="1">
        <f t="shared" ca="1" si="5"/>
        <v>86</v>
      </c>
      <c r="G17" s="1" t="str">
        <f t="shared" ca="1" si="3"/>
        <v>-</v>
      </c>
    </row>
    <row r="18" spans="1:7" x14ac:dyDescent="0.25">
      <c r="A18" s="1">
        <f ca="1">INT(1+6*RAND())</f>
        <v>2</v>
      </c>
      <c r="B18" s="1">
        <f t="shared" ca="1" si="0"/>
        <v>5</v>
      </c>
      <c r="C18" s="1">
        <f t="shared" ca="1" si="0"/>
        <v>6</v>
      </c>
      <c r="D18" s="1">
        <f t="shared" ca="1" si="0"/>
        <v>1</v>
      </c>
      <c r="E18" s="1">
        <f t="shared" ca="1" si="4"/>
        <v>98</v>
      </c>
      <c r="F18" s="1">
        <f t="shared" ca="1" si="5"/>
        <v>93</v>
      </c>
      <c r="G18" s="1" t="str">
        <f t="shared" ca="1" si="3"/>
        <v>-</v>
      </c>
    </row>
    <row r="19" spans="1:7" x14ac:dyDescent="0.25">
      <c r="A19" s="1">
        <f ca="1">INT(1+6*RAND())</f>
        <v>2</v>
      </c>
      <c r="B19" s="1">
        <f t="shared" ca="1" si="0"/>
        <v>6</v>
      </c>
      <c r="C19" s="1">
        <f t="shared" ca="1" si="0"/>
        <v>1</v>
      </c>
      <c r="D19" s="1">
        <f t="shared" ca="1" si="0"/>
        <v>5</v>
      </c>
      <c r="E19" s="1">
        <f t="shared" ca="1" si="4"/>
        <v>106</v>
      </c>
      <c r="F19" s="1">
        <f t="shared" ca="1" si="5"/>
        <v>99</v>
      </c>
      <c r="G19" s="1" t="str">
        <f t="shared" ca="1" si="3"/>
        <v>конец игры</v>
      </c>
    </row>
    <row r="20" spans="1:7" x14ac:dyDescent="0.25">
      <c r="A20" s="1">
        <f ca="1">INT(1+6*RAND())</f>
        <v>6</v>
      </c>
      <c r="B20" s="1">
        <f t="shared" ca="1" si="0"/>
        <v>2</v>
      </c>
      <c r="C20" s="1">
        <f t="shared" ca="1" si="0"/>
        <v>3</v>
      </c>
      <c r="D20" s="1">
        <f t="shared" ca="1" si="0"/>
        <v>3</v>
      </c>
      <c r="E20" s="1">
        <f t="shared" ca="1" si="4"/>
        <v>114</v>
      </c>
      <c r="F20" s="1">
        <f t="shared" ca="1" si="5"/>
        <v>105</v>
      </c>
      <c r="G20" s="1" t="str">
        <f t="shared" ca="1" si="3"/>
        <v>конец игры</v>
      </c>
    </row>
    <row r="21" spans="1:7" x14ac:dyDescent="0.25">
      <c r="A21" s="1">
        <f ca="1">INT(1+6*RAND())</f>
        <v>5</v>
      </c>
      <c r="B21" s="1">
        <f t="shared" ca="1" si="0"/>
        <v>4</v>
      </c>
      <c r="C21" s="1">
        <f t="shared" ca="1" si="0"/>
        <v>6</v>
      </c>
      <c r="D21" s="1">
        <f t="shared" ca="1" si="0"/>
        <v>1</v>
      </c>
      <c r="E21" s="1">
        <f t="shared" ca="1" si="4"/>
        <v>123</v>
      </c>
      <c r="F21" s="1">
        <f t="shared" ca="1" si="5"/>
        <v>112</v>
      </c>
      <c r="G21" s="1" t="str">
        <f t="shared" ca="1" si="3"/>
        <v>конец игры</v>
      </c>
    </row>
    <row r="22" spans="1:7" x14ac:dyDescent="0.25">
      <c r="A22" s="1">
        <f ca="1">INT(1+6*RAND())</f>
        <v>4</v>
      </c>
      <c r="B22" s="1">
        <f t="shared" ca="1" si="0"/>
        <v>2</v>
      </c>
      <c r="C22" s="1">
        <f t="shared" ca="1" si="0"/>
        <v>3</v>
      </c>
      <c r="D22" s="1">
        <f t="shared" ca="1" si="0"/>
        <v>4</v>
      </c>
      <c r="E22" s="1">
        <f t="shared" ca="1" si="4"/>
        <v>129</v>
      </c>
      <c r="F22" s="1">
        <f t="shared" ca="1" si="5"/>
        <v>119</v>
      </c>
      <c r="G22" s="1" t="str">
        <f t="shared" ca="1" si="3"/>
        <v>конец игры</v>
      </c>
    </row>
    <row r="23" spans="1:7" x14ac:dyDescent="0.25">
      <c r="A23" s="1">
        <f ca="1">INT(1+6*RAND())</f>
        <v>1</v>
      </c>
      <c r="B23" s="1">
        <f t="shared" ref="A23:D25" ca="1" si="6">INT(1+6*RAND())</f>
        <v>3</v>
      </c>
      <c r="C23" s="1">
        <f t="shared" ca="1" si="6"/>
        <v>5</v>
      </c>
      <c r="D23" s="1">
        <f t="shared" ca="1" si="6"/>
        <v>5</v>
      </c>
      <c r="E23" s="1">
        <f t="shared" ca="1" si="4"/>
        <v>133</v>
      </c>
      <c r="F23" s="1">
        <f t="shared" ca="1" si="5"/>
        <v>129</v>
      </c>
      <c r="G23" s="1" t="str">
        <f t="shared" ca="1" si="3"/>
        <v>конец игры</v>
      </c>
    </row>
    <row r="24" spans="1:7" x14ac:dyDescent="0.25">
      <c r="A24" s="1">
        <f t="shared" ca="1" si="6"/>
        <v>3</v>
      </c>
      <c r="B24" s="1">
        <f t="shared" ca="1" si="6"/>
        <v>6</v>
      </c>
      <c r="C24" s="1">
        <f t="shared" ca="1" si="6"/>
        <v>6</v>
      </c>
      <c r="D24" s="1">
        <f t="shared" ca="1" si="6"/>
        <v>3</v>
      </c>
      <c r="E24" s="1">
        <f t="shared" ca="1" si="4"/>
        <v>142</v>
      </c>
      <c r="F24" s="1">
        <f t="shared" ca="1" si="5"/>
        <v>138</v>
      </c>
      <c r="G24" s="1" t="str">
        <f t="shared" ca="1" si="3"/>
        <v>конец игры</v>
      </c>
    </row>
    <row r="25" spans="1:7" x14ac:dyDescent="0.25">
      <c r="A25" s="1">
        <f t="shared" ca="1" si="6"/>
        <v>4</v>
      </c>
      <c r="B25" s="1">
        <f t="shared" ca="1" si="6"/>
        <v>5</v>
      </c>
      <c r="C25" s="1">
        <f t="shared" ca="1" si="6"/>
        <v>6</v>
      </c>
      <c r="D25" s="1">
        <f t="shared" ca="1" si="6"/>
        <v>4</v>
      </c>
      <c r="E25" s="1">
        <f t="shared" ca="1" si="4"/>
        <v>151</v>
      </c>
      <c r="F25" s="1">
        <f t="shared" ca="1" si="5"/>
        <v>148</v>
      </c>
      <c r="G25" s="1" t="str">
        <f t="shared" ca="1" si="3"/>
        <v>конец игры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1</vt:lpstr>
      <vt:lpstr>Задание 1 (график)</vt:lpstr>
      <vt:lpstr>Задание 3</vt:lpstr>
      <vt:lpstr>Задание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 G</dc:creator>
  <cp:lastModifiedBy>Vlad G</cp:lastModifiedBy>
  <dcterms:created xsi:type="dcterms:W3CDTF">2025-10-06T12:47:51Z</dcterms:created>
  <dcterms:modified xsi:type="dcterms:W3CDTF">2025-10-06T15:54:29Z</dcterms:modified>
</cp:coreProperties>
</file>