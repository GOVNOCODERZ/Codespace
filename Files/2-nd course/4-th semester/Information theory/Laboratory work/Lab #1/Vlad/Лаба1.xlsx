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Codespace\Files\2-nd course\4-th semester\Information theory\Laboratory work\Lab #1\Vlad\"/>
    </mc:Choice>
  </mc:AlternateContent>
  <xr:revisionPtr revIDLastSave="0" documentId="13_ncr:1_{EAB9172A-7DE1-4094-9DFF-FF87CB11E423}" xr6:coauthVersionLast="47" xr6:coauthVersionMax="47" xr10:uidLastSave="{00000000-0000-0000-0000-000000000000}"/>
  <bookViews>
    <workbookView xWindow="-108" yWindow="348" windowWidth="30936" windowHeight="17040" activeTab="2" xr2:uid="{00000000-000D-0000-FFFF-FFFF00000000}"/>
  </bookViews>
  <sheets>
    <sheet name="Задание 1" sheetId="1" r:id="rId1"/>
    <sheet name="Задание 2" sheetId="2" r:id="rId2"/>
    <sheet name="Задание 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2" i="3"/>
  <c r="F9" i="3" s="1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D3" i="2" l="1"/>
</calcChain>
</file>

<file path=xl/sharedStrings.xml><?xml version="1.0" encoding="utf-8"?>
<sst xmlns="http://schemas.openxmlformats.org/spreadsheetml/2006/main" count="41" uniqueCount="41">
  <si>
    <t>з</t>
  </si>
  <si>
    <t>p</t>
  </si>
  <si>
    <t>η (p)</t>
  </si>
  <si>
    <t>а</t>
  </si>
  <si>
    <t>л</t>
  </si>
  <si>
    <t>Буква</t>
  </si>
  <si>
    <t>р</t>
  </si>
  <si>
    <t>я</t>
  </si>
  <si>
    <t>х</t>
  </si>
  <si>
    <t>о</t>
  </si>
  <si>
    <t>в</t>
  </si>
  <si>
    <t>ы</t>
  </si>
  <si>
    <t>ж</t>
  </si>
  <si>
    <t>е</t>
  </si>
  <si>
    <t>ю</t>
  </si>
  <si>
    <t>к</t>
  </si>
  <si>
    <t>ш</t>
  </si>
  <si>
    <t>и</t>
  </si>
  <si>
    <t>м</t>
  </si>
  <si>
    <t>б</t>
  </si>
  <si>
    <t>ц</t>
  </si>
  <si>
    <t>н</t>
  </si>
  <si>
    <t>д</t>
  </si>
  <si>
    <t>г</t>
  </si>
  <si>
    <t>щ</t>
  </si>
  <si>
    <t>т</t>
  </si>
  <si>
    <t>п</t>
  </si>
  <si>
    <t>ч</t>
  </si>
  <si>
    <t>э</t>
  </si>
  <si>
    <t>с</t>
  </si>
  <si>
    <t>у</t>
  </si>
  <si>
    <t>й</t>
  </si>
  <si>
    <t>ф</t>
  </si>
  <si>
    <t>Пробел</t>
  </si>
  <si>
    <t>Вероятность</t>
  </si>
  <si>
    <t>ъ/ь</t>
  </si>
  <si>
    <t>Вероятность p</t>
  </si>
  <si>
    <t>H буквы (бит/сим)</t>
  </si>
  <si>
    <t>Суммарная H системы (бит/сим)</t>
  </si>
  <si>
    <t>Макс. H (бит/сим)</t>
  </si>
  <si>
    <t>Энтропия H (бит/сим)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</si>
</sst>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3" xfId="0" applyBorder="1"/>
    <xf numFmtId="0" fontId="1" fillId="0" borderId="4" xfId="0" applyFont="1" applyBorder="1"/>
    <xf numFmtId="0" fontId="1" fillId="0" borderId="5" xfId="0" applyFont="1" applyBorder="1"/>
    <xf numFmtId="2" fontId="0" fillId="0" borderId="3" xfId="0" applyNumberFormat="1" applyBorder="1"/>
    <xf numFmtId="2" fontId="0" fillId="0" borderId="1" xfId="0" applyNumberFormat="1" applyBorder="1"/>
    <xf numFmtId="165" fontId="0" fillId="0" borderId="3" xfId="0" applyNumberFormat="1" applyBorder="1"/>
    <xf numFmtId="2" fontId="0" fillId="0" borderId="0" xfId="0" applyNumberFormat="1"/>
    <xf numFmtId="0" fontId="1" fillId="0" borderId="6" xfId="0" applyFont="1" applyBorder="1"/>
    <xf numFmtId="165" fontId="1" fillId="0" borderId="7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2" fontId="1" fillId="0" borderId="4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2" xfId="0" applyFont="1" applyFill="1" applyBorder="1"/>
    <xf numFmtId="0" fontId="1" fillId="0" borderId="4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Энтропия</a:t>
            </a:r>
            <a:r>
              <a:rPr lang="ru-RU" baseline="0"/>
              <a:t> системы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'Задание 2'!$B$1</c:f>
              <c:strCache>
                <c:ptCount val="1"/>
                <c:pt idx="0">
                  <c:v>Энтропия H (бит/сим)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'Задание 2'!$A$2:$A$100</c:f>
              <c:numCache>
                <c:formatCode>0.00</c:formatCode>
                <c:ptCount val="99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</c:numCache>
            </c:numRef>
          </c:cat>
          <c:val>
            <c:numRef>
              <c:f>'Задание 2'!$B$2:$B$100</c:f>
              <c:numCache>
                <c:formatCode>0.000</c:formatCode>
                <c:ptCount val="99"/>
                <c:pt idx="0">
                  <c:v>8.0793135895911181E-2</c:v>
                </c:pt>
                <c:pt idx="1">
                  <c:v>0.14144054254182067</c:v>
                </c:pt>
                <c:pt idx="2">
                  <c:v>0.19439185783157623</c:v>
                </c:pt>
                <c:pt idx="3">
                  <c:v>0.24229218908241482</c:v>
                </c:pt>
                <c:pt idx="4">
                  <c:v>0.28639695711595625</c:v>
                </c:pt>
                <c:pt idx="5">
                  <c:v>0.32744491915447627</c:v>
                </c:pt>
                <c:pt idx="6">
                  <c:v>0.36592365090022333</c:v>
                </c:pt>
                <c:pt idx="7">
                  <c:v>0.40217919020227288</c:v>
                </c:pt>
                <c:pt idx="8">
                  <c:v>0.43646981706410293</c:v>
                </c:pt>
                <c:pt idx="9">
                  <c:v>0.46899559358928122</c:v>
                </c:pt>
                <c:pt idx="10">
                  <c:v>0.499915958164528</c:v>
                </c:pt>
                <c:pt idx="11">
                  <c:v>0.52936086528736437</c:v>
                </c:pt>
                <c:pt idx="12">
                  <c:v>0.55743818502798914</c:v>
                </c:pt>
                <c:pt idx="13">
                  <c:v>0.58423881164285596</c:v>
                </c:pt>
                <c:pt idx="14">
                  <c:v>0.60984030471640038</c:v>
                </c:pt>
                <c:pt idx="15">
                  <c:v>0.63430955464056615</c:v>
                </c:pt>
                <c:pt idx="16">
                  <c:v>0.65770477874421951</c:v>
                </c:pt>
                <c:pt idx="17">
                  <c:v>0.68007704572827976</c:v>
                </c:pt>
                <c:pt idx="18">
                  <c:v>0.70147145988389736</c:v>
                </c:pt>
                <c:pt idx="19">
                  <c:v>0.72192809488736231</c:v>
                </c:pt>
                <c:pt idx="20">
                  <c:v>0.74148273993127367</c:v>
                </c:pt>
                <c:pt idx="21">
                  <c:v>0.76016750296196567</c:v>
                </c:pt>
                <c:pt idx="22">
                  <c:v>0.77801130354653769</c:v>
                </c:pt>
                <c:pt idx="23">
                  <c:v>0.79504027938452226</c:v>
                </c:pt>
                <c:pt idx="24">
                  <c:v>0.81127812445913283</c:v>
                </c:pt>
                <c:pt idx="25">
                  <c:v>0.82674637249261784</c:v>
                </c:pt>
                <c:pt idx="26">
                  <c:v>0.84146463620817569</c:v>
                </c:pt>
                <c:pt idx="27">
                  <c:v>0.85545081056013073</c:v>
                </c:pt>
                <c:pt idx="28">
                  <c:v>0.86872124633940451</c:v>
                </c:pt>
                <c:pt idx="29">
                  <c:v>0.8812908992306927</c:v>
                </c:pt>
                <c:pt idx="30">
                  <c:v>0.89317345837785678</c:v>
                </c:pt>
                <c:pt idx="31">
                  <c:v>0.90438145772449408</c:v>
                </c:pt>
                <c:pt idx="32">
                  <c:v>0.91492637277972755</c:v>
                </c:pt>
                <c:pt idx="33">
                  <c:v>0.92481870497303009</c:v>
                </c:pt>
                <c:pt idx="34">
                  <c:v>0.93406805537549098</c:v>
                </c:pt>
                <c:pt idx="35">
                  <c:v>0.94268318925549222</c:v>
                </c:pt>
                <c:pt idx="36">
                  <c:v>0.95067209268706587</c:v>
                </c:pt>
                <c:pt idx="37">
                  <c:v>0.95804202222629953</c:v>
                </c:pt>
                <c:pt idx="38">
                  <c:v>0.9647995485050872</c:v>
                </c:pt>
                <c:pt idx="39">
                  <c:v>0.97095059445466858</c:v>
                </c:pt>
                <c:pt idx="40">
                  <c:v>0.97650046875782404</c:v>
                </c:pt>
                <c:pt idx="41">
                  <c:v>0.98145389503365354</c:v>
                </c:pt>
                <c:pt idx="42">
                  <c:v>0.98581503717891983</c:v>
                </c:pt>
                <c:pt idx="43">
                  <c:v>0.98958752122205573</c:v>
                </c:pt>
                <c:pt idx="44">
                  <c:v>0.99277445398780839</c:v>
                </c:pt>
                <c:pt idx="45">
                  <c:v>0.99537843882022581</c:v>
                </c:pt>
                <c:pt idx="46">
                  <c:v>0.99740158856773964</c:v>
                </c:pt>
                <c:pt idx="47">
                  <c:v>0.99884553599520176</c:v>
                </c:pt>
                <c:pt idx="48">
                  <c:v>0.9997114417528099</c:v>
                </c:pt>
                <c:pt idx="49">
                  <c:v>1</c:v>
                </c:pt>
                <c:pt idx="50">
                  <c:v>0.9997114417528099</c:v>
                </c:pt>
                <c:pt idx="51">
                  <c:v>0.99884553599520176</c:v>
                </c:pt>
                <c:pt idx="52">
                  <c:v>0.99740158856773964</c:v>
                </c:pt>
                <c:pt idx="53">
                  <c:v>0.99537843882022581</c:v>
                </c:pt>
                <c:pt idx="54">
                  <c:v>0.99277445398780839</c:v>
                </c:pt>
                <c:pt idx="55">
                  <c:v>0.98958752122205573</c:v>
                </c:pt>
                <c:pt idx="56">
                  <c:v>0.98581503717891983</c:v>
                </c:pt>
                <c:pt idx="57">
                  <c:v>0.98145389503365366</c:v>
                </c:pt>
                <c:pt idx="58">
                  <c:v>0.97650046875782415</c:v>
                </c:pt>
                <c:pt idx="59">
                  <c:v>0.97095059445466858</c:v>
                </c:pt>
                <c:pt idx="60">
                  <c:v>0.9647995485050872</c:v>
                </c:pt>
                <c:pt idx="61">
                  <c:v>0.95804202222629953</c:v>
                </c:pt>
                <c:pt idx="62">
                  <c:v>0.95067209268706587</c:v>
                </c:pt>
                <c:pt idx="63">
                  <c:v>0.94268318925549222</c:v>
                </c:pt>
                <c:pt idx="64">
                  <c:v>0.93406805537549098</c:v>
                </c:pt>
                <c:pt idx="65">
                  <c:v>0.92481870497302998</c:v>
                </c:pt>
                <c:pt idx="66">
                  <c:v>0.91492637277972755</c:v>
                </c:pt>
                <c:pt idx="67">
                  <c:v>0.90438145772449396</c:v>
                </c:pt>
                <c:pt idx="68">
                  <c:v>0.89317345837785678</c:v>
                </c:pt>
                <c:pt idx="69">
                  <c:v>0.8812908992306927</c:v>
                </c:pt>
                <c:pt idx="70">
                  <c:v>0.86872124633940462</c:v>
                </c:pt>
                <c:pt idx="71">
                  <c:v>0.85545081056013073</c:v>
                </c:pt>
                <c:pt idx="72">
                  <c:v>0.84146463620817569</c:v>
                </c:pt>
                <c:pt idx="73">
                  <c:v>0.82674637249261784</c:v>
                </c:pt>
                <c:pt idx="74">
                  <c:v>0.81127812445913283</c:v>
                </c:pt>
                <c:pt idx="75">
                  <c:v>0.79504027938452226</c:v>
                </c:pt>
                <c:pt idx="76">
                  <c:v>0.77801130354653758</c:v>
                </c:pt>
                <c:pt idx="77">
                  <c:v>0.76016750296196567</c:v>
                </c:pt>
                <c:pt idx="78">
                  <c:v>0.74148273993127356</c:v>
                </c:pt>
                <c:pt idx="79">
                  <c:v>0.72192809488736231</c:v>
                </c:pt>
                <c:pt idx="80">
                  <c:v>0.70147145988389736</c:v>
                </c:pt>
                <c:pt idx="81">
                  <c:v>0.68007704572827998</c:v>
                </c:pt>
                <c:pt idx="82">
                  <c:v>0.65770477874421951</c:v>
                </c:pt>
                <c:pt idx="83">
                  <c:v>0.63430955464056615</c:v>
                </c:pt>
                <c:pt idx="84">
                  <c:v>0.60984030471640049</c:v>
                </c:pt>
                <c:pt idx="85">
                  <c:v>0.58423881164285596</c:v>
                </c:pt>
                <c:pt idx="86">
                  <c:v>0.55743818502798914</c:v>
                </c:pt>
                <c:pt idx="87">
                  <c:v>0.52936086528736437</c:v>
                </c:pt>
                <c:pt idx="88">
                  <c:v>0.499915958164528</c:v>
                </c:pt>
                <c:pt idx="89">
                  <c:v>0.46899559358928117</c:v>
                </c:pt>
                <c:pt idx="90">
                  <c:v>0.43646981706410282</c:v>
                </c:pt>
                <c:pt idx="91">
                  <c:v>0.40217919020227277</c:v>
                </c:pt>
                <c:pt idx="92">
                  <c:v>0.36592365090022305</c:v>
                </c:pt>
                <c:pt idx="93">
                  <c:v>0.32744491915447643</c:v>
                </c:pt>
                <c:pt idx="94">
                  <c:v>0.28639695711595631</c:v>
                </c:pt>
                <c:pt idx="95">
                  <c:v>0.24229218908241493</c:v>
                </c:pt>
                <c:pt idx="96">
                  <c:v>0.19439185783157631</c:v>
                </c:pt>
                <c:pt idx="97">
                  <c:v>0.14144054254182076</c:v>
                </c:pt>
                <c:pt idx="98">
                  <c:v>8.0793135895911236E-2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8A-4656-9F9E-11E0B26FD7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4512848"/>
        <c:axId val="294519688"/>
      </c:lineChart>
      <c:catAx>
        <c:axId val="294512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94519688"/>
        <c:crosses val="autoZero"/>
        <c:auto val="1"/>
        <c:lblAlgn val="ctr"/>
        <c:lblOffset val="100"/>
        <c:tickMarkSkip val="1"/>
        <c:noMultiLvlLbl val="0"/>
      </c:catAx>
      <c:valAx>
        <c:axId val="29451968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 (</a:t>
                </a:r>
                <a:r>
                  <a:rPr lang="ru-RU"/>
                  <a:t>бит/сим</a:t>
                </a:r>
                <a:r>
                  <a:rPr lang="en-US"/>
                  <a:t>)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94512848"/>
        <c:crossesAt val="1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480060</xdr:colOff>
      <xdr:row>7</xdr:row>
      <xdr:rowOff>68580</xdr:rowOff>
    </xdr:from>
    <xdr:to>
      <xdr:col>9</xdr:col>
      <xdr:colOff>464820</xdr:colOff>
      <xdr:row>22</xdr:row>
      <xdr:rowOff>68580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D2B2C085-3480-5F67-9E98-1C76855DE2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"/>
  <sheetViews>
    <sheetView workbookViewId="0">
      <selection activeCell="D6" sqref="D6"/>
    </sheetView>
  </sheetViews>
  <sheetFormatPr defaultRowHeight="14.4" x14ac:dyDescent="0.3"/>
  <cols>
    <col min="1" max="2" width="28" customWidth="1"/>
  </cols>
  <sheetData>
    <row r="1" spans="1:2" ht="15" thickBot="1" x14ac:dyDescent="0.35">
      <c r="A1" s="13" t="s">
        <v>1</v>
      </c>
      <c r="B1" s="15" t="s">
        <v>2</v>
      </c>
    </row>
    <row r="2" spans="1:2" x14ac:dyDescent="0.3">
      <c r="A2" s="5">
        <v>0.01</v>
      </c>
      <c r="B2" s="2">
        <f xml:space="preserve"> -(A2 * LOG(A2,2))</f>
        <v>6.6438561897747245E-2</v>
      </c>
    </row>
    <row r="3" spans="1:2" x14ac:dyDescent="0.3">
      <c r="A3" s="6">
        <v>0.02</v>
      </c>
      <c r="B3" s="1">
        <f xml:space="preserve"> -(A3 * LOG(A3,2))</f>
        <v>0.11287712379549449</v>
      </c>
    </row>
    <row r="4" spans="1:2" x14ac:dyDescent="0.3">
      <c r="A4" s="6">
        <v>0.03</v>
      </c>
      <c r="B4" s="1">
        <f xml:space="preserve"> -(A4 * LOG(A4,2))</f>
        <v>0.15176681067160708</v>
      </c>
    </row>
    <row r="5" spans="1:2" x14ac:dyDescent="0.3">
      <c r="A5" s="6">
        <v>0.04</v>
      </c>
      <c r="B5" s="1">
        <f xml:space="preserve"> -(A5 * LOG(A5,2))</f>
        <v>0.18575424759098899</v>
      </c>
    </row>
    <row r="6" spans="1:2" x14ac:dyDescent="0.3">
      <c r="A6" s="6">
        <v>0.05</v>
      </c>
      <c r="B6" s="1">
        <f xml:space="preserve"> -(A6 * LOG(A6,2))</f>
        <v>0.21609640474436814</v>
      </c>
    </row>
    <row r="7" spans="1:2" x14ac:dyDescent="0.3">
      <c r="A7" s="6">
        <v>0.06</v>
      </c>
      <c r="B7" s="1">
        <f xml:space="preserve"> -(A7 * LOG(A7,2))</f>
        <v>0.2435336213432141</v>
      </c>
    </row>
    <row r="8" spans="1:2" x14ac:dyDescent="0.3">
      <c r="A8" s="6">
        <v>7.0000000000000007E-2</v>
      </c>
      <c r="B8" s="1">
        <f xml:space="preserve"> -(A8 * LOG(A8,2))</f>
        <v>0.26855508874019846</v>
      </c>
    </row>
    <row r="9" spans="1:2" x14ac:dyDescent="0.3">
      <c r="A9" s="6">
        <v>0.08</v>
      </c>
      <c r="B9" s="1">
        <f xml:space="preserve"> -(A9 * LOG(A9,2))</f>
        <v>0.29150849518197802</v>
      </c>
    </row>
    <row r="10" spans="1:2" x14ac:dyDescent="0.3">
      <c r="A10" s="6">
        <v>0.09</v>
      </c>
      <c r="B10" s="1">
        <f xml:space="preserve"> -(A10 * LOG(A10,2))</f>
        <v>0.31265380694991712</v>
      </c>
    </row>
    <row r="11" spans="1:2" x14ac:dyDescent="0.3">
      <c r="A11" s="6">
        <v>0.1</v>
      </c>
      <c r="B11" s="1">
        <f xml:space="preserve"> -(A11 * LOG(A11,2))</f>
        <v>0.33219280948873625</v>
      </c>
    </row>
    <row r="12" spans="1:2" x14ac:dyDescent="0.3">
      <c r="A12" s="6">
        <v>0.11</v>
      </c>
      <c r="B12" s="1">
        <f xml:space="preserve"> -(A12 * LOG(A12,2))</f>
        <v>0.35028670282511704</v>
      </c>
    </row>
    <row r="13" spans="1:2" x14ac:dyDescent="0.3">
      <c r="A13" s="6">
        <v>0.12</v>
      </c>
      <c r="B13" s="1">
        <f xml:space="preserve"> -(A13 * LOG(A13,2))</f>
        <v>0.36706724268642821</v>
      </c>
    </row>
    <row r="14" spans="1:2" x14ac:dyDescent="0.3">
      <c r="A14" s="6">
        <v>0.13</v>
      </c>
      <c r="B14" s="1">
        <f xml:space="preserve"> -(A14 * LOG(A14,2))</f>
        <v>0.38264414131237223</v>
      </c>
    </row>
    <row r="15" spans="1:2" x14ac:dyDescent="0.3">
      <c r="A15" s="6">
        <v>0.14000000000000001</v>
      </c>
      <c r="B15" s="1">
        <f xml:space="preserve"> -(A15 * LOG(A15,2))</f>
        <v>0.39711017748039695</v>
      </c>
    </row>
    <row r="16" spans="1:2" x14ac:dyDescent="0.3">
      <c r="A16" s="6">
        <v>0.15</v>
      </c>
      <c r="B16" s="1">
        <f xml:space="preserve"> -(A16 * LOG(A16,2))</f>
        <v>0.41054483912493089</v>
      </c>
    </row>
    <row r="17" spans="1:2" x14ac:dyDescent="0.3">
      <c r="A17" s="6">
        <v>0.16</v>
      </c>
      <c r="B17" s="1">
        <f xml:space="preserve"> -(A17 * LOG(A17,2))</f>
        <v>0.42301699036395596</v>
      </c>
    </row>
    <row r="18" spans="1:2" x14ac:dyDescent="0.3">
      <c r="A18" s="6">
        <v>0.17</v>
      </c>
      <c r="B18" s="1">
        <f xml:space="preserve"> -(A18 * LOG(A18,2))</f>
        <v>0.43458686924914552</v>
      </c>
    </row>
    <row r="19" spans="1:2" x14ac:dyDescent="0.3">
      <c r="A19" s="6">
        <v>0.18</v>
      </c>
      <c r="B19" s="1">
        <f xml:space="preserve"> -(A19 * LOG(A19,2))</f>
        <v>0.4453076138998342</v>
      </c>
    </row>
    <row r="20" spans="1:2" x14ac:dyDescent="0.3">
      <c r="A20" s="6">
        <v>0.19</v>
      </c>
      <c r="B20" s="1">
        <f xml:space="preserve"> -(A20 * LOG(A20,2))</f>
        <v>0.45522644850291644</v>
      </c>
    </row>
    <row r="21" spans="1:2" x14ac:dyDescent="0.3">
      <c r="A21" s="6">
        <v>0.2</v>
      </c>
      <c r="B21" s="1">
        <f xml:space="preserve"> -(A21 * LOG(A21,2))</f>
        <v>0.46438561897747244</v>
      </c>
    </row>
    <row r="22" spans="1:2" x14ac:dyDescent="0.3">
      <c r="A22" s="6">
        <v>0.21</v>
      </c>
      <c r="B22" s="1">
        <f xml:space="preserve"> -(A22 * LOG(A22,2))</f>
        <v>0.47282314106915252</v>
      </c>
    </row>
    <row r="23" spans="1:2" x14ac:dyDescent="0.3">
      <c r="A23" s="6">
        <v>0.22</v>
      </c>
      <c r="B23" s="1">
        <f xml:space="preserve"> -(A23 * LOG(A23,2))</f>
        <v>0.48057340565023404</v>
      </c>
    </row>
    <row r="24" spans="1:2" x14ac:dyDescent="0.3">
      <c r="A24" s="6">
        <v>0.23</v>
      </c>
      <c r="B24" s="1">
        <f xml:space="preserve"> -(A24 * LOG(A24,2))</f>
        <v>0.48766767375507375</v>
      </c>
    </row>
    <row r="25" spans="1:2" x14ac:dyDescent="0.3">
      <c r="A25" s="6">
        <v>0.24</v>
      </c>
      <c r="B25" s="1">
        <f xml:space="preserve"> -(A25 * LOG(A25,2))</f>
        <v>0.49413448537285648</v>
      </c>
    </row>
    <row r="26" spans="1:2" x14ac:dyDescent="0.3">
      <c r="A26" s="6">
        <v>0.25</v>
      </c>
      <c r="B26" s="1">
        <f xml:space="preserve"> -(A26 * LOG(A26,2))</f>
        <v>0.5</v>
      </c>
    </row>
    <row r="27" spans="1:2" x14ac:dyDescent="0.3">
      <c r="A27" s="6">
        <v>0.26</v>
      </c>
      <c r="B27" s="1">
        <f xml:space="preserve"> -(A27 * LOG(A27,2))</f>
        <v>0.50528828262474446</v>
      </c>
    </row>
    <row r="28" spans="1:2" x14ac:dyDescent="0.3">
      <c r="A28" s="6">
        <v>0.27</v>
      </c>
      <c r="B28" s="1">
        <f xml:space="preserve"> -(A28 * LOG(A28,2))</f>
        <v>0.51002154565503921</v>
      </c>
    </row>
    <row r="29" spans="1:2" x14ac:dyDescent="0.3">
      <c r="A29" s="6">
        <v>0.28000000000000003</v>
      </c>
      <c r="B29" s="1">
        <f xml:space="preserve"> -(A29 * LOG(A29,2))</f>
        <v>0.51422035496079377</v>
      </c>
    </row>
    <row r="30" spans="1:2" x14ac:dyDescent="0.3">
      <c r="A30" s="6">
        <v>0.28999999999999998</v>
      </c>
      <c r="B30" s="1">
        <f xml:space="preserve"> -(A30 * LOG(A30,2))</f>
        <v>0.5179038064476742</v>
      </c>
    </row>
    <row r="31" spans="1:2" x14ac:dyDescent="0.3">
      <c r="A31" s="6">
        <v>0.3</v>
      </c>
      <c r="B31" s="1">
        <f xml:space="preserve"> -(A31 * LOG(A31,2))</f>
        <v>0.52108967824986185</v>
      </c>
    </row>
    <row r="32" spans="1:2" x14ac:dyDescent="0.3">
      <c r="A32" s="6">
        <v>0.31</v>
      </c>
      <c r="B32" s="1">
        <f xml:space="preserve"> -(A32 * LOG(A32,2))</f>
        <v>0.52379456261023327</v>
      </c>
    </row>
    <row r="33" spans="1:2" x14ac:dyDescent="0.3">
      <c r="A33" s="6">
        <v>0.32</v>
      </c>
      <c r="B33" s="1">
        <f xml:space="preserve"> -(A33 * LOG(A33,2))</f>
        <v>0.52603398072791197</v>
      </c>
    </row>
    <row r="34" spans="1:2" x14ac:dyDescent="0.3">
      <c r="A34" s="6">
        <v>0.33</v>
      </c>
      <c r="B34" s="1">
        <f xml:space="preserve"> -(A34 * LOG(A34,2))</f>
        <v>0.52782248323736947</v>
      </c>
    </row>
    <row r="35" spans="1:2" x14ac:dyDescent="0.3">
      <c r="A35" s="6">
        <v>0.34</v>
      </c>
      <c r="B35" s="1">
        <f xml:space="preserve"> -(A35 * LOG(A35,2))</f>
        <v>0.52917373849829097</v>
      </c>
    </row>
    <row r="36" spans="1:2" x14ac:dyDescent="0.3">
      <c r="A36" s="6">
        <v>0.35</v>
      </c>
      <c r="B36" s="1">
        <f xml:space="preserve"> -(A36 * LOG(A36,2))</f>
        <v>0.53010061049041546</v>
      </c>
    </row>
    <row r="37" spans="1:2" x14ac:dyDescent="0.3">
      <c r="A37" s="6">
        <v>0.36</v>
      </c>
      <c r="B37" s="1">
        <f xml:space="preserve"> -(A37 * LOG(A37,2))</f>
        <v>0.53061522779966841</v>
      </c>
    </row>
    <row r="38" spans="1:2" x14ac:dyDescent="0.3">
      <c r="A38" s="6">
        <v>0.37</v>
      </c>
      <c r="B38" s="1">
        <f xml:space="preserve"> -(A38 * LOG(A38,2))</f>
        <v>0.53072904493393669</v>
      </c>
    </row>
    <row r="39" spans="1:2" x14ac:dyDescent="0.3">
      <c r="A39" s="6">
        <v>0.38</v>
      </c>
      <c r="B39" s="1">
        <f xml:space="preserve"> -(A39 * LOG(A39,2))</f>
        <v>0.53045289700583287</v>
      </c>
    </row>
    <row r="40" spans="1:2" x14ac:dyDescent="0.3">
      <c r="A40" s="6">
        <v>0.39</v>
      </c>
      <c r="B40" s="1">
        <f xml:space="preserve"> -(A40 * LOG(A40,2))</f>
        <v>0.52979704865586574</v>
      </c>
    </row>
    <row r="41" spans="1:2" x14ac:dyDescent="0.3">
      <c r="A41" s="6">
        <v>0.4</v>
      </c>
      <c r="B41" s="1">
        <f xml:space="preserve"> -(A41 * LOG(A41,2))</f>
        <v>0.52877123795494485</v>
      </c>
    </row>
    <row r="42" spans="1:2" x14ac:dyDescent="0.3">
      <c r="A42" s="6">
        <v>0.41</v>
      </c>
      <c r="B42" s="1">
        <f xml:space="preserve"> -(A42 * LOG(A42,2))</f>
        <v>0.52738471591422287</v>
      </c>
    </row>
    <row r="43" spans="1:2" x14ac:dyDescent="0.3">
      <c r="A43" s="6">
        <v>0.42</v>
      </c>
      <c r="B43" s="1">
        <f xml:space="preserve"> -(A43 * LOG(A43,2))</f>
        <v>0.525646282138305</v>
      </c>
    </row>
    <row r="44" spans="1:2" x14ac:dyDescent="0.3">
      <c r="A44" s="6">
        <v>0.43</v>
      </c>
      <c r="B44" s="1">
        <f xml:space="preserve"> -(A44 * LOG(A44,2))</f>
        <v>0.52356431708122952</v>
      </c>
    </row>
    <row r="45" spans="1:2" x14ac:dyDescent="0.3">
      <c r="A45" s="6">
        <v>0.44</v>
      </c>
      <c r="B45" s="1">
        <f xml:space="preserve"> -(A45 * LOG(A45,2))</f>
        <v>0.52114681130046814</v>
      </c>
    </row>
    <row r="46" spans="1:2" x14ac:dyDescent="0.3">
      <c r="A46" s="6">
        <v>0.45</v>
      </c>
      <c r="B46" s="1">
        <f xml:space="preserve"> -(A46 * LOG(A46,2))</f>
        <v>0.51840139205027258</v>
      </c>
    </row>
    <row r="47" spans="1:2" x14ac:dyDescent="0.3">
      <c r="A47" s="6">
        <v>0.46</v>
      </c>
      <c r="B47" s="1">
        <f xml:space="preserve"> -(A47 * LOG(A47,2))</f>
        <v>0.51533534751014742</v>
      </c>
    </row>
    <row r="48" spans="1:2" x14ac:dyDescent="0.3">
      <c r="A48" s="6">
        <v>0.47</v>
      </c>
      <c r="B48" s="1">
        <f xml:space="preserve"> -(A48 * LOG(A48,2))</f>
        <v>0.51195564890563106</v>
      </c>
    </row>
    <row r="49" spans="1:2" x14ac:dyDescent="0.3">
      <c r="A49" s="6">
        <v>0.48</v>
      </c>
      <c r="B49" s="1">
        <f xml:space="preserve"> -(A49 * LOG(A49,2))</f>
        <v>0.50826897074571287</v>
      </c>
    </row>
    <row r="50" spans="1:2" x14ac:dyDescent="0.3">
      <c r="A50" s="6">
        <v>0.49</v>
      </c>
      <c r="B50" s="1">
        <f xml:space="preserve"> -(A50 * LOG(A50,2))</f>
        <v>0.50428170937316308</v>
      </c>
    </row>
    <row r="51" spans="1:2" x14ac:dyDescent="0.3">
      <c r="A51" s="6">
        <v>0.5</v>
      </c>
      <c r="B51" s="1">
        <f xml:space="preserve"> -(A51 * LOG(A51,2))</f>
        <v>0.5</v>
      </c>
    </row>
    <row r="52" spans="1:2" x14ac:dyDescent="0.3">
      <c r="A52" s="6">
        <v>0.51</v>
      </c>
      <c r="B52" s="1">
        <f xml:space="preserve"> -(A52 * LOG(A52,2))</f>
        <v>0.49542973237964688</v>
      </c>
    </row>
    <row r="53" spans="1:2" x14ac:dyDescent="0.3">
      <c r="A53" s="6">
        <v>0.52</v>
      </c>
      <c r="B53" s="1">
        <f xml:space="preserve"> -(A53 * LOG(A53,2))</f>
        <v>0.49057656524948889</v>
      </c>
    </row>
    <row r="54" spans="1:2" x14ac:dyDescent="0.3">
      <c r="A54" s="6">
        <v>0.53</v>
      </c>
      <c r="B54" s="1">
        <f xml:space="preserve"> -(A54 * LOG(A54,2))</f>
        <v>0.48544593966210853</v>
      </c>
    </row>
    <row r="55" spans="1:2" x14ac:dyDescent="0.3">
      <c r="A55" s="6">
        <v>0.54</v>
      </c>
      <c r="B55" s="1">
        <f xml:space="preserve"> -(A55 * LOG(A55,2))</f>
        <v>0.48004309131007833</v>
      </c>
    </row>
    <row r="56" spans="1:2" x14ac:dyDescent="0.3">
      <c r="A56" s="6">
        <v>0.55000000000000004</v>
      </c>
      <c r="B56" s="1">
        <f xml:space="preserve"> -(A56 * LOG(A56,2))</f>
        <v>0.47437306193753581</v>
      </c>
    </row>
    <row r="57" spans="1:2" x14ac:dyDescent="0.3">
      <c r="A57" s="6">
        <v>0.56000000000000005</v>
      </c>
      <c r="B57" s="1">
        <f xml:space="preserve"> -(A57 * LOG(A57,2))</f>
        <v>0.46844070992158754</v>
      </c>
    </row>
    <row r="58" spans="1:2" x14ac:dyDescent="0.3">
      <c r="A58" s="6">
        <v>0.56999999999999995</v>
      </c>
      <c r="B58" s="1">
        <f xml:space="preserve"> -(A58 * LOG(A58,2))</f>
        <v>0.46225072009769036</v>
      </c>
    </row>
    <row r="59" spans="1:2" x14ac:dyDescent="0.3">
      <c r="A59" s="6">
        <v>0.57999999999999996</v>
      </c>
      <c r="B59" s="1">
        <f xml:space="preserve"> -(A59 * LOG(A59,2))</f>
        <v>0.45580761289534855</v>
      </c>
    </row>
    <row r="60" spans="1:2" x14ac:dyDescent="0.3">
      <c r="A60" s="6">
        <v>0.59</v>
      </c>
      <c r="B60" s="1">
        <f xml:space="preserve"> -(A60 * LOG(A60,2))</f>
        <v>0.44911575284360128</v>
      </c>
    </row>
    <row r="61" spans="1:2" x14ac:dyDescent="0.3">
      <c r="A61" s="6">
        <v>0.6</v>
      </c>
      <c r="B61" s="1">
        <f xml:space="preserve"> -(A61 * LOG(A61,2))</f>
        <v>0.44217935649972373</v>
      </c>
    </row>
    <row r="62" spans="1:2" x14ac:dyDescent="0.3">
      <c r="A62" s="6">
        <v>0.61</v>
      </c>
      <c r="B62" s="1">
        <f xml:space="preserve"> -(A62 * LOG(A62,2))</f>
        <v>0.43500249984922146</v>
      </c>
    </row>
    <row r="63" spans="1:2" x14ac:dyDescent="0.3">
      <c r="A63" s="6">
        <v>0.62</v>
      </c>
      <c r="B63" s="1">
        <f xml:space="preserve"> -(A63 * LOG(A63,2))</f>
        <v>0.42758912522046666</v>
      </c>
    </row>
    <row r="64" spans="1:2" x14ac:dyDescent="0.3">
      <c r="A64" s="6">
        <v>0.63</v>
      </c>
      <c r="B64" s="1">
        <f xml:space="preserve"> -(A64 * LOG(A64,2))</f>
        <v>0.41994304775312918</v>
      </c>
    </row>
    <row r="65" spans="1:2" x14ac:dyDescent="0.3">
      <c r="A65" s="6">
        <v>0.64</v>
      </c>
      <c r="B65" s="1">
        <f xml:space="preserve"> -(A65 * LOG(A65,2))</f>
        <v>0.41206796145582381</v>
      </c>
    </row>
    <row r="66" spans="1:2" x14ac:dyDescent="0.3">
      <c r="A66" s="6">
        <v>0.65</v>
      </c>
      <c r="B66" s="1">
        <f xml:space="preserve"> -(A66 * LOG(A66,2))</f>
        <v>0.40396744488507558</v>
      </c>
    </row>
    <row r="67" spans="1:2" x14ac:dyDescent="0.3">
      <c r="A67" s="6">
        <v>0.66</v>
      </c>
      <c r="B67" s="1">
        <f xml:space="preserve"> -(A67 * LOG(A67,2))</f>
        <v>0.39564496647473901</v>
      </c>
    </row>
    <row r="68" spans="1:2" x14ac:dyDescent="0.3">
      <c r="A68" s="6">
        <v>0.67</v>
      </c>
      <c r="B68" s="1">
        <f xml:space="preserve"> -(A68 * LOG(A68,2))</f>
        <v>0.38710388954235797</v>
      </c>
    </row>
    <row r="69" spans="1:2" x14ac:dyDescent="0.3">
      <c r="A69" s="6">
        <v>0.68</v>
      </c>
      <c r="B69" s="1">
        <f xml:space="preserve"> -(A69 * LOG(A69,2))</f>
        <v>0.378347476996582</v>
      </c>
    </row>
    <row r="70" spans="1:2" x14ac:dyDescent="0.3">
      <c r="A70" s="6">
        <v>0.69</v>
      </c>
      <c r="B70" s="1">
        <f xml:space="preserve"> -(A70 * LOG(A70,2))</f>
        <v>0.36937889576762345</v>
      </c>
    </row>
    <row r="71" spans="1:2" x14ac:dyDescent="0.3">
      <c r="A71" s="6">
        <v>0.7</v>
      </c>
      <c r="B71" s="1">
        <f xml:space="preserve"> -(A71 * LOG(A71,2))</f>
        <v>0.36020122098083079</v>
      </c>
    </row>
    <row r="72" spans="1:2" x14ac:dyDescent="0.3">
      <c r="A72" s="6">
        <v>0.71</v>
      </c>
      <c r="B72" s="1">
        <f xml:space="preserve"> -(A72 * LOG(A72,2))</f>
        <v>0.35081743989173031</v>
      </c>
    </row>
    <row r="73" spans="1:2" x14ac:dyDescent="0.3">
      <c r="A73" s="6">
        <v>0.72</v>
      </c>
      <c r="B73" s="1">
        <f xml:space="preserve"> -(A73 * LOG(A73,2))</f>
        <v>0.34123045559933696</v>
      </c>
    </row>
    <row r="74" spans="1:2" x14ac:dyDescent="0.3">
      <c r="A74" s="6">
        <v>0.73</v>
      </c>
      <c r="B74" s="1">
        <f xml:space="preserve"> -(A74 * LOG(A74,2))</f>
        <v>0.33144309055313648</v>
      </c>
    </row>
    <row r="75" spans="1:2" x14ac:dyDescent="0.3">
      <c r="A75" s="6">
        <v>0.74</v>
      </c>
      <c r="B75" s="1">
        <f xml:space="preserve"> -(A75 * LOG(A75,2))</f>
        <v>0.32145808986787344</v>
      </c>
    </row>
    <row r="76" spans="1:2" x14ac:dyDescent="0.3">
      <c r="A76" s="6">
        <v>0.75</v>
      </c>
      <c r="B76" s="1">
        <f xml:space="preserve"> -(A76 * LOG(A76,2))</f>
        <v>0.31127812445913283</v>
      </c>
    </row>
    <row r="77" spans="1:2" x14ac:dyDescent="0.3">
      <c r="A77" s="6">
        <v>0.76</v>
      </c>
      <c r="B77" s="1">
        <f xml:space="preserve"> -(A77 * LOG(A77,2))</f>
        <v>0.30090579401166578</v>
      </c>
    </row>
    <row r="78" spans="1:2" x14ac:dyDescent="0.3">
      <c r="A78" s="6">
        <v>0.77</v>
      </c>
      <c r="B78" s="1">
        <f xml:space="preserve"> -(A78 * LOG(A78,2))</f>
        <v>0.29034362979146394</v>
      </c>
    </row>
    <row r="79" spans="1:2" x14ac:dyDescent="0.3">
      <c r="A79" s="6">
        <v>0.78</v>
      </c>
      <c r="B79" s="1">
        <f xml:space="preserve"> -(A79 * LOG(A79,2))</f>
        <v>0.27959409731173157</v>
      </c>
    </row>
    <row r="80" spans="1:2" x14ac:dyDescent="0.3">
      <c r="A80" s="6">
        <v>0.79</v>
      </c>
      <c r="B80" s="1">
        <f xml:space="preserve"> -(A80 * LOG(A80,2))</f>
        <v>0.26865959886212115</v>
      </c>
    </row>
    <row r="81" spans="1:2" x14ac:dyDescent="0.3">
      <c r="A81" s="6">
        <v>0.8</v>
      </c>
      <c r="B81" s="1">
        <f xml:space="preserve"> -(A81 * LOG(A81,2))</f>
        <v>0.25754247590988982</v>
      </c>
    </row>
    <row r="82" spans="1:2" x14ac:dyDescent="0.3">
      <c r="A82" s="6">
        <v>0.81</v>
      </c>
      <c r="B82" s="1">
        <f xml:space="preserve"> -(A82 * LOG(A82,2))</f>
        <v>0.24624501138098093</v>
      </c>
    </row>
    <row r="83" spans="1:2" x14ac:dyDescent="0.3">
      <c r="A83" s="6">
        <v>0.82</v>
      </c>
      <c r="B83" s="1">
        <f xml:space="preserve"> -(A83 * LOG(A83,2))</f>
        <v>0.23476943182844567</v>
      </c>
    </row>
    <row r="84" spans="1:2" x14ac:dyDescent="0.3">
      <c r="A84" s="6">
        <v>0.83</v>
      </c>
      <c r="B84" s="1">
        <f xml:space="preserve"> -(A84 * LOG(A84,2))</f>
        <v>0.22311790949507398</v>
      </c>
    </row>
    <row r="85" spans="1:2" x14ac:dyDescent="0.3">
      <c r="A85" s="6">
        <v>0.84</v>
      </c>
      <c r="B85" s="1">
        <f xml:space="preserve"> -(A85 * LOG(A85,2))</f>
        <v>0.21129256427661017</v>
      </c>
    </row>
    <row r="86" spans="1:2" x14ac:dyDescent="0.3">
      <c r="A86" s="6">
        <v>0.85</v>
      </c>
      <c r="B86" s="1">
        <f xml:space="preserve"> -(A86 * LOG(A86,2))</f>
        <v>0.19929546559146952</v>
      </c>
    </row>
    <row r="87" spans="1:2" x14ac:dyDescent="0.3">
      <c r="A87" s="6">
        <v>0.86</v>
      </c>
      <c r="B87" s="1">
        <f xml:space="preserve"> -(A87 * LOG(A87,2))</f>
        <v>0.18712863416245903</v>
      </c>
    </row>
    <row r="88" spans="1:2" x14ac:dyDescent="0.3">
      <c r="A88" s="6">
        <v>0.87</v>
      </c>
      <c r="B88" s="1">
        <f xml:space="preserve"> -(A88 * LOG(A88,2))</f>
        <v>0.17479404371561688</v>
      </c>
    </row>
    <row r="89" spans="1:2" x14ac:dyDescent="0.3">
      <c r="A89" s="6">
        <v>0.88</v>
      </c>
      <c r="B89" s="1">
        <f xml:space="preserve"> -(A89 * LOG(A89,2))</f>
        <v>0.16229362260093616</v>
      </c>
    </row>
    <row r="90" spans="1:2" x14ac:dyDescent="0.3">
      <c r="A90" s="6">
        <v>0.89</v>
      </c>
      <c r="B90" s="1">
        <f xml:space="preserve"> -(A90 * LOG(A90,2))</f>
        <v>0.14962925533941096</v>
      </c>
    </row>
    <row r="91" spans="1:2" x14ac:dyDescent="0.3">
      <c r="A91" s="6">
        <v>0.9</v>
      </c>
      <c r="B91" s="1">
        <f xml:space="preserve"> -(A91 * LOG(A91,2))</f>
        <v>0.13680278410054497</v>
      </c>
    </row>
    <row r="92" spans="1:2" x14ac:dyDescent="0.3">
      <c r="A92" s="6">
        <v>0.91</v>
      </c>
      <c r="B92" s="1">
        <f xml:space="preserve"> -(A92 * LOG(A92,2))</f>
        <v>0.12381601011418582</v>
      </c>
    </row>
    <row r="93" spans="1:2" x14ac:dyDescent="0.3">
      <c r="A93" s="6">
        <v>0.92</v>
      </c>
      <c r="B93" s="1">
        <f xml:space="preserve"> -(A93 * LOG(A93,2))</f>
        <v>0.11067069502029483</v>
      </c>
    </row>
    <row r="94" spans="1:2" x14ac:dyDescent="0.3">
      <c r="A94" s="6">
        <v>0.93</v>
      </c>
      <c r="B94" s="1">
        <f xml:space="preserve"> -(A94 * LOG(A94,2))</f>
        <v>9.7368562160024708E-2</v>
      </c>
    </row>
    <row r="95" spans="1:2" x14ac:dyDescent="0.3">
      <c r="A95" s="6">
        <v>0.94</v>
      </c>
      <c r="B95" s="1">
        <f xml:space="preserve"> -(A95 * LOG(A95,2))</f>
        <v>8.3911297811262164E-2</v>
      </c>
    </row>
    <row r="96" spans="1:2" x14ac:dyDescent="0.3">
      <c r="A96" s="6">
        <v>0.95</v>
      </c>
      <c r="B96" s="1">
        <f xml:space="preserve"> -(A96 * LOG(A96,2))</f>
        <v>7.0300552371588082E-2</v>
      </c>
    </row>
    <row r="97" spans="1:2" x14ac:dyDescent="0.3">
      <c r="A97" s="6">
        <v>0.96</v>
      </c>
      <c r="B97" s="1">
        <f xml:space="preserve"> -(A97 * LOG(A97,2))</f>
        <v>5.6537941491425818E-2</v>
      </c>
    </row>
    <row r="98" spans="1:2" x14ac:dyDescent="0.3">
      <c r="A98" s="6">
        <v>0.97</v>
      </c>
      <c r="B98" s="1">
        <f xml:space="preserve"> -(A98 * LOG(A98,2))</f>
        <v>4.2625047159969141E-2</v>
      </c>
    </row>
    <row r="99" spans="1:2" x14ac:dyDescent="0.3">
      <c r="A99" s="6">
        <v>0.98</v>
      </c>
      <c r="B99" s="1">
        <f xml:space="preserve"> -(A99 * LOG(A99,2))</f>
        <v>2.8563418746326178E-2</v>
      </c>
    </row>
    <row r="100" spans="1:2" x14ac:dyDescent="0.3">
      <c r="A100" s="6">
        <v>0.99</v>
      </c>
      <c r="B100" s="1">
        <f xml:space="preserve"> -(A100 * LOG(A100,2))</f>
        <v>1.4354573998163939E-2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E1726-5C97-4213-89A1-0021A803D972}">
  <dimension ref="A1:D100"/>
  <sheetViews>
    <sheetView workbookViewId="0">
      <selection activeCell="D32" sqref="D32"/>
    </sheetView>
  </sheetViews>
  <sheetFormatPr defaultRowHeight="14.4" x14ac:dyDescent="0.3"/>
  <cols>
    <col min="1" max="1" width="19.109375" style="8" customWidth="1"/>
    <col min="2" max="2" width="20.44140625" bestFit="1" customWidth="1"/>
    <col min="4" max="4" width="17.21875" bestFit="1" customWidth="1"/>
    <col min="5" max="5" width="15.6640625" bestFit="1" customWidth="1"/>
    <col min="13" max="13" width="15.6640625" bestFit="1" customWidth="1"/>
  </cols>
  <sheetData>
    <row r="1" spans="1:4" ht="15" thickBot="1" x14ac:dyDescent="0.35">
      <c r="A1" s="12" t="s">
        <v>36</v>
      </c>
      <c r="B1" s="13" t="s">
        <v>40</v>
      </c>
    </row>
    <row r="2" spans="1:4" ht="15" thickBot="1" x14ac:dyDescent="0.35">
      <c r="A2" s="5">
        <v>0.01</v>
      </c>
      <c r="B2" s="7">
        <f>-(A2 * LOG(A2,2) + (1 - A2) * LOG((1 - A2),2))</f>
        <v>8.0793135895911181E-2</v>
      </c>
      <c r="D2" s="11" t="s">
        <v>39</v>
      </c>
    </row>
    <row r="3" spans="1:4" ht="15" thickBot="1" x14ac:dyDescent="0.35">
      <c r="A3" s="6">
        <v>0.02</v>
      </c>
      <c r="B3" s="7">
        <f t="shared" ref="B3:B66" si="0">-(A3 * LOG(A3,2) + (1 - A3) * LOG((1 - A3),2))</f>
        <v>0.14144054254182067</v>
      </c>
      <c r="D3" s="10">
        <f>MAX(B2:B100)</f>
        <v>1</v>
      </c>
    </row>
    <row r="4" spans="1:4" x14ac:dyDescent="0.3">
      <c r="A4" s="6">
        <v>0.03</v>
      </c>
      <c r="B4" s="7">
        <f t="shared" si="0"/>
        <v>0.19439185783157623</v>
      </c>
    </row>
    <row r="5" spans="1:4" x14ac:dyDescent="0.3">
      <c r="A5" s="6">
        <v>0.04</v>
      </c>
      <c r="B5" s="7">
        <f t="shared" si="0"/>
        <v>0.24229218908241482</v>
      </c>
    </row>
    <row r="6" spans="1:4" x14ac:dyDescent="0.3">
      <c r="A6" s="6">
        <v>0.05</v>
      </c>
      <c r="B6" s="7">
        <f t="shared" si="0"/>
        <v>0.28639695711595625</v>
      </c>
    </row>
    <row r="7" spans="1:4" x14ac:dyDescent="0.3">
      <c r="A7" s="6">
        <v>0.06</v>
      </c>
      <c r="B7" s="7">
        <f t="shared" si="0"/>
        <v>0.32744491915447627</v>
      </c>
    </row>
    <row r="8" spans="1:4" x14ac:dyDescent="0.3">
      <c r="A8" s="6">
        <v>7.0000000000000007E-2</v>
      </c>
      <c r="B8" s="7">
        <f t="shared" si="0"/>
        <v>0.36592365090022333</v>
      </c>
    </row>
    <row r="9" spans="1:4" x14ac:dyDescent="0.3">
      <c r="A9" s="6">
        <v>0.08</v>
      </c>
      <c r="B9" s="7">
        <f t="shared" si="0"/>
        <v>0.40217919020227288</v>
      </c>
    </row>
    <row r="10" spans="1:4" x14ac:dyDescent="0.3">
      <c r="A10" s="6">
        <v>0.09</v>
      </c>
      <c r="B10" s="7">
        <f t="shared" si="0"/>
        <v>0.43646981706410293</v>
      </c>
    </row>
    <row r="11" spans="1:4" x14ac:dyDescent="0.3">
      <c r="A11" s="6">
        <v>0.1</v>
      </c>
      <c r="B11" s="7">
        <f t="shared" si="0"/>
        <v>0.46899559358928122</v>
      </c>
    </row>
    <row r="12" spans="1:4" x14ac:dyDescent="0.3">
      <c r="A12" s="6">
        <v>0.11</v>
      </c>
      <c r="B12" s="7">
        <f t="shared" si="0"/>
        <v>0.499915958164528</v>
      </c>
    </row>
    <row r="13" spans="1:4" x14ac:dyDescent="0.3">
      <c r="A13" s="6">
        <v>0.12</v>
      </c>
      <c r="B13" s="7">
        <f t="shared" si="0"/>
        <v>0.52936086528736437</v>
      </c>
    </row>
    <row r="14" spans="1:4" x14ac:dyDescent="0.3">
      <c r="A14" s="6">
        <v>0.13</v>
      </c>
      <c r="B14" s="7">
        <f t="shared" si="0"/>
        <v>0.55743818502798914</v>
      </c>
    </row>
    <row r="15" spans="1:4" x14ac:dyDescent="0.3">
      <c r="A15" s="6">
        <v>0.14000000000000001</v>
      </c>
      <c r="B15" s="7">
        <f t="shared" si="0"/>
        <v>0.58423881164285596</v>
      </c>
    </row>
    <row r="16" spans="1:4" x14ac:dyDescent="0.3">
      <c r="A16" s="6">
        <v>0.15</v>
      </c>
      <c r="B16" s="7">
        <f t="shared" si="0"/>
        <v>0.60984030471640038</v>
      </c>
    </row>
    <row r="17" spans="1:2" x14ac:dyDescent="0.3">
      <c r="A17" s="6">
        <v>0.16</v>
      </c>
      <c r="B17" s="7">
        <f t="shared" si="0"/>
        <v>0.63430955464056615</v>
      </c>
    </row>
    <row r="18" spans="1:2" x14ac:dyDescent="0.3">
      <c r="A18" s="6">
        <v>0.17</v>
      </c>
      <c r="B18" s="7">
        <f t="shared" si="0"/>
        <v>0.65770477874421951</v>
      </c>
    </row>
    <row r="19" spans="1:2" x14ac:dyDescent="0.3">
      <c r="A19" s="6">
        <v>0.18</v>
      </c>
      <c r="B19" s="7">
        <f t="shared" si="0"/>
        <v>0.68007704572827976</v>
      </c>
    </row>
    <row r="20" spans="1:2" x14ac:dyDescent="0.3">
      <c r="A20" s="6">
        <v>0.19</v>
      </c>
      <c r="B20" s="7">
        <f t="shared" si="0"/>
        <v>0.70147145988389736</v>
      </c>
    </row>
    <row r="21" spans="1:2" x14ac:dyDescent="0.3">
      <c r="A21" s="6">
        <v>0.2</v>
      </c>
      <c r="B21" s="7">
        <f t="shared" si="0"/>
        <v>0.72192809488736231</v>
      </c>
    </row>
    <row r="22" spans="1:2" x14ac:dyDescent="0.3">
      <c r="A22" s="6">
        <v>0.21</v>
      </c>
      <c r="B22" s="7">
        <f t="shared" si="0"/>
        <v>0.74148273993127367</v>
      </c>
    </row>
    <row r="23" spans="1:2" x14ac:dyDescent="0.3">
      <c r="A23" s="6">
        <v>0.22</v>
      </c>
      <c r="B23" s="7">
        <f t="shared" si="0"/>
        <v>0.76016750296196567</v>
      </c>
    </row>
    <row r="24" spans="1:2" x14ac:dyDescent="0.3">
      <c r="A24" s="6">
        <v>0.23</v>
      </c>
      <c r="B24" s="7">
        <f t="shared" si="0"/>
        <v>0.77801130354653769</v>
      </c>
    </row>
    <row r="25" spans="1:2" x14ac:dyDescent="0.3">
      <c r="A25" s="6">
        <v>0.24</v>
      </c>
      <c r="B25" s="7">
        <f t="shared" si="0"/>
        <v>0.79504027938452226</v>
      </c>
    </row>
    <row r="26" spans="1:2" x14ac:dyDescent="0.3">
      <c r="A26" s="6">
        <v>0.25</v>
      </c>
      <c r="B26" s="7">
        <f t="shared" si="0"/>
        <v>0.81127812445913283</v>
      </c>
    </row>
    <row r="27" spans="1:2" x14ac:dyDescent="0.3">
      <c r="A27" s="6">
        <v>0.26</v>
      </c>
      <c r="B27" s="7">
        <f t="shared" si="0"/>
        <v>0.82674637249261784</v>
      </c>
    </row>
    <row r="28" spans="1:2" x14ac:dyDescent="0.3">
      <c r="A28" s="6">
        <v>0.27</v>
      </c>
      <c r="B28" s="7">
        <f t="shared" si="0"/>
        <v>0.84146463620817569</v>
      </c>
    </row>
    <row r="29" spans="1:2" x14ac:dyDescent="0.3">
      <c r="A29" s="6">
        <v>0.28000000000000003</v>
      </c>
      <c r="B29" s="7">
        <f t="shared" si="0"/>
        <v>0.85545081056013073</v>
      </c>
    </row>
    <row r="30" spans="1:2" x14ac:dyDescent="0.3">
      <c r="A30" s="6">
        <v>0.28999999999999998</v>
      </c>
      <c r="B30" s="7">
        <f t="shared" si="0"/>
        <v>0.86872124633940451</v>
      </c>
    </row>
    <row r="31" spans="1:2" x14ac:dyDescent="0.3">
      <c r="A31" s="6">
        <v>0.3</v>
      </c>
      <c r="B31" s="7">
        <f t="shared" si="0"/>
        <v>0.8812908992306927</v>
      </c>
    </row>
    <row r="32" spans="1:2" x14ac:dyDescent="0.3">
      <c r="A32" s="6">
        <v>0.31</v>
      </c>
      <c r="B32" s="7">
        <f t="shared" si="0"/>
        <v>0.89317345837785678</v>
      </c>
    </row>
    <row r="33" spans="1:2" x14ac:dyDescent="0.3">
      <c r="A33" s="6">
        <v>0.32</v>
      </c>
      <c r="B33" s="7">
        <f t="shared" si="0"/>
        <v>0.90438145772449408</v>
      </c>
    </row>
    <row r="34" spans="1:2" x14ac:dyDescent="0.3">
      <c r="A34" s="6">
        <v>0.33</v>
      </c>
      <c r="B34" s="7">
        <f t="shared" si="0"/>
        <v>0.91492637277972755</v>
      </c>
    </row>
    <row r="35" spans="1:2" x14ac:dyDescent="0.3">
      <c r="A35" s="6">
        <v>0.34</v>
      </c>
      <c r="B35" s="7">
        <f t="shared" si="0"/>
        <v>0.92481870497303009</v>
      </c>
    </row>
    <row r="36" spans="1:2" x14ac:dyDescent="0.3">
      <c r="A36" s="6">
        <v>0.35</v>
      </c>
      <c r="B36" s="7">
        <f t="shared" si="0"/>
        <v>0.93406805537549098</v>
      </c>
    </row>
    <row r="37" spans="1:2" x14ac:dyDescent="0.3">
      <c r="A37" s="6">
        <v>0.36</v>
      </c>
      <c r="B37" s="7">
        <f t="shared" si="0"/>
        <v>0.94268318925549222</v>
      </c>
    </row>
    <row r="38" spans="1:2" x14ac:dyDescent="0.3">
      <c r="A38" s="6">
        <v>0.37</v>
      </c>
      <c r="B38" s="7">
        <f t="shared" si="0"/>
        <v>0.95067209268706587</v>
      </c>
    </row>
    <row r="39" spans="1:2" x14ac:dyDescent="0.3">
      <c r="A39" s="6">
        <v>0.38</v>
      </c>
      <c r="B39" s="7">
        <f t="shared" si="0"/>
        <v>0.95804202222629953</v>
      </c>
    </row>
    <row r="40" spans="1:2" x14ac:dyDescent="0.3">
      <c r="A40" s="6">
        <v>0.39</v>
      </c>
      <c r="B40" s="7">
        <f t="shared" si="0"/>
        <v>0.9647995485050872</v>
      </c>
    </row>
    <row r="41" spans="1:2" x14ac:dyDescent="0.3">
      <c r="A41" s="6">
        <v>0.4</v>
      </c>
      <c r="B41" s="7">
        <f t="shared" si="0"/>
        <v>0.97095059445466858</v>
      </c>
    </row>
    <row r="42" spans="1:2" x14ac:dyDescent="0.3">
      <c r="A42" s="6">
        <v>0.41</v>
      </c>
      <c r="B42" s="7">
        <f t="shared" si="0"/>
        <v>0.97650046875782404</v>
      </c>
    </row>
    <row r="43" spans="1:2" x14ac:dyDescent="0.3">
      <c r="A43" s="6">
        <v>0.42</v>
      </c>
      <c r="B43" s="7">
        <f t="shared" si="0"/>
        <v>0.98145389503365354</v>
      </c>
    </row>
    <row r="44" spans="1:2" x14ac:dyDescent="0.3">
      <c r="A44" s="6">
        <v>0.43</v>
      </c>
      <c r="B44" s="7">
        <f t="shared" si="0"/>
        <v>0.98581503717891983</v>
      </c>
    </row>
    <row r="45" spans="1:2" x14ac:dyDescent="0.3">
      <c r="A45" s="6">
        <v>0.44</v>
      </c>
      <c r="B45" s="7">
        <f t="shared" si="0"/>
        <v>0.98958752122205573</v>
      </c>
    </row>
    <row r="46" spans="1:2" x14ac:dyDescent="0.3">
      <c r="A46" s="6">
        <v>0.45</v>
      </c>
      <c r="B46" s="7">
        <f t="shared" si="0"/>
        <v>0.99277445398780839</v>
      </c>
    </row>
    <row r="47" spans="1:2" x14ac:dyDescent="0.3">
      <c r="A47" s="6">
        <v>0.46</v>
      </c>
      <c r="B47" s="7">
        <f t="shared" si="0"/>
        <v>0.99537843882022581</v>
      </c>
    </row>
    <row r="48" spans="1:2" x14ac:dyDescent="0.3">
      <c r="A48" s="6">
        <v>0.47</v>
      </c>
      <c r="B48" s="7">
        <f t="shared" si="0"/>
        <v>0.99740158856773964</v>
      </c>
    </row>
    <row r="49" spans="1:2" x14ac:dyDescent="0.3">
      <c r="A49" s="6">
        <v>0.48</v>
      </c>
      <c r="B49" s="7">
        <f t="shared" si="0"/>
        <v>0.99884553599520176</v>
      </c>
    </row>
    <row r="50" spans="1:2" x14ac:dyDescent="0.3">
      <c r="A50" s="6">
        <v>0.49</v>
      </c>
      <c r="B50" s="7">
        <f t="shared" si="0"/>
        <v>0.9997114417528099</v>
      </c>
    </row>
    <row r="51" spans="1:2" x14ac:dyDescent="0.3">
      <c r="A51" s="6">
        <v>0.5</v>
      </c>
      <c r="B51" s="7">
        <f t="shared" si="0"/>
        <v>1</v>
      </c>
    </row>
    <row r="52" spans="1:2" x14ac:dyDescent="0.3">
      <c r="A52" s="6">
        <v>0.51</v>
      </c>
      <c r="B52" s="7">
        <f t="shared" si="0"/>
        <v>0.9997114417528099</v>
      </c>
    </row>
    <row r="53" spans="1:2" x14ac:dyDescent="0.3">
      <c r="A53" s="6">
        <v>0.52</v>
      </c>
      <c r="B53" s="7">
        <f t="shared" si="0"/>
        <v>0.99884553599520176</v>
      </c>
    </row>
    <row r="54" spans="1:2" x14ac:dyDescent="0.3">
      <c r="A54" s="6">
        <v>0.53</v>
      </c>
      <c r="B54" s="7">
        <f t="shared" si="0"/>
        <v>0.99740158856773964</v>
      </c>
    </row>
    <row r="55" spans="1:2" x14ac:dyDescent="0.3">
      <c r="A55" s="6">
        <v>0.54</v>
      </c>
      <c r="B55" s="7">
        <f t="shared" si="0"/>
        <v>0.99537843882022581</v>
      </c>
    </row>
    <row r="56" spans="1:2" x14ac:dyDescent="0.3">
      <c r="A56" s="6">
        <v>0.55000000000000004</v>
      </c>
      <c r="B56" s="7">
        <f t="shared" si="0"/>
        <v>0.99277445398780839</v>
      </c>
    </row>
    <row r="57" spans="1:2" x14ac:dyDescent="0.3">
      <c r="A57" s="6">
        <v>0.56000000000000005</v>
      </c>
      <c r="B57" s="7">
        <f t="shared" si="0"/>
        <v>0.98958752122205573</v>
      </c>
    </row>
    <row r="58" spans="1:2" x14ac:dyDescent="0.3">
      <c r="A58" s="6">
        <v>0.56999999999999995</v>
      </c>
      <c r="B58" s="7">
        <f t="shared" si="0"/>
        <v>0.98581503717891983</v>
      </c>
    </row>
    <row r="59" spans="1:2" x14ac:dyDescent="0.3">
      <c r="A59" s="6">
        <v>0.57999999999999996</v>
      </c>
      <c r="B59" s="7">
        <f t="shared" si="0"/>
        <v>0.98145389503365366</v>
      </c>
    </row>
    <row r="60" spans="1:2" x14ac:dyDescent="0.3">
      <c r="A60" s="6">
        <v>0.59</v>
      </c>
      <c r="B60" s="7">
        <f t="shared" si="0"/>
        <v>0.97650046875782415</v>
      </c>
    </row>
    <row r="61" spans="1:2" x14ac:dyDescent="0.3">
      <c r="A61" s="6">
        <v>0.6</v>
      </c>
      <c r="B61" s="7">
        <f t="shared" si="0"/>
        <v>0.97095059445466858</v>
      </c>
    </row>
    <row r="62" spans="1:2" x14ac:dyDescent="0.3">
      <c r="A62" s="6">
        <v>0.61</v>
      </c>
      <c r="B62" s="7">
        <f t="shared" si="0"/>
        <v>0.9647995485050872</v>
      </c>
    </row>
    <row r="63" spans="1:2" x14ac:dyDescent="0.3">
      <c r="A63" s="6">
        <v>0.62</v>
      </c>
      <c r="B63" s="7">
        <f t="shared" si="0"/>
        <v>0.95804202222629953</v>
      </c>
    </row>
    <row r="64" spans="1:2" x14ac:dyDescent="0.3">
      <c r="A64" s="6">
        <v>0.63</v>
      </c>
      <c r="B64" s="7">
        <f t="shared" si="0"/>
        <v>0.95067209268706587</v>
      </c>
    </row>
    <row r="65" spans="1:2" x14ac:dyDescent="0.3">
      <c r="A65" s="6">
        <v>0.64</v>
      </c>
      <c r="B65" s="7">
        <f t="shared" si="0"/>
        <v>0.94268318925549222</v>
      </c>
    </row>
    <row r="66" spans="1:2" x14ac:dyDescent="0.3">
      <c r="A66" s="6">
        <v>0.65</v>
      </c>
      <c r="B66" s="7">
        <f t="shared" si="0"/>
        <v>0.93406805537549098</v>
      </c>
    </row>
    <row r="67" spans="1:2" x14ac:dyDescent="0.3">
      <c r="A67" s="6">
        <v>0.66</v>
      </c>
      <c r="B67" s="7">
        <f t="shared" ref="B67:B100" si="1">-(A67 * LOG(A67,2) + (1 - A67) * LOG((1 - A67),2))</f>
        <v>0.92481870497302998</v>
      </c>
    </row>
    <row r="68" spans="1:2" x14ac:dyDescent="0.3">
      <c r="A68" s="6">
        <v>0.67</v>
      </c>
      <c r="B68" s="7">
        <f t="shared" si="1"/>
        <v>0.91492637277972755</v>
      </c>
    </row>
    <row r="69" spans="1:2" x14ac:dyDescent="0.3">
      <c r="A69" s="6">
        <v>0.68</v>
      </c>
      <c r="B69" s="7">
        <f t="shared" si="1"/>
        <v>0.90438145772449396</v>
      </c>
    </row>
    <row r="70" spans="1:2" x14ac:dyDescent="0.3">
      <c r="A70" s="6">
        <v>0.69</v>
      </c>
      <c r="B70" s="7">
        <f t="shared" si="1"/>
        <v>0.89317345837785678</v>
      </c>
    </row>
    <row r="71" spans="1:2" x14ac:dyDescent="0.3">
      <c r="A71" s="6">
        <v>0.7</v>
      </c>
      <c r="B71" s="7">
        <f t="shared" si="1"/>
        <v>0.8812908992306927</v>
      </c>
    </row>
    <row r="72" spans="1:2" x14ac:dyDescent="0.3">
      <c r="A72" s="6">
        <v>0.71</v>
      </c>
      <c r="B72" s="7">
        <f t="shared" si="1"/>
        <v>0.86872124633940462</v>
      </c>
    </row>
    <row r="73" spans="1:2" x14ac:dyDescent="0.3">
      <c r="A73" s="6">
        <v>0.72</v>
      </c>
      <c r="B73" s="7">
        <f t="shared" si="1"/>
        <v>0.85545081056013073</v>
      </c>
    </row>
    <row r="74" spans="1:2" x14ac:dyDescent="0.3">
      <c r="A74" s="6">
        <v>0.73</v>
      </c>
      <c r="B74" s="7">
        <f t="shared" si="1"/>
        <v>0.84146463620817569</v>
      </c>
    </row>
    <row r="75" spans="1:2" x14ac:dyDescent="0.3">
      <c r="A75" s="6">
        <v>0.74</v>
      </c>
      <c r="B75" s="7">
        <f t="shared" si="1"/>
        <v>0.82674637249261784</v>
      </c>
    </row>
    <row r="76" spans="1:2" x14ac:dyDescent="0.3">
      <c r="A76" s="6">
        <v>0.75</v>
      </c>
      <c r="B76" s="7">
        <f t="shared" si="1"/>
        <v>0.81127812445913283</v>
      </c>
    </row>
    <row r="77" spans="1:2" x14ac:dyDescent="0.3">
      <c r="A77" s="6">
        <v>0.76</v>
      </c>
      <c r="B77" s="7">
        <f t="shared" si="1"/>
        <v>0.79504027938452226</v>
      </c>
    </row>
    <row r="78" spans="1:2" x14ac:dyDescent="0.3">
      <c r="A78" s="6">
        <v>0.77</v>
      </c>
      <c r="B78" s="7">
        <f t="shared" si="1"/>
        <v>0.77801130354653758</v>
      </c>
    </row>
    <row r="79" spans="1:2" x14ac:dyDescent="0.3">
      <c r="A79" s="6">
        <v>0.78</v>
      </c>
      <c r="B79" s="7">
        <f t="shared" si="1"/>
        <v>0.76016750296196567</v>
      </c>
    </row>
    <row r="80" spans="1:2" x14ac:dyDescent="0.3">
      <c r="A80" s="6">
        <v>0.79</v>
      </c>
      <c r="B80" s="7">
        <f t="shared" si="1"/>
        <v>0.74148273993127356</v>
      </c>
    </row>
    <row r="81" spans="1:2" x14ac:dyDescent="0.3">
      <c r="A81" s="6">
        <v>0.8</v>
      </c>
      <c r="B81" s="7">
        <f t="shared" si="1"/>
        <v>0.72192809488736231</v>
      </c>
    </row>
    <row r="82" spans="1:2" x14ac:dyDescent="0.3">
      <c r="A82" s="6">
        <v>0.81</v>
      </c>
      <c r="B82" s="7">
        <f t="shared" si="1"/>
        <v>0.70147145988389736</v>
      </c>
    </row>
    <row r="83" spans="1:2" x14ac:dyDescent="0.3">
      <c r="A83" s="6">
        <v>0.82</v>
      </c>
      <c r="B83" s="7">
        <f t="shared" si="1"/>
        <v>0.68007704572827998</v>
      </c>
    </row>
    <row r="84" spans="1:2" x14ac:dyDescent="0.3">
      <c r="A84" s="6">
        <v>0.83</v>
      </c>
      <c r="B84" s="7">
        <f t="shared" si="1"/>
        <v>0.65770477874421951</v>
      </c>
    </row>
    <row r="85" spans="1:2" x14ac:dyDescent="0.3">
      <c r="A85" s="6">
        <v>0.84</v>
      </c>
      <c r="B85" s="7">
        <f t="shared" si="1"/>
        <v>0.63430955464056615</v>
      </c>
    </row>
    <row r="86" spans="1:2" x14ac:dyDescent="0.3">
      <c r="A86" s="6">
        <v>0.85</v>
      </c>
      <c r="B86" s="7">
        <f t="shared" si="1"/>
        <v>0.60984030471640049</v>
      </c>
    </row>
    <row r="87" spans="1:2" x14ac:dyDescent="0.3">
      <c r="A87" s="6">
        <v>0.86</v>
      </c>
      <c r="B87" s="7">
        <f t="shared" si="1"/>
        <v>0.58423881164285596</v>
      </c>
    </row>
    <row r="88" spans="1:2" x14ac:dyDescent="0.3">
      <c r="A88" s="6">
        <v>0.87</v>
      </c>
      <c r="B88" s="7">
        <f t="shared" si="1"/>
        <v>0.55743818502798914</v>
      </c>
    </row>
    <row r="89" spans="1:2" x14ac:dyDescent="0.3">
      <c r="A89" s="6">
        <v>0.88</v>
      </c>
      <c r="B89" s="7">
        <f t="shared" si="1"/>
        <v>0.52936086528736437</v>
      </c>
    </row>
    <row r="90" spans="1:2" x14ac:dyDescent="0.3">
      <c r="A90" s="6">
        <v>0.89</v>
      </c>
      <c r="B90" s="7">
        <f t="shared" si="1"/>
        <v>0.499915958164528</v>
      </c>
    </row>
    <row r="91" spans="1:2" x14ac:dyDescent="0.3">
      <c r="A91" s="6">
        <v>0.9</v>
      </c>
      <c r="B91" s="7">
        <f t="shared" si="1"/>
        <v>0.46899559358928117</v>
      </c>
    </row>
    <row r="92" spans="1:2" x14ac:dyDescent="0.3">
      <c r="A92" s="6">
        <v>0.91</v>
      </c>
      <c r="B92" s="7">
        <f t="shared" si="1"/>
        <v>0.43646981706410282</v>
      </c>
    </row>
    <row r="93" spans="1:2" x14ac:dyDescent="0.3">
      <c r="A93" s="6">
        <v>0.92</v>
      </c>
      <c r="B93" s="7">
        <f t="shared" si="1"/>
        <v>0.40217919020227277</v>
      </c>
    </row>
    <row r="94" spans="1:2" x14ac:dyDescent="0.3">
      <c r="A94" s="6">
        <v>0.93</v>
      </c>
      <c r="B94" s="7">
        <f t="shared" si="1"/>
        <v>0.36592365090022305</v>
      </c>
    </row>
    <row r="95" spans="1:2" x14ac:dyDescent="0.3">
      <c r="A95" s="6">
        <v>0.94</v>
      </c>
      <c r="B95" s="7">
        <f t="shared" si="1"/>
        <v>0.32744491915447643</v>
      </c>
    </row>
    <row r="96" spans="1:2" x14ac:dyDescent="0.3">
      <c r="A96" s="6">
        <v>0.95</v>
      </c>
      <c r="B96" s="7">
        <f t="shared" si="1"/>
        <v>0.28639695711595631</v>
      </c>
    </row>
    <row r="97" spans="1:2" x14ac:dyDescent="0.3">
      <c r="A97" s="6">
        <v>0.96</v>
      </c>
      <c r="B97" s="7">
        <f t="shared" si="1"/>
        <v>0.24229218908241493</v>
      </c>
    </row>
    <row r="98" spans="1:2" x14ac:dyDescent="0.3">
      <c r="A98" s="6">
        <v>0.97</v>
      </c>
      <c r="B98" s="7">
        <f t="shared" si="1"/>
        <v>0.19439185783157631</v>
      </c>
    </row>
    <row r="99" spans="1:2" x14ac:dyDescent="0.3">
      <c r="A99" s="6">
        <v>0.98</v>
      </c>
      <c r="B99" s="7">
        <f t="shared" si="1"/>
        <v>0.14144054254182076</v>
      </c>
    </row>
    <row r="100" spans="1:2" x14ac:dyDescent="0.3">
      <c r="A100" s="6">
        <v>0.99</v>
      </c>
      <c r="B100" s="7">
        <f t="shared" si="1"/>
        <v>8.0793135895911236E-2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5E22C-A018-4695-B039-A7F33F93744D}">
  <dimension ref="A1:F33"/>
  <sheetViews>
    <sheetView tabSelected="1" workbookViewId="0">
      <selection activeCell="F14" sqref="F14"/>
    </sheetView>
  </sheetViews>
  <sheetFormatPr defaultRowHeight="14.4" x14ac:dyDescent="0.3"/>
  <cols>
    <col min="1" max="2" width="19.5546875" customWidth="1"/>
    <col min="4" max="4" width="17.5546875" bestFit="1" customWidth="1"/>
    <col min="6" max="6" width="30.5546875" bestFit="1" customWidth="1"/>
  </cols>
  <sheetData>
    <row r="1" spans="1:6" ht="15" thickBot="1" x14ac:dyDescent="0.35">
      <c r="A1" s="3" t="s">
        <v>5</v>
      </c>
      <c r="B1" s="4" t="s">
        <v>34</v>
      </c>
      <c r="D1" s="9" t="s">
        <v>37</v>
      </c>
    </row>
    <row r="2" spans="1:6" x14ac:dyDescent="0.3">
      <c r="A2" s="2" t="s">
        <v>33</v>
      </c>
      <c r="B2" s="2">
        <v>0.17499999999999999</v>
      </c>
      <c r="D2" s="2">
        <f xml:space="preserve"> -(B2 * LOG(B2,2))</f>
        <v>0.44005030524520772</v>
      </c>
    </row>
    <row r="3" spans="1:6" x14ac:dyDescent="0.3">
      <c r="A3" s="1" t="s">
        <v>9</v>
      </c>
      <c r="B3" s="1">
        <v>0.09</v>
      </c>
      <c r="D3" s="2">
        <f t="shared" ref="D3:D33" si="0" xml:space="preserve"> -(B3 * LOG(B3,2))</f>
        <v>0.31265380694991712</v>
      </c>
    </row>
    <row r="4" spans="1:6" x14ac:dyDescent="0.3">
      <c r="A4" s="1" t="s">
        <v>13</v>
      </c>
      <c r="B4" s="1">
        <v>7.1999999999999995E-2</v>
      </c>
      <c r="D4" s="2">
        <f t="shared" si="0"/>
        <v>0.2733018683918238</v>
      </c>
    </row>
    <row r="5" spans="1:6" x14ac:dyDescent="0.3">
      <c r="A5" s="1" t="s">
        <v>3</v>
      </c>
      <c r="B5" s="1">
        <v>6.2E-2</v>
      </c>
      <c r="D5" s="2">
        <f t="shared" si="0"/>
        <v>0.24871845440506316</v>
      </c>
    </row>
    <row r="6" spans="1:6" x14ac:dyDescent="0.3">
      <c r="A6" s="1" t="s">
        <v>17</v>
      </c>
      <c r="B6" s="1">
        <v>6.2E-2</v>
      </c>
      <c r="D6" s="2">
        <f t="shared" si="0"/>
        <v>0.24871845440506316</v>
      </c>
    </row>
    <row r="7" spans="1:6" ht="15" thickBot="1" x14ac:dyDescent="0.35">
      <c r="A7" s="1" t="s">
        <v>21</v>
      </c>
      <c r="B7" s="1">
        <v>5.2999999999999999E-2</v>
      </c>
      <c r="D7" s="2">
        <f t="shared" si="0"/>
        <v>0.22460678299524106</v>
      </c>
    </row>
    <row r="8" spans="1:6" ht="15" thickBot="1" x14ac:dyDescent="0.35">
      <c r="A8" s="1" t="s">
        <v>25</v>
      </c>
      <c r="B8" s="1">
        <v>5.2999999999999999E-2</v>
      </c>
      <c r="D8" s="2">
        <f t="shared" si="0"/>
        <v>0.22460678299524106</v>
      </c>
      <c r="F8" s="14" t="s">
        <v>38</v>
      </c>
    </row>
    <row r="9" spans="1:6" ht="15" thickBot="1" x14ac:dyDescent="0.35">
      <c r="A9" s="1" t="s">
        <v>29</v>
      </c>
      <c r="B9" s="1">
        <v>4.4999999999999998E-2</v>
      </c>
      <c r="D9" s="2">
        <f t="shared" si="0"/>
        <v>0.20132690347495855</v>
      </c>
      <c r="F9" s="10">
        <f>SUM(D2:D33)</f>
        <v>4.3489707506933675</v>
      </c>
    </row>
    <row r="10" spans="1:6" x14ac:dyDescent="0.3">
      <c r="A10" s="1" t="s">
        <v>6</v>
      </c>
      <c r="B10" s="1">
        <v>0.04</v>
      </c>
      <c r="D10" s="2">
        <f t="shared" si="0"/>
        <v>0.18575424759098899</v>
      </c>
    </row>
    <row r="11" spans="1:6" x14ac:dyDescent="0.3">
      <c r="A11" s="1" t="s">
        <v>10</v>
      </c>
      <c r="B11" s="1">
        <v>3.7999999999999999E-2</v>
      </c>
      <c r="D11" s="2">
        <f t="shared" si="0"/>
        <v>0.17927855730630307</v>
      </c>
    </row>
    <row r="12" spans="1:6" x14ac:dyDescent="0.3">
      <c r="A12" s="1" t="s">
        <v>4</v>
      </c>
      <c r="B12" s="1">
        <v>3.5000000000000003E-2</v>
      </c>
      <c r="D12" s="2">
        <f t="shared" si="0"/>
        <v>0.16927754437009923</v>
      </c>
    </row>
    <row r="13" spans="1:6" x14ac:dyDescent="0.3">
      <c r="A13" s="1" t="s">
        <v>15</v>
      </c>
      <c r="B13" s="1">
        <v>2.8000000000000001E-2</v>
      </c>
      <c r="D13" s="2">
        <f t="shared" si="0"/>
        <v>0.14443602215292553</v>
      </c>
    </row>
    <row r="14" spans="1:6" x14ac:dyDescent="0.3">
      <c r="A14" s="1" t="s">
        <v>18</v>
      </c>
      <c r="B14" s="1">
        <v>2.5999999999999999E-2</v>
      </c>
      <c r="D14" s="2">
        <f t="shared" si="0"/>
        <v>0.13689895872954588</v>
      </c>
    </row>
    <row r="15" spans="1:6" x14ac:dyDescent="0.3">
      <c r="A15" s="1" t="s">
        <v>22</v>
      </c>
      <c r="B15" s="1">
        <v>2.5000000000000001E-2</v>
      </c>
      <c r="D15" s="2">
        <f t="shared" si="0"/>
        <v>0.13304820237218407</v>
      </c>
    </row>
    <row r="16" spans="1:6" x14ac:dyDescent="0.3">
      <c r="A16" s="1" t="s">
        <v>26</v>
      </c>
      <c r="B16" s="1">
        <v>2.3E-2</v>
      </c>
      <c r="D16" s="2">
        <f t="shared" si="0"/>
        <v>0.12517111355791671</v>
      </c>
    </row>
    <row r="17" spans="1:4" x14ac:dyDescent="0.3">
      <c r="A17" s="1" t="s">
        <v>30</v>
      </c>
      <c r="B17" s="1">
        <v>2.1000000000000001E-2</v>
      </c>
      <c r="D17" s="2">
        <f t="shared" si="0"/>
        <v>0.11704280409954985</v>
      </c>
    </row>
    <row r="18" spans="1:4" x14ac:dyDescent="0.3">
      <c r="A18" s="1" t="s">
        <v>7</v>
      </c>
      <c r="B18" s="1">
        <v>1.7999999999999999E-2</v>
      </c>
      <c r="D18" s="2">
        <f t="shared" si="0"/>
        <v>0.10432546709795594</v>
      </c>
    </row>
    <row r="19" spans="1:4" x14ac:dyDescent="0.3">
      <c r="A19" s="1" t="s">
        <v>11</v>
      </c>
      <c r="B19" s="1">
        <v>1.6E-2</v>
      </c>
      <c r="D19" s="2">
        <f t="shared" si="0"/>
        <v>9.5452548554593411E-2</v>
      </c>
    </row>
    <row r="20" spans="1:4" x14ac:dyDescent="0.3">
      <c r="A20" s="1" t="s">
        <v>0</v>
      </c>
      <c r="B20" s="1">
        <v>1.6E-2</v>
      </c>
      <c r="D20" s="2">
        <f t="shared" si="0"/>
        <v>9.5452548554593411E-2</v>
      </c>
    </row>
    <row r="21" spans="1:4" x14ac:dyDescent="0.3">
      <c r="A21" s="1" t="s">
        <v>35</v>
      </c>
      <c r="B21" s="1">
        <v>1.4E-2</v>
      </c>
      <c r="D21" s="2">
        <f t="shared" si="0"/>
        <v>8.6218011076462778E-2</v>
      </c>
    </row>
    <row r="22" spans="1:4" x14ac:dyDescent="0.3">
      <c r="A22" s="1" t="s">
        <v>19</v>
      </c>
      <c r="B22" s="1">
        <v>1.4E-2</v>
      </c>
      <c r="D22" s="2">
        <f t="shared" si="0"/>
        <v>8.6218011076462778E-2</v>
      </c>
    </row>
    <row r="23" spans="1:4" x14ac:dyDescent="0.3">
      <c r="A23" s="1" t="s">
        <v>23</v>
      </c>
      <c r="B23" s="1">
        <v>1.2999999999999999E-2</v>
      </c>
      <c r="D23" s="2">
        <f t="shared" si="0"/>
        <v>8.1449479364772939E-2</v>
      </c>
    </row>
    <row r="24" spans="1:4" x14ac:dyDescent="0.3">
      <c r="A24" s="1" t="s">
        <v>27</v>
      </c>
      <c r="B24" s="1">
        <v>1.2E-2</v>
      </c>
      <c r="D24" s="2">
        <f t="shared" si="0"/>
        <v>7.6569861407291176E-2</v>
      </c>
    </row>
    <row r="25" spans="1:4" x14ac:dyDescent="0.3">
      <c r="A25" s="1" t="s">
        <v>31</v>
      </c>
      <c r="B25" s="1">
        <v>0.01</v>
      </c>
      <c r="D25" s="2">
        <f t="shared" si="0"/>
        <v>6.6438561897747245E-2</v>
      </c>
    </row>
    <row r="26" spans="1:4" x14ac:dyDescent="0.3">
      <c r="A26" s="1" t="s">
        <v>8</v>
      </c>
      <c r="B26" s="1">
        <v>8.9999999999999993E-3</v>
      </c>
      <c r="D26" s="2">
        <f t="shared" si="0"/>
        <v>6.1162733548977971E-2</v>
      </c>
    </row>
    <row r="27" spans="1:4" x14ac:dyDescent="0.3">
      <c r="A27" s="1" t="s">
        <v>12</v>
      </c>
      <c r="B27" s="1">
        <v>7.0000000000000001E-3</v>
      </c>
      <c r="D27" s="2">
        <f t="shared" si="0"/>
        <v>5.0109005538231374E-2</v>
      </c>
    </row>
    <row r="28" spans="1:4" x14ac:dyDescent="0.3">
      <c r="A28" s="1" t="s">
        <v>14</v>
      </c>
      <c r="B28" s="1">
        <v>6.0000000000000001E-3</v>
      </c>
      <c r="D28" s="2">
        <f t="shared" si="0"/>
        <v>4.4284930703645593E-2</v>
      </c>
    </row>
    <row r="29" spans="1:4" x14ac:dyDescent="0.3">
      <c r="A29" s="1" t="s">
        <v>16</v>
      </c>
      <c r="B29" s="1">
        <v>6.0000000000000001E-3</v>
      </c>
      <c r="D29" s="2">
        <f t="shared" si="0"/>
        <v>4.4284930703645593E-2</v>
      </c>
    </row>
    <row r="30" spans="1:4" x14ac:dyDescent="0.3">
      <c r="A30" s="1" t="s">
        <v>20</v>
      </c>
      <c r="B30" s="1">
        <v>4.0000000000000001E-3</v>
      </c>
      <c r="D30" s="2">
        <f t="shared" si="0"/>
        <v>3.1863137138648349E-2</v>
      </c>
    </row>
    <row r="31" spans="1:4" x14ac:dyDescent="0.3">
      <c r="A31" s="1" t="s">
        <v>24</v>
      </c>
      <c r="B31" s="1">
        <v>3.0000000000000001E-3</v>
      </c>
      <c r="D31" s="2">
        <f t="shared" si="0"/>
        <v>2.5142465351822792E-2</v>
      </c>
    </row>
    <row r="32" spans="1:4" x14ac:dyDescent="0.3">
      <c r="A32" s="1" t="s">
        <v>28</v>
      </c>
      <c r="B32" s="1">
        <v>3.0000000000000001E-3</v>
      </c>
      <c r="D32" s="2">
        <f t="shared" si="0"/>
        <v>2.5142465351822792E-2</v>
      </c>
    </row>
    <row r="33" spans="1:4" x14ac:dyDescent="0.3">
      <c r="A33" s="1" t="s">
        <v>32</v>
      </c>
      <c r="B33" s="1">
        <v>1E-3</v>
      </c>
      <c r="D33" s="2">
        <f t="shared" si="0"/>
        <v>9.9657842846620874E-3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Задание 1</vt:lpstr>
      <vt:lpstr>Задание 2</vt:lpstr>
      <vt:lpstr>Задание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Vladisalv</dc:creator>
  <cp:lastModifiedBy>Vlad G</cp:lastModifiedBy>
  <dcterms:created xsi:type="dcterms:W3CDTF">2015-06-05T18:19:34Z</dcterms:created>
  <dcterms:modified xsi:type="dcterms:W3CDTF">2026-02-23T07:26:08Z</dcterms:modified>
</cp:coreProperties>
</file>