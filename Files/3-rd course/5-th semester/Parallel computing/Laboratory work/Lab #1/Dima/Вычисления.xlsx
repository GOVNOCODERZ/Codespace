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uvidmi\Documents\Github\Codespace\Files\3-rd course\5-th semester\Parallel computing\Laboratory work\Lab #1\Dima\"/>
    </mc:Choice>
  </mc:AlternateContent>
  <xr:revisionPtr revIDLastSave="0" documentId="13_ncr:1_{B121DC1F-C3AE-4378-BAED-940CBCA52AD2}" xr6:coauthVersionLast="47" xr6:coauthVersionMax="47" xr10:uidLastSave="{00000000-0000-0000-0000-000000000000}"/>
  <bookViews>
    <workbookView xWindow="-108" yWindow="492" windowWidth="30936" windowHeight="16896" activeTab="2" xr2:uid="{00000000-000D-0000-FFFF-FFFF00000000}"/>
  </bookViews>
  <sheets>
    <sheet name="Лист2" sheetId="2" r:id="rId1"/>
    <sheet name="Лист3" sheetId="3" r:id="rId2"/>
    <sheet name="Лист4" sheetId="4" r:id="rId3"/>
  </sheets>
  <definedNames>
    <definedName name="_xlnm._FilterDatabase" localSheetId="0" hidden="1">Лист2!$A$1:$D$73</definedName>
    <definedName name="_xlnm._FilterDatabase" localSheetId="1" hidden="1">Лист3!$A$1:$D$73</definedName>
    <definedName name="_xlnm._FilterDatabase" localSheetId="2" hidden="1">Лист4!$A$1:$G$73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5" i="4" l="1"/>
  <c r="P6" i="4"/>
  <c r="P7" i="4"/>
  <c r="P8" i="4"/>
  <c r="P9" i="4"/>
  <c r="P10" i="4"/>
  <c r="P12" i="4"/>
  <c r="P11" i="4"/>
  <c r="P13" i="4"/>
  <c r="P16" i="4"/>
  <c r="P14" i="4"/>
  <c r="P15" i="4"/>
  <c r="Q16" i="4"/>
  <c r="R16" i="4"/>
  <c r="Q15" i="4"/>
  <c r="R15" i="4"/>
  <c r="Q14" i="4"/>
  <c r="R14" i="4"/>
  <c r="Q13" i="4"/>
  <c r="R13" i="4"/>
  <c r="Q12" i="4"/>
  <c r="R12" i="4"/>
  <c r="Q11" i="4"/>
  <c r="R11" i="4"/>
  <c r="Q10" i="4"/>
  <c r="R10" i="4"/>
  <c r="R9" i="4"/>
  <c r="Q9" i="4"/>
  <c r="Q8" i="4"/>
  <c r="R8" i="4"/>
  <c r="Q7" i="4"/>
  <c r="R7" i="4"/>
  <c r="K69" i="4"/>
  <c r="K64" i="4"/>
  <c r="K59" i="4"/>
  <c r="K51" i="4"/>
  <c r="K46" i="4"/>
  <c r="K41" i="4"/>
  <c r="K33" i="4"/>
  <c r="K28" i="4"/>
  <c r="K23" i="4"/>
  <c r="K5" i="4"/>
  <c r="Q5" i="4" s="1"/>
  <c r="K15" i="4"/>
  <c r="K10" i="4"/>
  <c r="Q6" i="4" s="1"/>
  <c r="J5" i="4"/>
  <c r="L69" i="4"/>
  <c r="J69" i="4"/>
  <c r="L64" i="4"/>
  <c r="J64" i="4"/>
  <c r="L59" i="4"/>
  <c r="J59" i="4"/>
  <c r="L51" i="4"/>
  <c r="L46" i="4"/>
  <c r="J51" i="4"/>
  <c r="J46" i="4"/>
  <c r="L41" i="4"/>
  <c r="J41" i="4"/>
  <c r="L33" i="4"/>
  <c r="L28" i="4"/>
  <c r="L23" i="4"/>
  <c r="L5" i="4"/>
  <c r="R5" i="4" s="1"/>
  <c r="J33" i="4"/>
  <c r="J28" i="4"/>
  <c r="J23" i="4"/>
  <c r="L15" i="4"/>
  <c r="L10" i="4"/>
  <c r="R6" i="4" s="1"/>
  <c r="J15" i="4"/>
  <c r="J10" i="4"/>
  <c r="G73" i="4"/>
  <c r="E73" i="4"/>
  <c r="F73" i="4" s="1"/>
  <c r="G68" i="4"/>
  <c r="E68" i="4"/>
  <c r="F68" i="4" s="1"/>
  <c r="G63" i="4"/>
  <c r="E63" i="4"/>
  <c r="F63" i="4" s="1"/>
  <c r="G58" i="4"/>
  <c r="E58" i="4"/>
  <c r="F58" i="4" s="1"/>
  <c r="G72" i="4"/>
  <c r="E72" i="4"/>
  <c r="F72" i="4" s="1"/>
  <c r="G67" i="4"/>
  <c r="E67" i="4"/>
  <c r="F67" i="4" s="1"/>
  <c r="G62" i="4"/>
  <c r="E62" i="4"/>
  <c r="F62" i="4" s="1"/>
  <c r="G57" i="4"/>
  <c r="E57" i="4"/>
  <c r="F57" i="4" s="1"/>
  <c r="G71" i="4"/>
  <c r="E71" i="4"/>
  <c r="F71" i="4" s="1"/>
  <c r="G66" i="4"/>
  <c r="E66" i="4"/>
  <c r="F66" i="4" s="1"/>
  <c r="G61" i="4"/>
  <c r="E61" i="4"/>
  <c r="F61" i="4" s="1"/>
  <c r="G70" i="4"/>
  <c r="E70" i="4"/>
  <c r="F70" i="4" s="1"/>
  <c r="G65" i="4"/>
  <c r="E65" i="4"/>
  <c r="F65" i="4" s="1"/>
  <c r="G60" i="4"/>
  <c r="E60" i="4"/>
  <c r="F60" i="4" s="1"/>
  <c r="G56" i="4"/>
  <c r="E56" i="4"/>
  <c r="F56" i="4" s="1"/>
  <c r="G69" i="4"/>
  <c r="E69" i="4"/>
  <c r="F69" i="4" s="1"/>
  <c r="G64" i="4"/>
  <c r="E64" i="4"/>
  <c r="F64" i="4" s="1"/>
  <c r="G59" i="4"/>
  <c r="E59" i="4"/>
  <c r="F59" i="4" s="1"/>
  <c r="G55" i="4"/>
  <c r="E55" i="4"/>
  <c r="F55" i="4" s="1"/>
  <c r="G50" i="4"/>
  <c r="E50" i="4"/>
  <c r="F50" i="4" s="1"/>
  <c r="G45" i="4"/>
  <c r="E45" i="4"/>
  <c r="F45" i="4" s="1"/>
  <c r="G40" i="4"/>
  <c r="E40" i="4"/>
  <c r="F40" i="4" s="1"/>
  <c r="G54" i="4"/>
  <c r="E54" i="4"/>
  <c r="F54" i="4" s="1"/>
  <c r="G49" i="4"/>
  <c r="E49" i="4"/>
  <c r="F49" i="4" s="1"/>
  <c r="G44" i="4"/>
  <c r="E44" i="4"/>
  <c r="F44" i="4" s="1"/>
  <c r="G39" i="4"/>
  <c r="E39" i="4"/>
  <c r="F39" i="4" s="1"/>
  <c r="G53" i="4"/>
  <c r="E53" i="4"/>
  <c r="F53" i="4" s="1"/>
  <c r="G48" i="4"/>
  <c r="E48" i="4"/>
  <c r="F48" i="4" s="1"/>
  <c r="G43" i="4"/>
  <c r="E43" i="4"/>
  <c r="F43" i="4" s="1"/>
  <c r="G52" i="4"/>
  <c r="E52" i="4"/>
  <c r="F52" i="4" s="1"/>
  <c r="G47" i="4"/>
  <c r="E47" i="4"/>
  <c r="F47" i="4" s="1"/>
  <c r="G42" i="4"/>
  <c r="E42" i="4"/>
  <c r="F42" i="4" s="1"/>
  <c r="G38" i="4"/>
  <c r="E38" i="4"/>
  <c r="F38" i="4" s="1"/>
  <c r="G51" i="4"/>
  <c r="E51" i="4"/>
  <c r="F51" i="4" s="1"/>
  <c r="G46" i="4"/>
  <c r="E46" i="4"/>
  <c r="F46" i="4" s="1"/>
  <c r="G41" i="4"/>
  <c r="E41" i="4"/>
  <c r="F41" i="4" s="1"/>
  <c r="G37" i="4"/>
  <c r="E37" i="4"/>
  <c r="F37" i="4" s="1"/>
  <c r="G32" i="4"/>
  <c r="E32" i="4"/>
  <c r="F32" i="4" s="1"/>
  <c r="G27" i="4"/>
  <c r="E27" i="4"/>
  <c r="F27" i="4" s="1"/>
  <c r="G22" i="4"/>
  <c r="E22" i="4"/>
  <c r="F22" i="4" s="1"/>
  <c r="G36" i="4"/>
  <c r="E36" i="4"/>
  <c r="F36" i="4" s="1"/>
  <c r="G31" i="4"/>
  <c r="E31" i="4"/>
  <c r="F31" i="4" s="1"/>
  <c r="G26" i="4"/>
  <c r="E26" i="4"/>
  <c r="F26" i="4" s="1"/>
  <c r="G21" i="4"/>
  <c r="E21" i="4"/>
  <c r="F21" i="4" s="1"/>
  <c r="G35" i="4"/>
  <c r="E35" i="4"/>
  <c r="F35" i="4" s="1"/>
  <c r="G30" i="4"/>
  <c r="E30" i="4"/>
  <c r="F30" i="4" s="1"/>
  <c r="G25" i="4"/>
  <c r="E25" i="4"/>
  <c r="F25" i="4" s="1"/>
  <c r="G34" i="4"/>
  <c r="E34" i="4"/>
  <c r="F34" i="4" s="1"/>
  <c r="G29" i="4"/>
  <c r="E29" i="4"/>
  <c r="F29" i="4" s="1"/>
  <c r="G24" i="4"/>
  <c r="E24" i="4"/>
  <c r="F24" i="4" s="1"/>
  <c r="G20" i="4"/>
  <c r="E20" i="4"/>
  <c r="F20" i="4" s="1"/>
  <c r="G33" i="4"/>
  <c r="E33" i="4"/>
  <c r="F33" i="4" s="1"/>
  <c r="G28" i="4"/>
  <c r="E28" i="4"/>
  <c r="F28" i="4" s="1"/>
  <c r="G23" i="4"/>
  <c r="E23" i="4"/>
  <c r="F23" i="4" s="1"/>
  <c r="G19" i="4"/>
  <c r="E19" i="4"/>
  <c r="F19" i="4" s="1"/>
  <c r="G14" i="4"/>
  <c r="E14" i="4"/>
  <c r="F14" i="4" s="1"/>
  <c r="G9" i="4"/>
  <c r="E9" i="4"/>
  <c r="F9" i="4" s="1"/>
  <c r="G4" i="4"/>
  <c r="E4" i="4"/>
  <c r="F4" i="4" s="1"/>
  <c r="G18" i="4"/>
  <c r="E18" i="4"/>
  <c r="F18" i="4" s="1"/>
  <c r="G13" i="4"/>
  <c r="E13" i="4"/>
  <c r="F13" i="4" s="1"/>
  <c r="G8" i="4"/>
  <c r="E8" i="4"/>
  <c r="F8" i="4" s="1"/>
  <c r="G3" i="4"/>
  <c r="E3" i="4"/>
  <c r="F3" i="4" s="1"/>
  <c r="G17" i="4"/>
  <c r="E17" i="4"/>
  <c r="F17" i="4" s="1"/>
  <c r="G12" i="4"/>
  <c r="E12" i="4"/>
  <c r="F12" i="4" s="1"/>
  <c r="G7" i="4"/>
  <c r="E7" i="4"/>
  <c r="F7" i="4" s="1"/>
  <c r="G16" i="4"/>
  <c r="E16" i="4"/>
  <c r="F16" i="4" s="1"/>
  <c r="G11" i="4"/>
  <c r="E11" i="4"/>
  <c r="F11" i="4" s="1"/>
  <c r="G6" i="4"/>
  <c r="E6" i="4"/>
  <c r="F6" i="4" s="1"/>
  <c r="G2" i="4"/>
  <c r="E2" i="4"/>
  <c r="F2" i="4" s="1"/>
  <c r="G15" i="4"/>
  <c r="E15" i="4"/>
  <c r="F15" i="4" s="1"/>
  <c r="G10" i="4"/>
  <c r="E10" i="4"/>
  <c r="F10" i="4" s="1"/>
  <c r="G5" i="4"/>
  <c r="E5" i="4"/>
  <c r="F5" i="4" s="1"/>
  <c r="E68" i="3"/>
  <c r="E69" i="3"/>
  <c r="E70" i="3"/>
  <c r="E71" i="3"/>
  <c r="E72" i="3"/>
  <c r="E73" i="3"/>
  <c r="E67" i="3"/>
  <c r="E61" i="3"/>
  <c r="E62" i="3"/>
  <c r="E63" i="3"/>
  <c r="E64" i="3"/>
  <c r="E65" i="3"/>
  <c r="E66" i="3"/>
  <c r="E60" i="3"/>
  <c r="E57" i="3"/>
  <c r="E58" i="3"/>
  <c r="E59" i="3"/>
  <c r="E56" i="3"/>
  <c r="E50" i="3"/>
  <c r="E51" i="3"/>
  <c r="E52" i="3"/>
  <c r="E53" i="3"/>
  <c r="E54" i="3"/>
  <c r="E55" i="3"/>
  <c r="E49" i="3"/>
  <c r="E43" i="3"/>
  <c r="E44" i="3"/>
  <c r="E45" i="3"/>
  <c r="E46" i="3"/>
  <c r="E47" i="3"/>
  <c r="E48" i="3"/>
  <c r="E42" i="3"/>
  <c r="E39" i="3"/>
  <c r="E40" i="3"/>
  <c r="E41" i="3"/>
  <c r="E38" i="3"/>
  <c r="F38" i="3" s="1"/>
  <c r="E19" i="3"/>
  <c r="E35" i="3"/>
  <c r="E36" i="3"/>
  <c r="E37" i="3"/>
  <c r="E32" i="3"/>
  <c r="E33" i="3"/>
  <c r="E34" i="3"/>
  <c r="E31" i="3"/>
  <c r="E25" i="3"/>
  <c r="E26" i="3"/>
  <c r="E27" i="3"/>
  <c r="E28" i="3"/>
  <c r="E29" i="3"/>
  <c r="E30" i="3"/>
  <c r="E24" i="3"/>
  <c r="E23" i="3"/>
  <c r="E22" i="3"/>
  <c r="E21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E20" i="3"/>
  <c r="E14" i="3"/>
  <c r="E15" i="3"/>
  <c r="E16" i="3"/>
  <c r="E17" i="3"/>
  <c r="F17" i="3" s="1"/>
  <c r="E18" i="3"/>
  <c r="F18" i="3" s="1"/>
  <c r="E13" i="3"/>
  <c r="E7" i="3"/>
  <c r="E8" i="3"/>
  <c r="E9" i="3"/>
  <c r="E10" i="3"/>
  <c r="E11" i="3"/>
  <c r="E12" i="3"/>
  <c r="E6" i="3"/>
  <c r="F6" i="3" s="1"/>
  <c r="E3" i="3"/>
  <c r="E4" i="3"/>
  <c r="E5" i="3"/>
  <c r="F7" i="3"/>
  <c r="F14" i="3"/>
  <c r="E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" i="3"/>
  <c r="F3" i="3"/>
  <c r="F4" i="3"/>
  <c r="F5" i="3"/>
  <c r="F8" i="3"/>
  <c r="F9" i="3"/>
  <c r="F10" i="3"/>
  <c r="F11" i="3"/>
  <c r="F12" i="3"/>
  <c r="F13" i="3"/>
  <c r="F15" i="3"/>
  <c r="F16" i="3"/>
  <c r="F19" i="3"/>
  <c r="F2" i="3"/>
</calcChain>
</file>

<file path=xl/sharedStrings.xml><?xml version="1.0" encoding="utf-8"?>
<sst xmlns="http://schemas.openxmlformats.org/spreadsheetml/2006/main" count="241" uniqueCount="22">
  <si>
    <t>Размер НД</t>
  </si>
  <si>
    <t>Функция</t>
  </si>
  <si>
    <t>Потоков</t>
  </si>
  <si>
    <t>Время(мс)</t>
  </si>
  <si>
    <t>Заполнение (посл.)</t>
  </si>
  <si>
    <t>Сложение (посл.)</t>
  </si>
  <si>
    <t>Сумма эл-тов (посл.)</t>
  </si>
  <si>
    <t>Заполнение (парал. FOR)</t>
  </si>
  <si>
    <t>Сложение (парал. FOR)</t>
  </si>
  <si>
    <t>Сложение (парал. Sections)</t>
  </si>
  <si>
    <t>Сумма эл-тов (редуктор)</t>
  </si>
  <si>
    <t>Сумма эл-тов (крит. секция)</t>
  </si>
  <si>
    <r>
      <t>S</t>
    </r>
    <r>
      <rPr>
        <sz val="8"/>
        <color theme="1"/>
        <rFont val="Arial"/>
        <family val="2"/>
      </rPr>
      <t>p</t>
    </r>
    <r>
      <rPr>
        <sz val="12"/>
        <color theme="1"/>
        <rFont val="Arial"/>
        <family val="2"/>
      </rPr>
      <t>(n)</t>
    </r>
  </si>
  <si>
    <r>
      <t>E</t>
    </r>
    <r>
      <rPr>
        <sz val="8"/>
        <color theme="1"/>
        <rFont val="Arial"/>
        <family val="2"/>
      </rPr>
      <t>p</t>
    </r>
    <r>
      <rPr>
        <sz val="12"/>
        <color theme="1"/>
        <rFont val="Arial"/>
        <family val="2"/>
      </rPr>
      <t xml:space="preserve">(n) </t>
    </r>
  </si>
  <si>
    <r>
      <t>C</t>
    </r>
    <r>
      <rPr>
        <sz val="8"/>
        <color theme="1"/>
        <rFont val="Arial"/>
        <family val="2"/>
      </rPr>
      <t>p</t>
    </r>
    <r>
      <rPr>
        <sz val="12"/>
        <color theme="1"/>
        <rFont val="Arial"/>
        <family val="2"/>
      </rPr>
      <t>(n)</t>
    </r>
  </si>
  <si>
    <t>Лучшая1</t>
  </si>
  <si>
    <t>Лучшая2</t>
  </si>
  <si>
    <t>Худшая</t>
  </si>
  <si>
    <t>Размер</t>
  </si>
  <si>
    <t>Лучшая1 Заполнение: FOR, Сложение: FOR, Сумма: Редуктор</t>
  </si>
  <si>
    <t>Лучшая2 Заполнение: FOR, Сложение: Sections, Сумма: Редуктор</t>
  </si>
  <si>
    <t>Худшая Заполнение: посл., Сложение: посл., Сумма: Крит.секция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</si>
</sst>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2" fillId="0" borderId="2" xfId="0" applyFont="1" applyBorder="1"/>
    <xf numFmtId="0" fontId="2" fillId="0" borderId="3" xfId="0" applyFont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1" fillId="0" borderId="4" xfId="0" applyFont="1" applyBorder="1"/>
    <xf numFmtId="0" fontId="1" fillId="0" borderId="0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0" fillId="0" borderId="0" xfId="0" applyFill="1" applyBorder="1"/>
    <xf numFmtId="0" fontId="0" fillId="0" borderId="7" xfId="0" applyFill="1" applyBorder="1"/>
    <xf numFmtId="0" fontId="1" fillId="0" borderId="1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291B6-2637-4614-9270-88ABCE8F4461}">
  <dimension ref="A1:D73"/>
  <sheetViews>
    <sheetView zoomScale="55" zoomScaleNormal="55" workbookViewId="0">
      <selection activeCell="F77" sqref="F77"/>
    </sheetView>
  </sheetViews>
  <sheetFormatPr defaultRowHeight="14.4" x14ac:dyDescent="0.3"/>
  <cols>
    <col min="1" max="1" width="10.33203125" customWidth="1"/>
    <col min="2" max="2" width="25.21875" bestFit="1" customWidth="1"/>
    <col min="3" max="3" width="8.21875" bestFit="1" customWidth="1"/>
    <col min="4" max="4" width="11" bestFit="1" customWidth="1"/>
  </cols>
  <sheetData>
    <row r="1" spans="1:4" x14ac:dyDescent="0.3">
      <c r="B1" t="s">
        <v>1</v>
      </c>
      <c r="C1" t="s">
        <v>2</v>
      </c>
      <c r="D1" t="s">
        <v>3</v>
      </c>
    </row>
    <row r="2" spans="1:4" x14ac:dyDescent="0.3">
      <c r="A2">
        <v>100000</v>
      </c>
      <c r="B2" t="s">
        <v>7</v>
      </c>
      <c r="C2">
        <v>2</v>
      </c>
      <c r="D2">
        <v>2.0125199999999999</v>
      </c>
    </row>
    <row r="3" spans="1:4" x14ac:dyDescent="0.3">
      <c r="A3">
        <v>100000</v>
      </c>
      <c r="B3" t="s">
        <v>7</v>
      </c>
      <c r="C3">
        <v>3</v>
      </c>
      <c r="D3">
        <v>1.375</v>
      </c>
    </row>
    <row r="4" spans="1:4" x14ac:dyDescent="0.3">
      <c r="A4">
        <v>100000</v>
      </c>
      <c r="B4" t="s">
        <v>7</v>
      </c>
      <c r="C4">
        <v>4</v>
      </c>
      <c r="D4">
        <v>1</v>
      </c>
    </row>
    <row r="5" spans="1:4" x14ac:dyDescent="0.3">
      <c r="A5">
        <v>100000</v>
      </c>
      <c r="B5" t="s">
        <v>4</v>
      </c>
      <c r="C5">
        <v>1</v>
      </c>
      <c r="D5">
        <v>3.9999799999999999</v>
      </c>
    </row>
    <row r="6" spans="1:4" x14ac:dyDescent="0.3">
      <c r="A6">
        <v>100000</v>
      </c>
      <c r="B6" t="s">
        <v>8</v>
      </c>
      <c r="C6">
        <v>2</v>
      </c>
      <c r="D6">
        <v>8.5624900000000004E-2</v>
      </c>
    </row>
    <row r="7" spans="1:4" x14ac:dyDescent="0.3">
      <c r="A7">
        <v>100000</v>
      </c>
      <c r="B7" t="s">
        <v>8</v>
      </c>
      <c r="C7">
        <v>3</v>
      </c>
      <c r="D7">
        <v>6.56249E-2</v>
      </c>
    </row>
    <row r="8" spans="1:4" x14ac:dyDescent="0.3">
      <c r="A8">
        <v>100000</v>
      </c>
      <c r="B8" t="s">
        <v>8</v>
      </c>
      <c r="C8">
        <v>4</v>
      </c>
      <c r="D8">
        <v>5.5833199999999999E-2</v>
      </c>
    </row>
    <row r="9" spans="1:4" x14ac:dyDescent="0.3">
      <c r="A9">
        <v>100000</v>
      </c>
      <c r="B9" t="s">
        <v>9</v>
      </c>
      <c r="C9">
        <v>2</v>
      </c>
      <c r="D9">
        <v>8.3749900000000002E-2</v>
      </c>
    </row>
    <row r="10" spans="1:4" x14ac:dyDescent="0.3">
      <c r="A10">
        <v>100000</v>
      </c>
      <c r="B10" t="s">
        <v>9</v>
      </c>
      <c r="C10">
        <v>3</v>
      </c>
      <c r="D10">
        <v>9.5625000000000002E-2</v>
      </c>
    </row>
    <row r="11" spans="1:4" x14ac:dyDescent="0.3">
      <c r="A11">
        <v>100000</v>
      </c>
      <c r="B11" t="s">
        <v>9</v>
      </c>
      <c r="C11">
        <v>4</v>
      </c>
      <c r="D11">
        <v>9.2708200000000004E-2</v>
      </c>
    </row>
    <row r="12" spans="1:4" x14ac:dyDescent="0.3">
      <c r="A12">
        <v>100000</v>
      </c>
      <c r="B12" t="s">
        <v>5</v>
      </c>
      <c r="C12">
        <v>1</v>
      </c>
      <c r="D12">
        <v>0.12812599999999999</v>
      </c>
    </row>
    <row r="13" spans="1:4" x14ac:dyDescent="0.3">
      <c r="A13">
        <v>100000</v>
      </c>
      <c r="B13" t="s">
        <v>11</v>
      </c>
      <c r="C13">
        <v>2</v>
      </c>
      <c r="D13">
        <v>0.99999099999999996</v>
      </c>
    </row>
    <row r="14" spans="1:4" x14ac:dyDescent="0.3">
      <c r="A14">
        <v>100000</v>
      </c>
      <c r="B14" t="s">
        <v>11</v>
      </c>
      <c r="C14">
        <v>3</v>
      </c>
      <c r="D14">
        <v>0.84164799999999995</v>
      </c>
    </row>
    <row r="15" spans="1:4" x14ac:dyDescent="0.3">
      <c r="A15">
        <v>100000</v>
      </c>
      <c r="B15" t="s">
        <v>11</v>
      </c>
      <c r="C15">
        <v>4</v>
      </c>
      <c r="D15">
        <v>0.84164700000000003</v>
      </c>
    </row>
    <row r="16" spans="1:4" x14ac:dyDescent="0.3">
      <c r="A16">
        <v>100000</v>
      </c>
      <c r="B16" t="s">
        <v>6</v>
      </c>
      <c r="C16">
        <v>1</v>
      </c>
      <c r="D16">
        <v>0.204152</v>
      </c>
    </row>
    <row r="17" spans="1:4" x14ac:dyDescent="0.3">
      <c r="A17">
        <v>100000</v>
      </c>
      <c r="B17" t="s">
        <v>10</v>
      </c>
      <c r="C17">
        <v>2</v>
      </c>
      <c r="D17">
        <v>7.0828199999999994E-2</v>
      </c>
    </row>
    <row r="18" spans="1:4" x14ac:dyDescent="0.3">
      <c r="A18">
        <v>100000</v>
      </c>
      <c r="B18" t="s">
        <v>10</v>
      </c>
      <c r="C18">
        <v>3</v>
      </c>
      <c r="D18">
        <v>2.0831800000000001E-2</v>
      </c>
    </row>
    <row r="19" spans="1:4" x14ac:dyDescent="0.3">
      <c r="A19">
        <v>100000</v>
      </c>
      <c r="B19" t="s">
        <v>10</v>
      </c>
      <c r="C19">
        <v>4</v>
      </c>
      <c r="D19">
        <v>4.16636E-3</v>
      </c>
    </row>
    <row r="20" spans="1:4" x14ac:dyDescent="0.3">
      <c r="A20">
        <v>170000</v>
      </c>
      <c r="B20" t="s">
        <v>7</v>
      </c>
      <c r="C20">
        <v>2</v>
      </c>
      <c r="D20">
        <v>3.5499900000000002</v>
      </c>
    </row>
    <row r="21" spans="1:4" x14ac:dyDescent="0.3">
      <c r="A21">
        <v>170000</v>
      </c>
      <c r="B21" t="s">
        <v>7</v>
      </c>
      <c r="C21">
        <v>3</v>
      </c>
      <c r="D21">
        <v>2.3791799999999999</v>
      </c>
    </row>
    <row r="22" spans="1:4" x14ac:dyDescent="0.3">
      <c r="A22">
        <v>170000</v>
      </c>
      <c r="B22" t="s">
        <v>7</v>
      </c>
      <c r="C22">
        <v>4</v>
      </c>
      <c r="D22">
        <v>1.9</v>
      </c>
    </row>
    <row r="23" spans="1:4" x14ac:dyDescent="0.3">
      <c r="A23">
        <v>170000</v>
      </c>
      <c r="B23" t="s">
        <v>4</v>
      </c>
      <c r="C23">
        <v>1</v>
      </c>
      <c r="D23">
        <v>6.66249</v>
      </c>
    </row>
    <row r="24" spans="1:4" x14ac:dyDescent="0.3">
      <c r="A24">
        <v>170000</v>
      </c>
      <c r="B24" t="s">
        <v>8</v>
      </c>
      <c r="C24">
        <v>2</v>
      </c>
      <c r="D24">
        <v>0.13000100000000001</v>
      </c>
    </row>
    <row r="25" spans="1:4" x14ac:dyDescent="0.3">
      <c r="A25">
        <v>170000</v>
      </c>
      <c r="B25" t="s">
        <v>8</v>
      </c>
      <c r="C25">
        <v>3</v>
      </c>
      <c r="D25">
        <v>9.8957900000000001E-2</v>
      </c>
    </row>
    <row r="26" spans="1:4" x14ac:dyDescent="0.3">
      <c r="A26">
        <v>170000</v>
      </c>
      <c r="B26" t="s">
        <v>8</v>
      </c>
      <c r="C26">
        <v>4</v>
      </c>
      <c r="D26">
        <v>8.6041500000000007E-2</v>
      </c>
    </row>
    <row r="27" spans="1:4" x14ac:dyDescent="0.3">
      <c r="A27">
        <v>170000</v>
      </c>
      <c r="B27" t="s">
        <v>9</v>
      </c>
      <c r="C27">
        <v>2</v>
      </c>
      <c r="D27">
        <v>0.13020899999999999</v>
      </c>
    </row>
    <row r="28" spans="1:4" x14ac:dyDescent="0.3">
      <c r="A28">
        <v>170000</v>
      </c>
      <c r="B28" t="s">
        <v>9</v>
      </c>
      <c r="C28">
        <v>3</v>
      </c>
      <c r="D28">
        <v>0.13958400000000001</v>
      </c>
    </row>
    <row r="29" spans="1:4" x14ac:dyDescent="0.3">
      <c r="A29">
        <v>170000</v>
      </c>
      <c r="B29" t="s">
        <v>9</v>
      </c>
      <c r="C29">
        <v>4</v>
      </c>
      <c r="D29">
        <v>0.14166699999999999</v>
      </c>
    </row>
    <row r="30" spans="1:4" x14ac:dyDescent="0.3">
      <c r="A30">
        <v>170000</v>
      </c>
      <c r="B30" t="s">
        <v>5</v>
      </c>
      <c r="C30">
        <v>1</v>
      </c>
      <c r="D30">
        <v>0.21104100000000001</v>
      </c>
    </row>
    <row r="31" spans="1:4" x14ac:dyDescent="0.3">
      <c r="A31">
        <v>170000</v>
      </c>
      <c r="B31" t="s">
        <v>11</v>
      </c>
      <c r="C31">
        <v>2</v>
      </c>
      <c r="D31">
        <v>1.6125</v>
      </c>
    </row>
    <row r="32" spans="1:4" x14ac:dyDescent="0.3">
      <c r="A32">
        <v>170000</v>
      </c>
      <c r="B32" t="s">
        <v>11</v>
      </c>
      <c r="C32">
        <v>3</v>
      </c>
      <c r="D32">
        <v>1.1583300000000001</v>
      </c>
    </row>
    <row r="33" spans="1:4" x14ac:dyDescent="0.3">
      <c r="A33">
        <v>170000</v>
      </c>
      <c r="B33" t="s">
        <v>11</v>
      </c>
      <c r="C33">
        <v>4</v>
      </c>
      <c r="D33">
        <v>1.24166</v>
      </c>
    </row>
    <row r="34" spans="1:4" x14ac:dyDescent="0.3">
      <c r="A34">
        <v>170000</v>
      </c>
      <c r="B34" t="s">
        <v>6</v>
      </c>
      <c r="C34">
        <v>1</v>
      </c>
      <c r="D34">
        <v>0.42914600000000003</v>
      </c>
    </row>
    <row r="35" spans="1:4" x14ac:dyDescent="0.3">
      <c r="A35">
        <v>170000</v>
      </c>
      <c r="B35" t="s">
        <v>10</v>
      </c>
      <c r="C35">
        <v>2</v>
      </c>
      <c r="D35">
        <v>0.18748600000000001</v>
      </c>
    </row>
    <row r="36" spans="1:4" x14ac:dyDescent="0.3">
      <c r="A36">
        <v>170000</v>
      </c>
      <c r="B36" t="s">
        <v>10</v>
      </c>
      <c r="C36">
        <v>3</v>
      </c>
      <c r="D36">
        <v>0.108325</v>
      </c>
    </row>
    <row r="37" spans="1:4" x14ac:dyDescent="0.3">
      <c r="A37">
        <v>170000</v>
      </c>
      <c r="B37" t="s">
        <v>10</v>
      </c>
      <c r="C37">
        <v>4</v>
      </c>
      <c r="D37">
        <v>6.2495500000000002E-2</v>
      </c>
    </row>
    <row r="38" spans="1:4" x14ac:dyDescent="0.3">
      <c r="A38">
        <v>240000</v>
      </c>
      <c r="B38" t="s">
        <v>7</v>
      </c>
      <c r="C38">
        <v>2</v>
      </c>
      <c r="D38">
        <v>5</v>
      </c>
    </row>
    <row r="39" spans="1:4" x14ac:dyDescent="0.3">
      <c r="A39">
        <v>240000</v>
      </c>
      <c r="B39" t="s">
        <v>7</v>
      </c>
      <c r="C39">
        <v>3</v>
      </c>
      <c r="D39">
        <v>3.3333300000000001</v>
      </c>
    </row>
    <row r="40" spans="1:4" x14ac:dyDescent="0.3">
      <c r="A40">
        <v>240000</v>
      </c>
      <c r="B40" t="s">
        <v>7</v>
      </c>
      <c r="C40">
        <v>4</v>
      </c>
      <c r="D40">
        <v>2.57918</v>
      </c>
    </row>
    <row r="41" spans="1:4" x14ac:dyDescent="0.3">
      <c r="A41">
        <v>240000</v>
      </c>
      <c r="B41" t="s">
        <v>4</v>
      </c>
      <c r="C41">
        <v>1</v>
      </c>
      <c r="D41">
        <v>9.36252</v>
      </c>
    </row>
    <row r="42" spans="1:4" x14ac:dyDescent="0.3">
      <c r="A42">
        <v>240000</v>
      </c>
      <c r="B42" t="s">
        <v>8</v>
      </c>
      <c r="C42">
        <v>2</v>
      </c>
      <c r="D42">
        <v>0.167291</v>
      </c>
    </row>
    <row r="43" spans="1:4" x14ac:dyDescent="0.3">
      <c r="A43">
        <v>240000</v>
      </c>
      <c r="B43" t="s">
        <v>8</v>
      </c>
      <c r="C43">
        <v>3</v>
      </c>
      <c r="D43">
        <v>0.123334</v>
      </c>
    </row>
    <row r="44" spans="1:4" x14ac:dyDescent="0.3">
      <c r="A44">
        <v>240000</v>
      </c>
      <c r="B44" t="s">
        <v>8</v>
      </c>
      <c r="C44">
        <v>4</v>
      </c>
      <c r="D44">
        <v>0.10229199999999999</v>
      </c>
    </row>
    <row r="45" spans="1:4" x14ac:dyDescent="0.3">
      <c r="A45">
        <v>240000</v>
      </c>
      <c r="B45" t="s">
        <v>9</v>
      </c>
      <c r="C45">
        <v>2</v>
      </c>
      <c r="D45">
        <v>0.17541599999999999</v>
      </c>
    </row>
    <row r="46" spans="1:4" x14ac:dyDescent="0.3">
      <c r="A46">
        <v>240000</v>
      </c>
      <c r="B46" t="s">
        <v>9</v>
      </c>
      <c r="C46">
        <v>3</v>
      </c>
      <c r="D46">
        <v>0.18812400000000001</v>
      </c>
    </row>
    <row r="47" spans="1:4" x14ac:dyDescent="0.3">
      <c r="A47">
        <v>240000</v>
      </c>
      <c r="B47" t="s">
        <v>9</v>
      </c>
      <c r="C47">
        <v>4</v>
      </c>
      <c r="D47">
        <v>0.19583200000000001</v>
      </c>
    </row>
    <row r="48" spans="1:4" x14ac:dyDescent="0.3">
      <c r="A48">
        <v>240000</v>
      </c>
      <c r="B48" t="s">
        <v>5</v>
      </c>
      <c r="C48">
        <v>1</v>
      </c>
      <c r="D48">
        <v>0.30000100000000002</v>
      </c>
    </row>
    <row r="49" spans="1:4" x14ac:dyDescent="0.3">
      <c r="A49">
        <v>240000</v>
      </c>
      <c r="B49" t="s">
        <v>11</v>
      </c>
      <c r="C49">
        <v>2</v>
      </c>
      <c r="D49">
        <v>2.22085</v>
      </c>
    </row>
    <row r="50" spans="1:4" x14ac:dyDescent="0.3">
      <c r="A50">
        <v>240000</v>
      </c>
      <c r="B50" t="s">
        <v>11</v>
      </c>
      <c r="C50">
        <v>3</v>
      </c>
      <c r="D50">
        <v>1.85833</v>
      </c>
    </row>
    <row r="51" spans="1:4" x14ac:dyDescent="0.3">
      <c r="A51">
        <v>240000</v>
      </c>
      <c r="B51" t="s">
        <v>11</v>
      </c>
      <c r="C51">
        <v>4</v>
      </c>
      <c r="D51">
        <v>1.9041600000000001</v>
      </c>
    </row>
    <row r="52" spans="1:4" x14ac:dyDescent="0.3">
      <c r="A52">
        <v>240000</v>
      </c>
      <c r="B52" t="s">
        <v>6</v>
      </c>
      <c r="C52">
        <v>1</v>
      </c>
      <c r="D52">
        <v>0.66247900000000004</v>
      </c>
    </row>
    <row r="53" spans="1:4" x14ac:dyDescent="0.3">
      <c r="A53">
        <v>240000</v>
      </c>
      <c r="B53" t="s">
        <v>10</v>
      </c>
      <c r="C53">
        <v>2</v>
      </c>
      <c r="D53">
        <v>0.299979</v>
      </c>
    </row>
    <row r="54" spans="1:4" x14ac:dyDescent="0.3">
      <c r="A54">
        <v>240000</v>
      </c>
      <c r="B54" t="s">
        <v>10</v>
      </c>
      <c r="C54">
        <v>3</v>
      </c>
      <c r="D54">
        <v>0.170821</v>
      </c>
    </row>
    <row r="55" spans="1:4" x14ac:dyDescent="0.3">
      <c r="A55">
        <v>240000</v>
      </c>
      <c r="B55" t="s">
        <v>10</v>
      </c>
      <c r="C55">
        <v>4</v>
      </c>
      <c r="D55">
        <v>0.116658</v>
      </c>
    </row>
    <row r="56" spans="1:4" x14ac:dyDescent="0.3">
      <c r="A56">
        <v>310000</v>
      </c>
      <c r="B56" t="s">
        <v>7</v>
      </c>
      <c r="C56">
        <v>2</v>
      </c>
      <c r="D56">
        <v>6.3416800000000002</v>
      </c>
    </row>
    <row r="57" spans="1:4" x14ac:dyDescent="0.3">
      <c r="A57">
        <v>310000</v>
      </c>
      <c r="B57" t="s">
        <v>7</v>
      </c>
      <c r="C57">
        <v>3</v>
      </c>
      <c r="D57">
        <v>4.1874900000000004</v>
      </c>
    </row>
    <row r="58" spans="1:4" x14ac:dyDescent="0.3">
      <c r="A58">
        <v>310000</v>
      </c>
      <c r="B58" t="s">
        <v>7</v>
      </c>
      <c r="C58">
        <v>4</v>
      </c>
      <c r="D58">
        <v>3.2625000000000002</v>
      </c>
    </row>
    <row r="59" spans="1:4" x14ac:dyDescent="0.3">
      <c r="A59">
        <v>310000</v>
      </c>
      <c r="B59" t="s">
        <v>4</v>
      </c>
      <c r="C59">
        <v>1</v>
      </c>
      <c r="D59">
        <v>12</v>
      </c>
    </row>
    <row r="60" spans="1:4" x14ac:dyDescent="0.3">
      <c r="A60">
        <v>310000</v>
      </c>
      <c r="B60" t="s">
        <v>8</v>
      </c>
      <c r="C60">
        <v>2</v>
      </c>
      <c r="D60">
        <v>0.21145800000000001</v>
      </c>
    </row>
    <row r="61" spans="1:4" x14ac:dyDescent="0.3">
      <c r="A61">
        <v>310000</v>
      </c>
      <c r="B61" t="s">
        <v>8</v>
      </c>
      <c r="C61">
        <v>3</v>
      </c>
      <c r="D61">
        <v>0.15229300000000001</v>
      </c>
    </row>
    <row r="62" spans="1:4" x14ac:dyDescent="0.3">
      <c r="A62">
        <v>310000</v>
      </c>
      <c r="B62" t="s">
        <v>8</v>
      </c>
      <c r="C62">
        <v>4</v>
      </c>
      <c r="D62">
        <v>0.13041700000000001</v>
      </c>
    </row>
    <row r="63" spans="1:4" x14ac:dyDescent="0.3">
      <c r="A63">
        <v>310000</v>
      </c>
      <c r="B63" t="s">
        <v>9</v>
      </c>
      <c r="C63">
        <v>2</v>
      </c>
      <c r="D63">
        <v>0.22145799999999999</v>
      </c>
    </row>
    <row r="64" spans="1:4" x14ac:dyDescent="0.3">
      <c r="A64">
        <v>310000</v>
      </c>
      <c r="B64" t="s">
        <v>9</v>
      </c>
      <c r="C64">
        <v>3</v>
      </c>
      <c r="D64">
        <v>0.24</v>
      </c>
    </row>
    <row r="65" spans="1:4" x14ac:dyDescent="0.3">
      <c r="A65">
        <v>310000</v>
      </c>
      <c r="B65" t="s">
        <v>9</v>
      </c>
      <c r="C65">
        <v>4</v>
      </c>
      <c r="D65">
        <v>0.24875</v>
      </c>
    </row>
    <row r="66" spans="1:4" x14ac:dyDescent="0.3">
      <c r="A66">
        <v>310000</v>
      </c>
      <c r="B66" t="s">
        <v>5</v>
      </c>
      <c r="C66">
        <v>1</v>
      </c>
      <c r="D66">
        <v>0.39604099999999998</v>
      </c>
    </row>
    <row r="67" spans="1:4" x14ac:dyDescent="0.3">
      <c r="A67">
        <v>310000</v>
      </c>
      <c r="B67" t="s">
        <v>11</v>
      </c>
      <c r="C67">
        <v>2</v>
      </c>
      <c r="D67">
        <v>2.9958300000000002</v>
      </c>
    </row>
    <row r="68" spans="1:4" x14ac:dyDescent="0.3">
      <c r="A68">
        <v>310000</v>
      </c>
      <c r="B68" t="s">
        <v>11</v>
      </c>
      <c r="C68">
        <v>3</v>
      </c>
      <c r="D68">
        <v>2.0708500000000001</v>
      </c>
    </row>
    <row r="69" spans="1:4" x14ac:dyDescent="0.3">
      <c r="A69">
        <v>310000</v>
      </c>
      <c r="B69" t="s">
        <v>11</v>
      </c>
      <c r="C69">
        <v>4</v>
      </c>
      <c r="D69">
        <v>2.1000200000000002</v>
      </c>
    </row>
    <row r="70" spans="1:4" x14ac:dyDescent="0.3">
      <c r="A70">
        <v>310000</v>
      </c>
      <c r="B70" t="s">
        <v>6</v>
      </c>
      <c r="C70">
        <v>1</v>
      </c>
      <c r="D70">
        <v>0.89997899999999997</v>
      </c>
    </row>
    <row r="71" spans="1:4" x14ac:dyDescent="0.3">
      <c r="A71">
        <v>310000</v>
      </c>
      <c r="B71" t="s">
        <v>10</v>
      </c>
      <c r="C71">
        <v>2</v>
      </c>
      <c r="D71">
        <v>0.40831299999999998</v>
      </c>
    </row>
    <row r="72" spans="1:4" x14ac:dyDescent="0.3">
      <c r="A72">
        <v>310000</v>
      </c>
      <c r="B72" t="s">
        <v>10</v>
      </c>
      <c r="C72">
        <v>3</v>
      </c>
      <c r="D72">
        <v>0.26248100000000002</v>
      </c>
    </row>
    <row r="73" spans="1:4" x14ac:dyDescent="0.3">
      <c r="A73">
        <v>310000</v>
      </c>
      <c r="B73" t="s">
        <v>10</v>
      </c>
      <c r="C73">
        <v>4</v>
      </c>
      <c r="D73">
        <v>0.19165299999999999</v>
      </c>
    </row>
  </sheetData>
  <autoFilter ref="A1:D73" xr:uid="{B21291B6-2637-4614-9270-88ABCE8F4461}">
    <sortState xmlns:xlrd2="http://schemas.microsoft.com/office/spreadsheetml/2017/richdata2" ref="A2:D73">
      <sortCondition ref="A1:A7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5E0FB-5EBA-4770-B1C3-E46B7C1B5EDC}">
  <dimension ref="A1:G73"/>
  <sheetViews>
    <sheetView topLeftCell="A32" zoomScaleNormal="100" workbookViewId="0">
      <selection sqref="A1:G73"/>
    </sheetView>
  </sheetViews>
  <sheetFormatPr defaultRowHeight="14.4" x14ac:dyDescent="0.3"/>
  <cols>
    <col min="1" max="1" width="10.21875" bestFit="1" customWidth="1"/>
    <col min="2" max="2" width="25.21875" bestFit="1" customWidth="1"/>
    <col min="3" max="3" width="10.44140625" bestFit="1" customWidth="1"/>
    <col min="4" max="4" width="12" bestFit="1" customWidth="1"/>
  </cols>
  <sheetData>
    <row r="1" spans="1:7" ht="15.6" x14ac:dyDescent="0.3">
      <c r="A1" s="2" t="s">
        <v>0</v>
      </c>
      <c r="B1" s="3" t="s">
        <v>1</v>
      </c>
      <c r="C1" s="3" t="s">
        <v>2</v>
      </c>
      <c r="D1" s="3" t="s">
        <v>3</v>
      </c>
      <c r="E1" s="4" t="s">
        <v>12</v>
      </c>
      <c r="F1" s="4" t="s">
        <v>13</v>
      </c>
      <c r="G1" s="5" t="s">
        <v>14</v>
      </c>
    </row>
    <row r="2" spans="1:7" x14ac:dyDescent="0.3">
      <c r="A2" s="6">
        <v>100000</v>
      </c>
      <c r="B2" s="7" t="s">
        <v>7</v>
      </c>
      <c r="C2" s="7">
        <v>2</v>
      </c>
      <c r="D2" s="7">
        <v>2.0000100000000001</v>
      </c>
      <c r="E2" s="7">
        <f>D$5/D2</f>
        <v>1.9999850000749995</v>
      </c>
      <c r="F2" s="7">
        <f>E2/C2</f>
        <v>0.99999250003749973</v>
      </c>
      <c r="G2" s="8">
        <f>C2*D2</f>
        <v>4.0000200000000001</v>
      </c>
    </row>
    <row r="3" spans="1:7" x14ac:dyDescent="0.3">
      <c r="A3" s="6">
        <v>100000</v>
      </c>
      <c r="B3" s="7" t="s">
        <v>7</v>
      </c>
      <c r="C3" s="7">
        <v>3</v>
      </c>
      <c r="D3" s="7">
        <v>1.37917</v>
      </c>
      <c r="E3" s="7">
        <f t="shared" ref="E3:E19" si="0">D$5/D3</f>
        <v>2.9002878542891737</v>
      </c>
      <c r="F3" s="7">
        <f t="shared" ref="F3:F66" si="1">E3/C3</f>
        <v>0.96676261809639119</v>
      </c>
      <c r="G3" s="8">
        <f t="shared" ref="G3:G66" si="2">C3*D3</f>
        <v>4.1375099999999998</v>
      </c>
    </row>
    <row r="4" spans="1:7" x14ac:dyDescent="0.3">
      <c r="A4" s="6">
        <v>100000</v>
      </c>
      <c r="B4" s="7" t="s">
        <v>7</v>
      </c>
      <c r="C4" s="7">
        <v>4</v>
      </c>
      <c r="D4" s="7">
        <v>1.0000100000000001</v>
      </c>
      <c r="E4" s="7">
        <f t="shared" si="0"/>
        <v>3.9999500004999948</v>
      </c>
      <c r="F4" s="7">
        <f t="shared" si="1"/>
        <v>0.99998750012499871</v>
      </c>
      <c r="G4" s="8">
        <f t="shared" si="2"/>
        <v>4.0000400000000003</v>
      </c>
    </row>
    <row r="5" spans="1:7" x14ac:dyDescent="0.3">
      <c r="A5" s="9">
        <v>100000</v>
      </c>
      <c r="B5" s="10" t="s">
        <v>4</v>
      </c>
      <c r="C5" s="10">
        <v>1</v>
      </c>
      <c r="D5" s="10">
        <v>3.9999899999999999</v>
      </c>
      <c r="E5" s="7">
        <f t="shared" si="0"/>
        <v>1</v>
      </c>
      <c r="F5" s="7">
        <f t="shared" si="1"/>
        <v>1</v>
      </c>
      <c r="G5" s="8">
        <f t="shared" si="2"/>
        <v>3.9999899999999999</v>
      </c>
    </row>
    <row r="6" spans="1:7" x14ac:dyDescent="0.3">
      <c r="A6" s="6">
        <v>100000</v>
      </c>
      <c r="B6" s="7" t="s">
        <v>8</v>
      </c>
      <c r="C6" s="7">
        <v>2</v>
      </c>
      <c r="D6" s="7">
        <v>8.12499E-2</v>
      </c>
      <c r="E6" s="7">
        <f>D$12/D6</f>
        <v>1.5589803802835449</v>
      </c>
      <c r="F6" s="7">
        <f t="shared" si="1"/>
        <v>0.77949019014177245</v>
      </c>
      <c r="G6" s="8">
        <f t="shared" si="2"/>
        <v>0.1624998</v>
      </c>
    </row>
    <row r="7" spans="1:7" x14ac:dyDescent="0.3">
      <c r="A7" s="6">
        <v>100000</v>
      </c>
      <c r="B7" s="7" t="s">
        <v>8</v>
      </c>
      <c r="C7" s="7">
        <v>3</v>
      </c>
      <c r="D7" s="7">
        <v>6.1041499999999999E-2</v>
      </c>
      <c r="E7" s="7">
        <f t="shared" ref="E7:E12" si="3">D$12/D7</f>
        <v>2.0750964507752925</v>
      </c>
      <c r="F7" s="7">
        <f t="shared" si="1"/>
        <v>0.69169881692509749</v>
      </c>
      <c r="G7" s="8">
        <f t="shared" si="2"/>
        <v>0.1831245</v>
      </c>
    </row>
    <row r="8" spans="1:7" x14ac:dyDescent="0.3">
      <c r="A8" s="6">
        <v>100000</v>
      </c>
      <c r="B8" s="7" t="s">
        <v>8</v>
      </c>
      <c r="C8" s="7">
        <v>4</v>
      </c>
      <c r="D8" s="7">
        <v>5.1041999999999997E-2</v>
      </c>
      <c r="E8" s="7">
        <f t="shared" si="3"/>
        <v>2.4816229771560678</v>
      </c>
      <c r="F8" s="7">
        <f t="shared" si="1"/>
        <v>0.62040574428901696</v>
      </c>
      <c r="G8" s="8">
        <f t="shared" si="2"/>
        <v>0.20416799999999999</v>
      </c>
    </row>
    <row r="9" spans="1:7" x14ac:dyDescent="0.3">
      <c r="A9" s="6">
        <v>100000</v>
      </c>
      <c r="B9" s="7" t="s">
        <v>9</v>
      </c>
      <c r="C9" s="7">
        <v>2</v>
      </c>
      <c r="D9" s="7">
        <v>8.6249900000000004E-2</v>
      </c>
      <c r="E9" s="7">
        <f t="shared" si="3"/>
        <v>1.468604601280697</v>
      </c>
      <c r="F9" s="7">
        <f t="shared" si="1"/>
        <v>0.73430230064034852</v>
      </c>
      <c r="G9" s="8">
        <f t="shared" si="2"/>
        <v>0.17249980000000001</v>
      </c>
    </row>
    <row r="10" spans="1:7" x14ac:dyDescent="0.3">
      <c r="A10" s="6">
        <v>100000</v>
      </c>
      <c r="B10" s="7" t="s">
        <v>9</v>
      </c>
      <c r="C10" s="7">
        <v>3</v>
      </c>
      <c r="D10" s="7">
        <v>9.6250000000000002E-2</v>
      </c>
      <c r="E10" s="7">
        <f t="shared" si="3"/>
        <v>1.3160207792207792</v>
      </c>
      <c r="F10" s="7">
        <f t="shared" si="1"/>
        <v>0.43867359307359305</v>
      </c>
      <c r="G10" s="8">
        <f t="shared" si="2"/>
        <v>0.28875000000000001</v>
      </c>
    </row>
    <row r="11" spans="1:7" x14ac:dyDescent="0.3">
      <c r="A11" s="6">
        <v>100000</v>
      </c>
      <c r="B11" s="7" t="s">
        <v>9</v>
      </c>
      <c r="C11" s="7">
        <v>4</v>
      </c>
      <c r="D11" s="7">
        <v>9.3333299999999994E-2</v>
      </c>
      <c r="E11" s="7">
        <f t="shared" si="3"/>
        <v>1.3571469132667549</v>
      </c>
      <c r="F11" s="7">
        <f t="shared" si="1"/>
        <v>0.33928672831668871</v>
      </c>
      <c r="G11" s="8">
        <f t="shared" si="2"/>
        <v>0.37333319999999998</v>
      </c>
    </row>
    <row r="12" spans="1:7" x14ac:dyDescent="0.3">
      <c r="A12" s="9">
        <v>100000</v>
      </c>
      <c r="B12" s="10" t="s">
        <v>5</v>
      </c>
      <c r="C12" s="10">
        <v>1</v>
      </c>
      <c r="D12" s="10">
        <v>0.126667</v>
      </c>
      <c r="E12" s="7">
        <f t="shared" si="3"/>
        <v>1</v>
      </c>
      <c r="F12" s="7">
        <f t="shared" si="1"/>
        <v>1</v>
      </c>
      <c r="G12" s="8">
        <f t="shared" si="2"/>
        <v>0.126667</v>
      </c>
    </row>
    <row r="13" spans="1:7" x14ac:dyDescent="0.3">
      <c r="A13" s="6">
        <v>100000</v>
      </c>
      <c r="B13" s="7" t="s">
        <v>11</v>
      </c>
      <c r="C13" s="7">
        <v>2</v>
      </c>
      <c r="D13" s="7">
        <v>0.905833</v>
      </c>
      <c r="E13" s="7">
        <f>D$16/D13</f>
        <v>0.2863397557827988</v>
      </c>
      <c r="F13" s="7">
        <f t="shared" si="1"/>
        <v>0.1431698778913994</v>
      </c>
      <c r="G13" s="8">
        <f t="shared" si="2"/>
        <v>1.811666</v>
      </c>
    </row>
    <row r="14" spans="1:7" x14ac:dyDescent="0.3">
      <c r="A14" s="6">
        <v>100000</v>
      </c>
      <c r="B14" s="7" t="s">
        <v>11</v>
      </c>
      <c r="C14" s="7">
        <v>3</v>
      </c>
      <c r="D14" s="7">
        <v>0.70895799999999998</v>
      </c>
      <c r="E14" s="7">
        <f t="shared" ref="E14:E19" si="4">D$16/D14</f>
        <v>0.36585524107210865</v>
      </c>
      <c r="F14" s="7">
        <f t="shared" si="1"/>
        <v>0.12195174702403622</v>
      </c>
      <c r="G14" s="8">
        <f t="shared" si="2"/>
        <v>2.1268739999999999</v>
      </c>
    </row>
    <row r="15" spans="1:7" x14ac:dyDescent="0.3">
      <c r="A15" s="6">
        <v>100000</v>
      </c>
      <c r="B15" s="7" t="s">
        <v>11</v>
      </c>
      <c r="C15" s="7">
        <v>4</v>
      </c>
      <c r="D15" s="7">
        <v>0.76312599999999997</v>
      </c>
      <c r="E15" s="7">
        <f t="shared" si="4"/>
        <v>0.33988620489932203</v>
      </c>
      <c r="F15" s="7">
        <f t="shared" si="1"/>
        <v>8.4971551224830508E-2</v>
      </c>
      <c r="G15" s="8">
        <f t="shared" si="2"/>
        <v>3.0525039999999999</v>
      </c>
    </row>
    <row r="16" spans="1:7" x14ac:dyDescent="0.3">
      <c r="A16" s="9">
        <v>100000</v>
      </c>
      <c r="B16" s="10" t="s">
        <v>6</v>
      </c>
      <c r="C16" s="10">
        <v>1</v>
      </c>
      <c r="D16" s="10">
        <v>0.259376</v>
      </c>
      <c r="E16" s="7">
        <f t="shared" si="4"/>
        <v>1</v>
      </c>
      <c r="F16" s="7">
        <f t="shared" si="1"/>
        <v>1</v>
      </c>
      <c r="G16" s="8">
        <f t="shared" si="2"/>
        <v>0.259376</v>
      </c>
    </row>
    <row r="17" spans="1:7" x14ac:dyDescent="0.3">
      <c r="A17" s="6">
        <v>100000</v>
      </c>
      <c r="B17" s="7" t="s">
        <v>10</v>
      </c>
      <c r="C17" s="7">
        <v>2</v>
      </c>
      <c r="D17" s="7">
        <v>0.15020900000000001</v>
      </c>
      <c r="E17" s="7">
        <f t="shared" si="4"/>
        <v>1.7267673707966897</v>
      </c>
      <c r="F17" s="7">
        <f t="shared" si="1"/>
        <v>0.86338368539834487</v>
      </c>
      <c r="G17" s="8">
        <f t="shared" si="2"/>
        <v>0.30041800000000002</v>
      </c>
    </row>
    <row r="18" spans="1:7" x14ac:dyDescent="0.3">
      <c r="A18" s="6">
        <v>100000</v>
      </c>
      <c r="B18" s="7" t="s">
        <v>10</v>
      </c>
      <c r="C18" s="7">
        <v>3</v>
      </c>
      <c r="D18" s="7">
        <v>0.108126</v>
      </c>
      <c r="E18" s="7">
        <f t="shared" si="4"/>
        <v>2.3988309934705807</v>
      </c>
      <c r="F18" s="7">
        <f t="shared" si="1"/>
        <v>0.7996103311568602</v>
      </c>
      <c r="G18" s="8">
        <f t="shared" si="2"/>
        <v>0.324378</v>
      </c>
    </row>
    <row r="19" spans="1:7" x14ac:dyDescent="0.3">
      <c r="A19" s="11">
        <v>100000</v>
      </c>
      <c r="B19" s="12" t="s">
        <v>10</v>
      </c>
      <c r="C19" s="12">
        <v>4</v>
      </c>
      <c r="D19" s="12">
        <v>9.6041699999999994E-2</v>
      </c>
      <c r="E19" s="12">
        <f>D$16/D19</f>
        <v>2.7006602340441703</v>
      </c>
      <c r="F19" s="12">
        <f t="shared" si="1"/>
        <v>0.67516505851104258</v>
      </c>
      <c r="G19" s="13">
        <f t="shared" si="2"/>
        <v>0.38416679999999997</v>
      </c>
    </row>
    <row r="20" spans="1:7" x14ac:dyDescent="0.3">
      <c r="A20" s="2">
        <v>170000</v>
      </c>
      <c r="B20" s="3" t="s">
        <v>7</v>
      </c>
      <c r="C20" s="3">
        <v>2</v>
      </c>
      <c r="D20" s="3">
        <v>3.3749899999999999</v>
      </c>
      <c r="E20" s="3">
        <f>D$23/D20</f>
        <v>1.9913599743999242</v>
      </c>
      <c r="F20" s="3">
        <f t="shared" si="1"/>
        <v>0.99567998719996209</v>
      </c>
      <c r="G20" s="14">
        <f t="shared" si="2"/>
        <v>6.7499799999999999</v>
      </c>
    </row>
    <row r="21" spans="1:7" x14ac:dyDescent="0.3">
      <c r="A21" s="6">
        <v>170000</v>
      </c>
      <c r="B21" s="7" t="s">
        <v>7</v>
      </c>
      <c r="C21" s="7">
        <v>3</v>
      </c>
      <c r="D21" s="7">
        <v>2.2583500000000001</v>
      </c>
      <c r="E21" s="7">
        <f t="shared" ref="E21:E23" si="5">D$23/D21</f>
        <v>2.9759868930856599</v>
      </c>
      <c r="F21" s="7">
        <f t="shared" si="1"/>
        <v>0.99199563102855326</v>
      </c>
      <c r="G21" s="8">
        <f t="shared" si="2"/>
        <v>6.7750500000000002</v>
      </c>
    </row>
    <row r="22" spans="1:7" x14ac:dyDescent="0.3">
      <c r="A22" s="6">
        <v>170000</v>
      </c>
      <c r="B22" s="7" t="s">
        <v>7</v>
      </c>
      <c r="C22" s="7">
        <v>4</v>
      </c>
      <c r="D22" s="7">
        <v>1.8041700000000001</v>
      </c>
      <c r="E22" s="7">
        <f>D$23/D22</f>
        <v>3.725158937350693</v>
      </c>
      <c r="F22" s="7">
        <f t="shared" si="1"/>
        <v>0.93128973433767326</v>
      </c>
      <c r="G22" s="8">
        <f t="shared" si="2"/>
        <v>7.2166800000000002</v>
      </c>
    </row>
    <row r="23" spans="1:7" x14ac:dyDescent="0.3">
      <c r="A23" s="9">
        <v>170000</v>
      </c>
      <c r="B23" s="10" t="s">
        <v>4</v>
      </c>
      <c r="C23" s="10">
        <v>1</v>
      </c>
      <c r="D23" s="10">
        <v>6.7208199999999998</v>
      </c>
      <c r="E23" s="7">
        <f>D$23/D23</f>
        <v>1</v>
      </c>
      <c r="F23" s="7">
        <f t="shared" si="1"/>
        <v>1</v>
      </c>
      <c r="G23" s="8">
        <f t="shared" si="2"/>
        <v>6.7208199999999998</v>
      </c>
    </row>
    <row r="24" spans="1:7" x14ac:dyDescent="0.3">
      <c r="A24" s="6">
        <v>170000</v>
      </c>
      <c r="B24" s="7" t="s">
        <v>8</v>
      </c>
      <c r="C24" s="7">
        <v>2</v>
      </c>
      <c r="D24" s="7">
        <v>0.122292</v>
      </c>
      <c r="E24" s="15">
        <f>D$30/D24</f>
        <v>1.7325336080855658</v>
      </c>
      <c r="F24" s="7">
        <f t="shared" si="1"/>
        <v>0.86626680404278289</v>
      </c>
      <c r="G24" s="8">
        <f t="shared" si="2"/>
        <v>0.244584</v>
      </c>
    </row>
    <row r="25" spans="1:7" x14ac:dyDescent="0.3">
      <c r="A25" s="6">
        <v>170000</v>
      </c>
      <c r="B25" s="7" t="s">
        <v>8</v>
      </c>
      <c r="C25" s="7">
        <v>3</v>
      </c>
      <c r="D25" s="7">
        <v>9.7500100000000006E-2</v>
      </c>
      <c r="E25" s="15">
        <f t="shared" ref="E25:E30" si="6">D$30/D25</f>
        <v>2.1730746942823647</v>
      </c>
      <c r="F25" s="7">
        <f t="shared" si="1"/>
        <v>0.72435823142745492</v>
      </c>
      <c r="G25" s="8">
        <f t="shared" si="2"/>
        <v>0.29250030000000005</v>
      </c>
    </row>
    <row r="26" spans="1:7" x14ac:dyDescent="0.3">
      <c r="A26" s="6">
        <v>170000</v>
      </c>
      <c r="B26" s="7" t="s">
        <v>8</v>
      </c>
      <c r="C26" s="7">
        <v>4</v>
      </c>
      <c r="D26" s="7">
        <v>7.8958200000000006E-2</v>
      </c>
      <c r="E26" s="15">
        <f t="shared" si="6"/>
        <v>2.6833818400115503</v>
      </c>
      <c r="F26" s="7">
        <f t="shared" si="1"/>
        <v>0.67084546000288758</v>
      </c>
      <c r="G26" s="8">
        <f t="shared" si="2"/>
        <v>0.31583280000000002</v>
      </c>
    </row>
    <row r="27" spans="1:7" x14ac:dyDescent="0.3">
      <c r="A27" s="6">
        <v>170000</v>
      </c>
      <c r="B27" s="7" t="s">
        <v>9</v>
      </c>
      <c r="C27" s="7">
        <v>2</v>
      </c>
      <c r="D27" s="7">
        <v>0.13395899999999999</v>
      </c>
      <c r="E27" s="15">
        <f t="shared" si="6"/>
        <v>1.5816406512440375</v>
      </c>
      <c r="F27" s="7">
        <f t="shared" si="1"/>
        <v>0.79082032562201876</v>
      </c>
      <c r="G27" s="8">
        <f t="shared" si="2"/>
        <v>0.26791799999999999</v>
      </c>
    </row>
    <row r="28" spans="1:7" x14ac:dyDescent="0.3">
      <c r="A28" s="6">
        <v>170000</v>
      </c>
      <c r="B28" s="7" t="s">
        <v>9</v>
      </c>
      <c r="C28" s="7">
        <v>3</v>
      </c>
      <c r="D28" s="7">
        <v>0.140209</v>
      </c>
      <c r="E28" s="15">
        <f t="shared" si="6"/>
        <v>1.5111369455598429</v>
      </c>
      <c r="F28" s="7">
        <f t="shared" si="1"/>
        <v>0.5037123151866143</v>
      </c>
      <c r="G28" s="8">
        <f t="shared" si="2"/>
        <v>0.42062699999999997</v>
      </c>
    </row>
    <row r="29" spans="1:7" x14ac:dyDescent="0.3">
      <c r="A29" s="6">
        <v>170000</v>
      </c>
      <c r="B29" s="7" t="s">
        <v>9</v>
      </c>
      <c r="C29" s="7">
        <v>4</v>
      </c>
      <c r="D29" s="7">
        <v>0.14812500000000001</v>
      </c>
      <c r="E29" s="15">
        <f t="shared" si="6"/>
        <v>1.4303797468354431</v>
      </c>
      <c r="F29" s="7">
        <f t="shared" si="1"/>
        <v>0.35759493670886078</v>
      </c>
      <c r="G29" s="8">
        <f t="shared" si="2"/>
        <v>0.59250000000000003</v>
      </c>
    </row>
    <row r="30" spans="1:7" x14ac:dyDescent="0.3">
      <c r="A30" s="9">
        <v>170000</v>
      </c>
      <c r="B30" s="10" t="s">
        <v>5</v>
      </c>
      <c r="C30" s="10">
        <v>1</v>
      </c>
      <c r="D30" s="10">
        <v>0.21187500000000001</v>
      </c>
      <c r="E30" s="15">
        <f t="shared" si="6"/>
        <v>1</v>
      </c>
      <c r="F30" s="7">
        <f t="shared" si="1"/>
        <v>1</v>
      </c>
      <c r="G30" s="8">
        <f t="shared" si="2"/>
        <v>0.21187500000000001</v>
      </c>
    </row>
    <row r="31" spans="1:7" x14ac:dyDescent="0.3">
      <c r="A31" s="6">
        <v>170000</v>
      </c>
      <c r="B31" s="7" t="s">
        <v>11</v>
      </c>
      <c r="C31" s="7">
        <v>2</v>
      </c>
      <c r="D31" s="7">
        <v>1.54833</v>
      </c>
      <c r="E31" s="15">
        <f>D$34/D31</f>
        <v>0.2905007330478645</v>
      </c>
      <c r="F31" s="7">
        <f t="shared" si="1"/>
        <v>0.14525036652393225</v>
      </c>
      <c r="G31" s="8">
        <f t="shared" si="2"/>
        <v>3.09666</v>
      </c>
    </row>
    <row r="32" spans="1:7" x14ac:dyDescent="0.3">
      <c r="A32" s="6">
        <v>170000</v>
      </c>
      <c r="B32" s="7" t="s">
        <v>11</v>
      </c>
      <c r="C32" s="7">
        <v>3</v>
      </c>
      <c r="D32" s="7">
        <v>1.24292</v>
      </c>
      <c r="E32" s="15">
        <f t="shared" ref="E32:E37" si="7">D$34/D32</f>
        <v>0.36188250249412673</v>
      </c>
      <c r="F32" s="7">
        <f t="shared" si="1"/>
        <v>0.12062750083137558</v>
      </c>
      <c r="G32" s="8">
        <f t="shared" si="2"/>
        <v>3.7287600000000003</v>
      </c>
    </row>
    <row r="33" spans="1:7" x14ac:dyDescent="0.3">
      <c r="A33" s="6">
        <v>170000</v>
      </c>
      <c r="B33" s="7" t="s">
        <v>11</v>
      </c>
      <c r="C33" s="7">
        <v>4</v>
      </c>
      <c r="D33" s="7">
        <v>1.2477100000000001</v>
      </c>
      <c r="E33" s="15">
        <f t="shared" si="7"/>
        <v>0.36049322358560881</v>
      </c>
      <c r="F33" s="7">
        <f t="shared" si="1"/>
        <v>9.0123305896402203E-2</v>
      </c>
      <c r="G33" s="8">
        <f t="shared" si="2"/>
        <v>4.9908400000000004</v>
      </c>
    </row>
    <row r="34" spans="1:7" x14ac:dyDescent="0.3">
      <c r="A34" s="9">
        <v>170000</v>
      </c>
      <c r="B34" s="10" t="s">
        <v>6</v>
      </c>
      <c r="C34" s="10">
        <v>1</v>
      </c>
      <c r="D34" s="10">
        <v>0.449791</v>
      </c>
      <c r="E34" s="15">
        <f t="shared" si="7"/>
        <v>1</v>
      </c>
      <c r="F34" s="7">
        <f t="shared" si="1"/>
        <v>1</v>
      </c>
      <c r="G34" s="8">
        <f t="shared" si="2"/>
        <v>0.449791</v>
      </c>
    </row>
    <row r="35" spans="1:7" x14ac:dyDescent="0.3">
      <c r="A35" s="6">
        <v>170000</v>
      </c>
      <c r="B35" s="7" t="s">
        <v>10</v>
      </c>
      <c r="C35" s="7">
        <v>2</v>
      </c>
      <c r="D35" s="7">
        <v>0.24395800000000001</v>
      </c>
      <c r="E35" s="15">
        <f>D$34/D35</f>
        <v>1.8437230998778478</v>
      </c>
      <c r="F35" s="7">
        <f t="shared" si="1"/>
        <v>0.92186154993892389</v>
      </c>
      <c r="G35" s="8">
        <f t="shared" si="2"/>
        <v>0.48791600000000002</v>
      </c>
    </row>
    <row r="36" spans="1:7" x14ac:dyDescent="0.3">
      <c r="A36" s="6">
        <v>170000</v>
      </c>
      <c r="B36" s="7" t="s">
        <v>10</v>
      </c>
      <c r="C36" s="7">
        <v>3</v>
      </c>
      <c r="D36" s="7">
        <v>0.170208</v>
      </c>
      <c r="E36" s="15">
        <f t="shared" si="7"/>
        <v>2.6425961176912955</v>
      </c>
      <c r="F36" s="7">
        <f t="shared" si="1"/>
        <v>0.88086537256376518</v>
      </c>
      <c r="G36" s="8">
        <f t="shared" si="2"/>
        <v>0.51062399999999997</v>
      </c>
    </row>
    <row r="37" spans="1:7" x14ac:dyDescent="0.3">
      <c r="A37" s="11">
        <v>170000</v>
      </c>
      <c r="B37" s="12" t="s">
        <v>10</v>
      </c>
      <c r="C37" s="12">
        <v>4</v>
      </c>
      <c r="D37" s="12">
        <v>0.14541699999999999</v>
      </c>
      <c r="E37" s="16">
        <f t="shared" si="7"/>
        <v>3.0931115344148208</v>
      </c>
      <c r="F37" s="12">
        <f t="shared" si="1"/>
        <v>0.7732778836037052</v>
      </c>
      <c r="G37" s="13">
        <f t="shared" si="2"/>
        <v>0.58166799999999996</v>
      </c>
    </row>
    <row r="38" spans="1:7" x14ac:dyDescent="0.3">
      <c r="A38" s="2">
        <v>240000</v>
      </c>
      <c r="B38" s="3" t="s">
        <v>7</v>
      </c>
      <c r="C38" s="3">
        <v>2</v>
      </c>
      <c r="D38" s="3">
        <v>4.8374899999999998</v>
      </c>
      <c r="E38" s="3">
        <f>D$41/D38</f>
        <v>1.93196265005199</v>
      </c>
      <c r="F38" s="3">
        <f t="shared" si="1"/>
        <v>0.96598132502599499</v>
      </c>
      <c r="G38" s="14">
        <f t="shared" si="2"/>
        <v>9.6749799999999997</v>
      </c>
    </row>
    <row r="39" spans="1:7" x14ac:dyDescent="0.3">
      <c r="A39" s="6">
        <v>240000</v>
      </c>
      <c r="B39" s="7" t="s">
        <v>7</v>
      </c>
      <c r="C39" s="7">
        <v>3</v>
      </c>
      <c r="D39" s="7">
        <v>3.1291799999999999</v>
      </c>
      <c r="E39" s="7">
        <f t="shared" ref="E39:E41" si="8">D$41/D39</f>
        <v>2.9866770208169555</v>
      </c>
      <c r="F39" s="7">
        <f t="shared" si="1"/>
        <v>0.99555900693898514</v>
      </c>
      <c r="G39" s="8">
        <f t="shared" si="2"/>
        <v>9.3875399999999996</v>
      </c>
    </row>
    <row r="40" spans="1:7" x14ac:dyDescent="0.3">
      <c r="A40" s="6">
        <v>240000</v>
      </c>
      <c r="B40" s="7" t="s">
        <v>7</v>
      </c>
      <c r="C40" s="7">
        <v>4</v>
      </c>
      <c r="D40" s="7">
        <v>2.5291800000000002</v>
      </c>
      <c r="E40" s="7">
        <f t="shared" si="8"/>
        <v>3.6952095145462165</v>
      </c>
      <c r="F40" s="7">
        <f t="shared" si="1"/>
        <v>0.92380237863655412</v>
      </c>
      <c r="G40" s="8">
        <f t="shared" si="2"/>
        <v>10.116720000000001</v>
      </c>
    </row>
    <row r="41" spans="1:7" x14ac:dyDescent="0.3">
      <c r="A41" s="9">
        <v>240000</v>
      </c>
      <c r="B41" s="10" t="s">
        <v>4</v>
      </c>
      <c r="C41" s="10">
        <v>1</v>
      </c>
      <c r="D41" s="10">
        <v>9.3458500000000004</v>
      </c>
      <c r="E41" s="7">
        <f t="shared" si="8"/>
        <v>1</v>
      </c>
      <c r="F41" s="7">
        <f t="shared" si="1"/>
        <v>1</v>
      </c>
      <c r="G41" s="8">
        <f t="shared" si="2"/>
        <v>9.3458500000000004</v>
      </c>
    </row>
    <row r="42" spans="1:7" x14ac:dyDescent="0.3">
      <c r="A42" s="6">
        <v>240000</v>
      </c>
      <c r="B42" s="7" t="s">
        <v>8</v>
      </c>
      <c r="C42" s="7">
        <v>2</v>
      </c>
      <c r="D42" s="7">
        <v>0.169375</v>
      </c>
      <c r="E42" s="15">
        <f>D$48/D42</f>
        <v>1.7712236162361625</v>
      </c>
      <c r="F42" s="7">
        <f t="shared" si="1"/>
        <v>0.88561180811808127</v>
      </c>
      <c r="G42" s="8">
        <f t="shared" si="2"/>
        <v>0.33875</v>
      </c>
    </row>
    <row r="43" spans="1:7" x14ac:dyDescent="0.3">
      <c r="A43" s="6">
        <v>240000</v>
      </c>
      <c r="B43" s="7" t="s">
        <v>8</v>
      </c>
      <c r="C43" s="7">
        <v>3</v>
      </c>
      <c r="D43" s="7">
        <v>0.129167</v>
      </c>
      <c r="E43" s="15">
        <f t="shared" ref="E43:E48" si="9">D$48/D43</f>
        <v>2.3225823933357592</v>
      </c>
      <c r="F43" s="7">
        <f t="shared" si="1"/>
        <v>0.7741941311119197</v>
      </c>
      <c r="G43" s="8">
        <f t="shared" si="2"/>
        <v>0.38750099999999998</v>
      </c>
    </row>
    <row r="44" spans="1:7" x14ac:dyDescent="0.3">
      <c r="A44" s="6">
        <v>240000</v>
      </c>
      <c r="B44" s="7" t="s">
        <v>8</v>
      </c>
      <c r="C44" s="7">
        <v>4</v>
      </c>
      <c r="D44" s="7">
        <v>0.10000100000000001</v>
      </c>
      <c r="E44" s="15">
        <f t="shared" si="9"/>
        <v>2.9999800001999981</v>
      </c>
      <c r="F44" s="7">
        <f t="shared" si="1"/>
        <v>0.74999500004999953</v>
      </c>
      <c r="G44" s="8">
        <f t="shared" si="2"/>
        <v>0.40000400000000003</v>
      </c>
    </row>
    <row r="45" spans="1:7" x14ac:dyDescent="0.3">
      <c r="A45" s="6">
        <v>240000</v>
      </c>
      <c r="B45" s="7" t="s">
        <v>9</v>
      </c>
      <c r="C45" s="7">
        <v>2</v>
      </c>
      <c r="D45" s="7">
        <v>0.17937400000000001</v>
      </c>
      <c r="E45" s="15">
        <f t="shared" si="9"/>
        <v>1.6724887664878969</v>
      </c>
      <c r="F45" s="7">
        <f t="shared" si="1"/>
        <v>0.83624438324394845</v>
      </c>
      <c r="G45" s="8">
        <f t="shared" si="2"/>
        <v>0.35874800000000001</v>
      </c>
    </row>
    <row r="46" spans="1:7" x14ac:dyDescent="0.3">
      <c r="A46" s="6">
        <v>240000</v>
      </c>
      <c r="B46" s="7" t="s">
        <v>9</v>
      </c>
      <c r="C46" s="7">
        <v>3</v>
      </c>
      <c r="D46" s="7">
        <v>0.19999900000000001</v>
      </c>
      <c r="E46" s="15">
        <f t="shared" si="9"/>
        <v>1.5000125000625004</v>
      </c>
      <c r="F46" s="7">
        <f t="shared" si="1"/>
        <v>0.50000416668750014</v>
      </c>
      <c r="G46" s="8">
        <f t="shared" si="2"/>
        <v>0.599997</v>
      </c>
    </row>
    <row r="47" spans="1:7" x14ac:dyDescent="0.3">
      <c r="A47" s="6">
        <v>240000</v>
      </c>
      <c r="B47" s="7" t="s">
        <v>9</v>
      </c>
      <c r="C47" s="7">
        <v>4</v>
      </c>
      <c r="D47" s="7">
        <v>0.19999900000000001</v>
      </c>
      <c r="E47" s="15">
        <f t="shared" si="9"/>
        <v>1.5000125000625004</v>
      </c>
      <c r="F47" s="7">
        <f t="shared" si="1"/>
        <v>0.37500312501562511</v>
      </c>
      <c r="G47" s="8">
        <f t="shared" si="2"/>
        <v>0.79999600000000004</v>
      </c>
    </row>
    <row r="48" spans="1:7" x14ac:dyDescent="0.3">
      <c r="A48" s="9">
        <v>240000</v>
      </c>
      <c r="B48" s="10" t="s">
        <v>5</v>
      </c>
      <c r="C48" s="10">
        <v>1</v>
      </c>
      <c r="D48" s="10">
        <v>0.30000100000000002</v>
      </c>
      <c r="E48" s="15">
        <f t="shared" si="9"/>
        <v>1</v>
      </c>
      <c r="F48" s="7">
        <f t="shared" si="1"/>
        <v>1</v>
      </c>
      <c r="G48" s="8">
        <f t="shared" si="2"/>
        <v>0.30000100000000002</v>
      </c>
    </row>
    <row r="49" spans="1:7" x14ac:dyDescent="0.3">
      <c r="A49" s="6">
        <v>240000</v>
      </c>
      <c r="B49" s="7" t="s">
        <v>11</v>
      </c>
      <c r="C49" s="7">
        <v>2</v>
      </c>
      <c r="D49" s="7">
        <v>2.1716700000000002</v>
      </c>
      <c r="E49" s="15">
        <f>D$52/D49</f>
        <v>0.29173078782687972</v>
      </c>
      <c r="F49" s="7">
        <f t="shared" si="1"/>
        <v>0.14586539391343986</v>
      </c>
      <c r="G49" s="8">
        <f t="shared" si="2"/>
        <v>4.3433400000000004</v>
      </c>
    </row>
    <row r="50" spans="1:7" x14ac:dyDescent="0.3">
      <c r="A50" s="6">
        <v>240000</v>
      </c>
      <c r="B50" s="7" t="s">
        <v>11</v>
      </c>
      <c r="C50" s="7">
        <v>3</v>
      </c>
      <c r="D50" s="7">
        <v>1.61833</v>
      </c>
      <c r="E50" s="15">
        <f t="shared" ref="E50:E55" si="10">D$52/D50</f>
        <v>0.39147948811429062</v>
      </c>
      <c r="F50" s="7">
        <f t="shared" si="1"/>
        <v>0.13049316270476355</v>
      </c>
      <c r="G50" s="8">
        <f t="shared" si="2"/>
        <v>4.8549899999999999</v>
      </c>
    </row>
    <row r="51" spans="1:7" x14ac:dyDescent="0.3">
      <c r="A51" s="6">
        <v>240000</v>
      </c>
      <c r="B51" s="7" t="s">
        <v>11</v>
      </c>
      <c r="C51" s="7">
        <v>4</v>
      </c>
      <c r="D51" s="7">
        <v>1.66229</v>
      </c>
      <c r="E51" s="15">
        <f t="shared" si="10"/>
        <v>0.38112663855283974</v>
      </c>
      <c r="F51" s="7">
        <f t="shared" si="1"/>
        <v>9.5281659638209934E-2</v>
      </c>
      <c r="G51" s="8">
        <f t="shared" si="2"/>
        <v>6.6491600000000002</v>
      </c>
    </row>
    <row r="52" spans="1:7" x14ac:dyDescent="0.3">
      <c r="A52" s="9">
        <v>240000</v>
      </c>
      <c r="B52" s="10" t="s">
        <v>6</v>
      </c>
      <c r="C52" s="10">
        <v>1</v>
      </c>
      <c r="D52" s="10">
        <v>0.63354299999999997</v>
      </c>
      <c r="E52" s="15">
        <f t="shared" si="10"/>
        <v>1</v>
      </c>
      <c r="F52" s="7">
        <f t="shared" si="1"/>
        <v>1</v>
      </c>
      <c r="G52" s="8">
        <f t="shared" si="2"/>
        <v>0.63354299999999997</v>
      </c>
    </row>
    <row r="53" spans="1:7" x14ac:dyDescent="0.3">
      <c r="A53" s="6">
        <v>240000</v>
      </c>
      <c r="B53" s="7" t="s">
        <v>10</v>
      </c>
      <c r="C53" s="7">
        <v>2</v>
      </c>
      <c r="D53" s="7">
        <v>0.33562500000000001</v>
      </c>
      <c r="E53" s="15">
        <f t="shared" si="10"/>
        <v>1.8876513966480446</v>
      </c>
      <c r="F53" s="7">
        <f t="shared" si="1"/>
        <v>0.9438256983240223</v>
      </c>
      <c r="G53" s="8">
        <f t="shared" si="2"/>
        <v>0.67125000000000001</v>
      </c>
    </row>
    <row r="54" spans="1:7" x14ac:dyDescent="0.3">
      <c r="A54" s="6">
        <v>240000</v>
      </c>
      <c r="B54" s="7" t="s">
        <v>10</v>
      </c>
      <c r="C54" s="7">
        <v>3</v>
      </c>
      <c r="D54" s="7">
        <v>0.24124999999999999</v>
      </c>
      <c r="E54" s="15">
        <f t="shared" si="10"/>
        <v>2.6260849740932644</v>
      </c>
      <c r="F54" s="7">
        <f t="shared" si="1"/>
        <v>0.87536165803108812</v>
      </c>
      <c r="G54" s="8">
        <f t="shared" si="2"/>
        <v>0.72375</v>
      </c>
    </row>
    <row r="55" spans="1:7" x14ac:dyDescent="0.3">
      <c r="A55" s="11">
        <v>240000</v>
      </c>
      <c r="B55" s="12" t="s">
        <v>10</v>
      </c>
      <c r="C55" s="12">
        <v>4</v>
      </c>
      <c r="D55" s="12">
        <v>0.192916</v>
      </c>
      <c r="E55" s="16">
        <f t="shared" si="10"/>
        <v>3.2840355387837192</v>
      </c>
      <c r="F55" s="12">
        <f t="shared" si="1"/>
        <v>0.82100888469592981</v>
      </c>
      <c r="G55" s="13">
        <f t="shared" si="2"/>
        <v>0.77166400000000002</v>
      </c>
    </row>
    <row r="56" spans="1:7" x14ac:dyDescent="0.3">
      <c r="A56" s="2">
        <v>310000</v>
      </c>
      <c r="B56" s="3" t="s">
        <v>7</v>
      </c>
      <c r="C56" s="3">
        <v>2</v>
      </c>
      <c r="D56" s="3">
        <v>6.0666900000000004</v>
      </c>
      <c r="E56" s="3">
        <f>D$59/D56</f>
        <v>1.9780143702744</v>
      </c>
      <c r="F56" s="3">
        <f t="shared" si="1"/>
        <v>0.98900718513719998</v>
      </c>
      <c r="G56" s="14">
        <f t="shared" si="2"/>
        <v>12.133380000000001</v>
      </c>
    </row>
    <row r="57" spans="1:7" x14ac:dyDescent="0.3">
      <c r="A57" s="6">
        <v>310000</v>
      </c>
      <c r="B57" s="7" t="s">
        <v>7</v>
      </c>
      <c r="C57" s="7">
        <v>3</v>
      </c>
      <c r="D57" s="7">
        <v>4.0583299999999998</v>
      </c>
      <c r="E57" s="7">
        <f t="shared" ref="E57:E59" si="11">D$59/D57</f>
        <v>2.9568812787525904</v>
      </c>
      <c r="F57" s="7">
        <f t="shared" si="1"/>
        <v>0.98562709291753015</v>
      </c>
      <c r="G57" s="8">
        <f t="shared" si="2"/>
        <v>12.174989999999999</v>
      </c>
    </row>
    <row r="58" spans="1:7" x14ac:dyDescent="0.3">
      <c r="A58" s="6">
        <v>310000</v>
      </c>
      <c r="B58" s="7" t="s">
        <v>7</v>
      </c>
      <c r="C58" s="7">
        <v>4</v>
      </c>
      <c r="D58" s="7">
        <v>3.13334</v>
      </c>
      <c r="E58" s="7">
        <f t="shared" si="11"/>
        <v>3.8297790855764138</v>
      </c>
      <c r="F58" s="7">
        <f t="shared" si="1"/>
        <v>0.95744477139410344</v>
      </c>
      <c r="G58" s="8">
        <f t="shared" si="2"/>
        <v>12.53336</v>
      </c>
    </row>
    <row r="59" spans="1:7" x14ac:dyDescent="0.3">
      <c r="A59" s="9">
        <v>310000</v>
      </c>
      <c r="B59" s="10" t="s">
        <v>4</v>
      </c>
      <c r="C59" s="10">
        <v>1</v>
      </c>
      <c r="D59" s="10">
        <v>12</v>
      </c>
      <c r="E59" s="7">
        <f t="shared" si="11"/>
        <v>1</v>
      </c>
      <c r="F59" s="7">
        <f t="shared" si="1"/>
        <v>1</v>
      </c>
      <c r="G59" s="8">
        <f t="shared" si="2"/>
        <v>12</v>
      </c>
    </row>
    <row r="60" spans="1:7" x14ac:dyDescent="0.3">
      <c r="A60" s="6">
        <v>310000</v>
      </c>
      <c r="B60" s="7" t="s">
        <v>8</v>
      </c>
      <c r="C60" s="7">
        <v>2</v>
      </c>
      <c r="D60" s="7">
        <v>0.20666599999999999</v>
      </c>
      <c r="E60" s="15">
        <f>D$66/D60</f>
        <v>1.9012125845567245</v>
      </c>
      <c r="F60" s="7">
        <f t="shared" si="1"/>
        <v>0.95060629227836224</v>
      </c>
      <c r="G60" s="8">
        <f t="shared" si="2"/>
        <v>0.41333199999999998</v>
      </c>
    </row>
    <row r="61" spans="1:7" x14ac:dyDescent="0.3">
      <c r="A61" s="6">
        <v>310000</v>
      </c>
      <c r="B61" s="7" t="s">
        <v>8</v>
      </c>
      <c r="C61" s="7">
        <v>3</v>
      </c>
      <c r="D61" s="7">
        <v>0.152084</v>
      </c>
      <c r="E61" s="15">
        <f t="shared" ref="E61:E66" si="12">D$66/D61</f>
        <v>2.5835459351411063</v>
      </c>
      <c r="F61" s="7">
        <f t="shared" si="1"/>
        <v>0.86118197838036881</v>
      </c>
      <c r="G61" s="8">
        <f t="shared" si="2"/>
        <v>0.45625199999999999</v>
      </c>
    </row>
    <row r="62" spans="1:7" x14ac:dyDescent="0.3">
      <c r="A62" s="6">
        <v>310000</v>
      </c>
      <c r="B62" s="7" t="s">
        <v>8</v>
      </c>
      <c r="C62" s="7">
        <v>4</v>
      </c>
      <c r="D62" s="7">
        <v>0.12645899999999999</v>
      </c>
      <c r="E62" s="15">
        <f t="shared" si="12"/>
        <v>3.1070623680402347</v>
      </c>
      <c r="F62" s="7">
        <f t="shared" si="1"/>
        <v>0.77676559201005868</v>
      </c>
      <c r="G62" s="8">
        <f t="shared" si="2"/>
        <v>0.50583599999999995</v>
      </c>
    </row>
    <row r="63" spans="1:7" x14ac:dyDescent="0.3">
      <c r="A63" s="6">
        <v>310000</v>
      </c>
      <c r="B63" s="7" t="s">
        <v>9</v>
      </c>
      <c r="C63" s="7">
        <v>2</v>
      </c>
      <c r="D63" s="7">
        <v>0.224166</v>
      </c>
      <c r="E63" s="15">
        <f t="shared" si="12"/>
        <v>1.7527903428709082</v>
      </c>
      <c r="F63" s="7">
        <f t="shared" si="1"/>
        <v>0.87639517143545409</v>
      </c>
      <c r="G63" s="8">
        <f t="shared" si="2"/>
        <v>0.44833200000000001</v>
      </c>
    </row>
    <row r="64" spans="1:7" x14ac:dyDescent="0.3">
      <c r="A64" s="6">
        <v>310000</v>
      </c>
      <c r="B64" s="7" t="s">
        <v>9</v>
      </c>
      <c r="C64" s="7">
        <v>3</v>
      </c>
      <c r="D64" s="7">
        <v>0.24937500000000001</v>
      </c>
      <c r="E64" s="15">
        <f t="shared" si="12"/>
        <v>1.5756030075187968</v>
      </c>
      <c r="F64" s="7">
        <f t="shared" si="1"/>
        <v>0.52520100250626556</v>
      </c>
      <c r="G64" s="8">
        <f t="shared" si="2"/>
        <v>0.74812500000000004</v>
      </c>
    </row>
    <row r="65" spans="1:7" x14ac:dyDescent="0.3">
      <c r="A65" s="6">
        <v>310000</v>
      </c>
      <c r="B65" s="7" t="s">
        <v>9</v>
      </c>
      <c r="C65" s="7">
        <v>4</v>
      </c>
      <c r="D65" s="7">
        <v>0.252083</v>
      </c>
      <c r="E65" s="15">
        <f t="shared" si="12"/>
        <v>1.5586771023829453</v>
      </c>
      <c r="F65" s="7">
        <f t="shared" si="1"/>
        <v>0.38966927559573633</v>
      </c>
      <c r="G65" s="8">
        <f t="shared" si="2"/>
        <v>1.008332</v>
      </c>
    </row>
    <row r="66" spans="1:7" x14ac:dyDescent="0.3">
      <c r="A66" s="9">
        <v>310000</v>
      </c>
      <c r="B66" s="10" t="s">
        <v>5</v>
      </c>
      <c r="C66" s="10">
        <v>1</v>
      </c>
      <c r="D66" s="10">
        <v>0.39291599999999999</v>
      </c>
      <c r="E66" s="15">
        <f t="shared" si="12"/>
        <v>1</v>
      </c>
      <c r="F66" s="7">
        <f t="shared" si="1"/>
        <v>1</v>
      </c>
      <c r="G66" s="8">
        <f t="shared" si="2"/>
        <v>0.39291599999999999</v>
      </c>
    </row>
    <row r="67" spans="1:7" x14ac:dyDescent="0.3">
      <c r="A67" s="6">
        <v>310000</v>
      </c>
      <c r="B67" s="7" t="s">
        <v>11</v>
      </c>
      <c r="C67" s="7">
        <v>2</v>
      </c>
      <c r="D67" s="7">
        <v>2.8093699999999999</v>
      </c>
      <c r="E67" s="15">
        <f>D$70/D67</f>
        <v>0.28980411978486281</v>
      </c>
      <c r="F67" s="7">
        <f t="shared" ref="F67:F73" si="13">E67/C67</f>
        <v>0.14490205989243141</v>
      </c>
      <c r="G67" s="8">
        <f t="shared" ref="G67:G73" si="14">C67*D67</f>
        <v>5.6187399999999998</v>
      </c>
    </row>
    <row r="68" spans="1:7" x14ac:dyDescent="0.3">
      <c r="A68" s="6">
        <v>310000</v>
      </c>
      <c r="B68" s="7" t="s">
        <v>11</v>
      </c>
      <c r="C68" s="7">
        <v>3</v>
      </c>
      <c r="D68" s="7">
        <v>2.1566700000000001</v>
      </c>
      <c r="E68" s="15">
        <f t="shared" ref="E68:E73" si="15">D$70/D68</f>
        <v>0.37751116304302462</v>
      </c>
      <c r="F68" s="7">
        <f t="shared" si="13"/>
        <v>0.12583705434767486</v>
      </c>
      <c r="G68" s="8">
        <f t="shared" si="14"/>
        <v>6.4700100000000003</v>
      </c>
    </row>
    <row r="69" spans="1:7" x14ac:dyDescent="0.3">
      <c r="A69" s="6">
        <v>310000</v>
      </c>
      <c r="B69" s="7" t="s">
        <v>11</v>
      </c>
      <c r="C69" s="7">
        <v>4</v>
      </c>
      <c r="D69" s="7">
        <v>2.1772900000000002</v>
      </c>
      <c r="E69" s="15">
        <f t="shared" si="15"/>
        <v>0.37393594789853435</v>
      </c>
      <c r="F69" s="7">
        <f t="shared" si="13"/>
        <v>9.3483986974633587E-2</v>
      </c>
      <c r="G69" s="8">
        <f t="shared" si="14"/>
        <v>8.7091600000000007</v>
      </c>
    </row>
    <row r="70" spans="1:7" x14ac:dyDescent="0.3">
      <c r="A70" s="9">
        <v>310000</v>
      </c>
      <c r="B70" s="10" t="s">
        <v>6</v>
      </c>
      <c r="C70" s="10">
        <v>1</v>
      </c>
      <c r="D70" s="10">
        <v>0.81416699999999997</v>
      </c>
      <c r="E70" s="15">
        <f t="shared" si="15"/>
        <v>1</v>
      </c>
      <c r="F70" s="7">
        <f t="shared" si="13"/>
        <v>1</v>
      </c>
      <c r="G70" s="8">
        <f t="shared" si="14"/>
        <v>0.81416699999999997</v>
      </c>
    </row>
    <row r="71" spans="1:7" x14ac:dyDescent="0.3">
      <c r="A71" s="6">
        <v>310000</v>
      </c>
      <c r="B71" s="7" t="s">
        <v>10</v>
      </c>
      <c r="C71" s="7">
        <v>2</v>
      </c>
      <c r="D71" s="7">
        <v>0.43062499999999998</v>
      </c>
      <c r="E71" s="15">
        <f t="shared" si="15"/>
        <v>1.8906635703918724</v>
      </c>
      <c r="F71" s="7">
        <f t="shared" si="13"/>
        <v>0.94533178519593619</v>
      </c>
      <c r="G71" s="8">
        <f t="shared" si="14"/>
        <v>0.86124999999999996</v>
      </c>
    </row>
    <row r="72" spans="1:7" x14ac:dyDescent="0.3">
      <c r="A72" s="6">
        <v>310000</v>
      </c>
      <c r="B72" s="7" t="s">
        <v>10</v>
      </c>
      <c r="C72" s="7">
        <v>3</v>
      </c>
      <c r="D72" s="7">
        <v>0.3</v>
      </c>
      <c r="E72" s="15">
        <f t="shared" si="15"/>
        <v>2.7138900000000001</v>
      </c>
      <c r="F72" s="7">
        <f t="shared" si="13"/>
        <v>0.90463000000000005</v>
      </c>
      <c r="G72" s="8">
        <f t="shared" si="14"/>
        <v>0.89999999999999991</v>
      </c>
    </row>
    <row r="73" spans="1:7" x14ac:dyDescent="0.3">
      <c r="A73" s="11">
        <v>310000</v>
      </c>
      <c r="B73" s="12" t="s">
        <v>10</v>
      </c>
      <c r="C73" s="12">
        <v>4</v>
      </c>
      <c r="D73" s="12">
        <v>0.24562500000000001</v>
      </c>
      <c r="E73" s="16">
        <f t="shared" si="15"/>
        <v>3.3146748091603051</v>
      </c>
      <c r="F73" s="12">
        <f t="shared" si="13"/>
        <v>0.82866870229007628</v>
      </c>
      <c r="G73" s="13">
        <f t="shared" si="14"/>
        <v>0.98250000000000004</v>
      </c>
    </row>
  </sheetData>
  <autoFilter ref="A1:D73" xr:uid="{A145E0FB-5EBA-4770-B1C3-E46B7C1B5EDC}">
    <sortState xmlns:xlrd2="http://schemas.microsoft.com/office/spreadsheetml/2017/richdata2" ref="A2:D73">
      <sortCondition ref="A1:A7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2977-0A3F-4233-A743-97DBE114AC44}">
  <dimension ref="A1:S73"/>
  <sheetViews>
    <sheetView tabSelected="1" workbookViewId="0">
      <selection activeCell="P36" sqref="P36"/>
    </sheetView>
  </sheetViews>
  <sheetFormatPr defaultRowHeight="14.4" x14ac:dyDescent="0.3"/>
  <cols>
    <col min="1" max="1" width="12.44140625" bestFit="1" customWidth="1"/>
    <col min="2" max="2" width="25.21875" bestFit="1" customWidth="1"/>
    <col min="3" max="3" width="10.44140625" bestFit="1" customWidth="1"/>
    <col min="4" max="6" width="12" bestFit="1" customWidth="1"/>
    <col min="7" max="7" width="10" bestFit="1" customWidth="1"/>
    <col min="16" max="16" width="21.109375" customWidth="1"/>
    <col min="17" max="17" width="25.88671875" bestFit="1" customWidth="1"/>
    <col min="18" max="18" width="28.88671875" customWidth="1"/>
  </cols>
  <sheetData>
    <row r="1" spans="1:19" ht="15.6" x14ac:dyDescent="0.3">
      <c r="A1" s="2" t="s">
        <v>0</v>
      </c>
      <c r="B1" s="3" t="s">
        <v>1</v>
      </c>
      <c r="C1" s="3" t="s">
        <v>2</v>
      </c>
      <c r="D1" s="3" t="s">
        <v>3</v>
      </c>
      <c r="E1" s="4" t="s">
        <v>12</v>
      </c>
      <c r="F1" s="4" t="s">
        <v>13</v>
      </c>
      <c r="G1" s="5" t="s">
        <v>14</v>
      </c>
    </row>
    <row r="2" spans="1:19" x14ac:dyDescent="0.3">
      <c r="A2" s="9">
        <v>100000</v>
      </c>
      <c r="B2" s="10" t="s">
        <v>4</v>
      </c>
      <c r="C2" s="10">
        <v>1</v>
      </c>
      <c r="D2" s="10">
        <v>3.9999899999999999</v>
      </c>
      <c r="E2" s="7">
        <f>D$5/D2</f>
        <v>0.50000375000937503</v>
      </c>
      <c r="F2" s="7">
        <f>E2/C2</f>
        <v>0.50000375000937503</v>
      </c>
      <c r="G2" s="8">
        <f>C2*D2</f>
        <v>3.9999899999999999</v>
      </c>
    </row>
    <row r="3" spans="1:19" x14ac:dyDescent="0.3">
      <c r="A3" s="9">
        <v>100000</v>
      </c>
      <c r="B3" s="10" t="s">
        <v>5</v>
      </c>
      <c r="C3" s="10">
        <v>1</v>
      </c>
      <c r="D3" s="10">
        <v>0.126667</v>
      </c>
      <c r="E3" s="7">
        <f>D$12/D3</f>
        <v>0.75986642140415417</v>
      </c>
      <c r="F3" s="7">
        <f>E3/C3</f>
        <v>0.75986642140415417</v>
      </c>
      <c r="G3" s="8">
        <f>C3*D3</f>
        <v>0.126667</v>
      </c>
    </row>
    <row r="4" spans="1:19" ht="59.4" customHeight="1" x14ac:dyDescent="0.3">
      <c r="A4" s="9">
        <v>100000</v>
      </c>
      <c r="B4" s="10" t="s">
        <v>6</v>
      </c>
      <c r="C4" s="10">
        <v>1</v>
      </c>
      <c r="D4" s="10">
        <v>0.259376</v>
      </c>
      <c r="E4" s="7">
        <f>D$16/D4</f>
        <v>0.19678767503546973</v>
      </c>
      <c r="F4" s="7">
        <f>E4/C4</f>
        <v>0.19678767503546973</v>
      </c>
      <c r="G4" s="8">
        <f>C4*D4</f>
        <v>0.259376</v>
      </c>
      <c r="J4" t="s">
        <v>15</v>
      </c>
      <c r="K4" t="s">
        <v>16</v>
      </c>
      <c r="L4" t="s">
        <v>17</v>
      </c>
      <c r="N4" s="22" t="s">
        <v>18</v>
      </c>
      <c r="O4" s="23" t="s">
        <v>2</v>
      </c>
      <c r="P4" s="23" t="s">
        <v>19</v>
      </c>
      <c r="Q4" s="23" t="s">
        <v>20</v>
      </c>
      <c r="R4" s="24" t="s">
        <v>21</v>
      </c>
      <c r="S4" s="1"/>
    </row>
    <row r="5" spans="1:19" x14ac:dyDescent="0.3">
      <c r="A5" s="6">
        <v>100000</v>
      </c>
      <c r="B5" s="7" t="s">
        <v>7</v>
      </c>
      <c r="C5" s="7">
        <v>2</v>
      </c>
      <c r="D5" s="7">
        <v>2.0000100000000001</v>
      </c>
      <c r="E5" s="7">
        <f>D$5/D5</f>
        <v>1</v>
      </c>
      <c r="F5" s="7">
        <f>E5/C5</f>
        <v>0.5</v>
      </c>
      <c r="G5" s="8">
        <f>C5*D5</f>
        <v>4.0000200000000001</v>
      </c>
      <c r="J5">
        <f>MIN($D$2,$D5)+MIN($D$3,$D6,$D7)+MIN($D$4,$D8,$D9)</f>
        <v>2.2314688999999999</v>
      </c>
      <c r="K5">
        <f>MIN($D$2,$D5)+MIN($D$3,$D6,$D7)+MIN($D$4,$D8,$D9)
 +MIN(
   MAX($D$2,$D5)-MIN($D$2,$D5),
   ($D$3+$D6+$D7)-2*MIN($D$3,$D6,$D7)-MAX($D$3,$D6,$D7),
   ($D$4+$D8+$D9)-2*MIN($D$4,$D8,$D9)-MAX($D$4,$D8,$D9)
 )</f>
        <v>2.2364688999999998</v>
      </c>
      <c r="L5">
        <f>MAX($D$2,$D5)+MAX($D$3,$D6,$D7)+MAX($D$4,$D8,$D9)</f>
        <v>5.0324900000000001</v>
      </c>
      <c r="N5" s="19">
        <v>100000</v>
      </c>
      <c r="O5" s="3">
        <v>2</v>
      </c>
      <c r="P5" s="3">
        <f>J5</f>
        <v>2.2314688999999999</v>
      </c>
      <c r="Q5" s="3">
        <f>K5</f>
        <v>2.2364688999999998</v>
      </c>
      <c r="R5" s="14">
        <f>L5</f>
        <v>5.0324900000000001</v>
      </c>
    </row>
    <row r="6" spans="1:19" x14ac:dyDescent="0.3">
      <c r="A6" s="6">
        <v>100000</v>
      </c>
      <c r="B6" s="7" t="s">
        <v>8</v>
      </c>
      <c r="C6" s="7">
        <v>2</v>
      </c>
      <c r="D6" s="7">
        <v>8.12499E-2</v>
      </c>
      <c r="E6" s="7">
        <f>D$12/D6</f>
        <v>1.1846168426053447</v>
      </c>
      <c r="F6" s="7">
        <f>E6/C6</f>
        <v>0.59230842130267236</v>
      </c>
      <c r="G6" s="8">
        <f>C6*D6</f>
        <v>0.1624998</v>
      </c>
      <c r="N6" s="20"/>
      <c r="O6" s="7">
        <v>3</v>
      </c>
      <c r="P6" s="7">
        <f>J10</f>
        <v>1.5483374999999999</v>
      </c>
      <c r="Q6" s="7">
        <f>K10</f>
        <v>1.5835459999999999</v>
      </c>
      <c r="R6" s="8">
        <f>L10</f>
        <v>4.8356149999999998</v>
      </c>
    </row>
    <row r="7" spans="1:19" x14ac:dyDescent="0.3">
      <c r="A7" s="6">
        <v>100000</v>
      </c>
      <c r="B7" s="7" t="s">
        <v>9</v>
      </c>
      <c r="C7" s="7">
        <v>2</v>
      </c>
      <c r="D7" s="7">
        <v>8.6249900000000004E-2</v>
      </c>
      <c r="E7" s="7">
        <f>D$12/D7</f>
        <v>1.1159433228328381</v>
      </c>
      <c r="F7" s="7">
        <f>E7/C7</f>
        <v>0.55797166141641907</v>
      </c>
      <c r="G7" s="8">
        <f>C7*D7</f>
        <v>0.17249980000000001</v>
      </c>
      <c r="N7" s="21"/>
      <c r="O7" s="12">
        <v>4</v>
      </c>
      <c r="P7" s="12">
        <f>J15</f>
        <v>1.1470937000000001</v>
      </c>
      <c r="Q7" s="12">
        <f t="shared" ref="Q7:R7" si="0">K15</f>
        <v>1.1893850000000001</v>
      </c>
      <c r="R7" s="13">
        <f t="shared" si="0"/>
        <v>4.8897829999999995</v>
      </c>
    </row>
    <row r="8" spans="1:19" x14ac:dyDescent="0.3">
      <c r="A8" s="6">
        <v>100000</v>
      </c>
      <c r="B8" s="7" t="s">
        <v>11</v>
      </c>
      <c r="C8" s="7">
        <v>2</v>
      </c>
      <c r="D8" s="7">
        <v>0.905833</v>
      </c>
      <c r="E8" s="7">
        <f>D$16/D8</f>
        <v>5.6348134810721179E-2</v>
      </c>
      <c r="F8" s="7">
        <f>E8/C8</f>
        <v>2.8174067405360589E-2</v>
      </c>
      <c r="G8" s="8">
        <f>C8*D8</f>
        <v>1.811666</v>
      </c>
      <c r="N8" s="19">
        <v>170000</v>
      </c>
      <c r="O8" s="3">
        <v>2</v>
      </c>
      <c r="P8" s="3">
        <f>J23</f>
        <v>3.7412399999999999</v>
      </c>
      <c r="Q8" s="3">
        <f t="shared" ref="Q8:R8" si="1">K23</f>
        <v>3.752907</v>
      </c>
      <c r="R8" s="14">
        <f t="shared" si="1"/>
        <v>8.4810249999999989</v>
      </c>
    </row>
    <row r="9" spans="1:19" x14ac:dyDescent="0.3">
      <c r="A9" s="6">
        <v>100000</v>
      </c>
      <c r="B9" s="7" t="s">
        <v>10</v>
      </c>
      <c r="C9" s="7">
        <v>2</v>
      </c>
      <c r="D9" s="7">
        <v>0.15020900000000001</v>
      </c>
      <c r="E9" s="7">
        <f>D$16/D9</f>
        <v>0.33980653622619145</v>
      </c>
      <c r="F9" s="7">
        <f>E9/C9</f>
        <v>0.16990326811309572</v>
      </c>
      <c r="G9" s="8">
        <f>C9*D9</f>
        <v>0.30041800000000002</v>
      </c>
      <c r="N9" s="20"/>
      <c r="O9" s="7">
        <v>3</v>
      </c>
      <c r="P9" s="7">
        <f>J28</f>
        <v>2.5260581000000002</v>
      </c>
      <c r="Q9" s="7">
        <f>K28</f>
        <v>2.5687670000000002</v>
      </c>
      <c r="R9" s="8">
        <f>L28</f>
        <v>8.1756150000000005</v>
      </c>
    </row>
    <row r="10" spans="1:19" x14ac:dyDescent="0.3">
      <c r="A10" s="6">
        <v>100000</v>
      </c>
      <c r="B10" s="7" t="s">
        <v>7</v>
      </c>
      <c r="C10" s="7">
        <v>3</v>
      </c>
      <c r="D10" s="7">
        <v>1.37917</v>
      </c>
      <c r="E10" s="7">
        <f>D$5/D10</f>
        <v>1.4501548032512308</v>
      </c>
      <c r="F10" s="7">
        <f>E10/C10</f>
        <v>0.48338493441707692</v>
      </c>
      <c r="G10" s="8">
        <f>C10*D10</f>
        <v>4.1375099999999998</v>
      </c>
      <c r="J10">
        <f>MIN($D$2,$D10)+MIN($D$3,$D11,$D12)+MIN($D$4,$D13,$D14)</f>
        <v>1.5483374999999999</v>
      </c>
      <c r="K10">
        <f>MIN($D$2,$D10)+MIN($D$3,$D11,$D12)+MIN($D$4,$D13,$D14)
 +MIN(
   MAX($D$2,$D10)-MIN($D$2,$D10),
   ($D$3+$D11+$D12)-2*MIN($D$3,$D11,$D12)-MAX($D$3,$D11,$D12),
   ($D$4+$D13+$D14)-2*MIN($D$4,$D13,$D14)-MAX($D$4,$D13,$D14)
 )</f>
        <v>1.5835459999999999</v>
      </c>
      <c r="L10">
        <f>MAX($D$2,$D10)+MAX($D$3,$D11,$D12)+MAX($D$4,$D13,$D14)</f>
        <v>4.8356149999999998</v>
      </c>
      <c r="N10" s="21"/>
      <c r="O10" s="12">
        <v>4</v>
      </c>
      <c r="P10" s="12">
        <f>J33</f>
        <v>2.0285451999999999</v>
      </c>
      <c r="Q10" s="12">
        <f t="shared" ref="Q10:R10" si="2">K33</f>
        <v>2.097712</v>
      </c>
      <c r="R10" s="13">
        <f t="shared" si="2"/>
        <v>8.1804050000000004</v>
      </c>
    </row>
    <row r="11" spans="1:19" x14ac:dyDescent="0.3">
      <c r="A11" s="6">
        <v>100000</v>
      </c>
      <c r="B11" s="7" t="s">
        <v>8</v>
      </c>
      <c r="C11" s="7">
        <v>3</v>
      </c>
      <c r="D11" s="7">
        <v>6.1041499999999999E-2</v>
      </c>
      <c r="E11" s="7">
        <f>D$12/D11</f>
        <v>1.5767961141190829</v>
      </c>
      <c r="F11" s="7">
        <f>E11/C11</f>
        <v>0.52559870470636094</v>
      </c>
      <c r="G11" s="8">
        <f>C11*D11</f>
        <v>0.1831245</v>
      </c>
      <c r="N11" s="19">
        <v>240000</v>
      </c>
      <c r="O11" s="3">
        <v>2</v>
      </c>
      <c r="P11" s="3">
        <f>J41</f>
        <v>5.3424899999999997</v>
      </c>
      <c r="Q11" s="3">
        <f t="shared" ref="Q11:R11" si="3">K41</f>
        <v>5.3524889999999994</v>
      </c>
      <c r="R11" s="14">
        <f t="shared" si="3"/>
        <v>11.817521000000001</v>
      </c>
    </row>
    <row r="12" spans="1:19" x14ac:dyDescent="0.3">
      <c r="A12" s="6">
        <v>100000</v>
      </c>
      <c r="B12" s="7" t="s">
        <v>9</v>
      </c>
      <c r="C12" s="7">
        <v>3</v>
      </c>
      <c r="D12" s="7">
        <v>9.6250000000000002E-2</v>
      </c>
      <c r="E12" s="7">
        <f>D$12/D12</f>
        <v>1</v>
      </c>
      <c r="F12" s="7">
        <f>E12/C12</f>
        <v>0.33333333333333331</v>
      </c>
      <c r="G12" s="8">
        <f>C12*D12</f>
        <v>0.28875000000000001</v>
      </c>
      <c r="N12" s="20"/>
      <c r="O12" s="7">
        <v>3</v>
      </c>
      <c r="P12" s="7">
        <f>J46</f>
        <v>3.4995969999999996</v>
      </c>
      <c r="Q12" s="7">
        <f t="shared" ref="Q12:R12" si="4">K46</f>
        <v>3.5704289999999999</v>
      </c>
      <c r="R12" s="8">
        <f t="shared" si="4"/>
        <v>11.264181000000001</v>
      </c>
    </row>
    <row r="13" spans="1:19" x14ac:dyDescent="0.3">
      <c r="A13" s="6">
        <v>100000</v>
      </c>
      <c r="B13" s="7" t="s">
        <v>11</v>
      </c>
      <c r="C13" s="7">
        <v>3</v>
      </c>
      <c r="D13" s="7">
        <v>0.70895799999999998</v>
      </c>
      <c r="E13" s="7">
        <f>D$16/D13</f>
        <v>7.1995802290121563E-2</v>
      </c>
      <c r="F13" s="7">
        <f>E13/C13</f>
        <v>2.3998600763373856E-2</v>
      </c>
      <c r="G13" s="8">
        <f>C13*D13</f>
        <v>2.1268739999999999</v>
      </c>
      <c r="N13" s="21"/>
      <c r="O13" s="12">
        <v>4</v>
      </c>
      <c r="P13" s="12">
        <f>J51</f>
        <v>2.8220969999999999</v>
      </c>
      <c r="Q13" s="12">
        <f t="shared" ref="Q13:R13" si="5">K51</f>
        <v>2.9220949999999997</v>
      </c>
      <c r="R13" s="13">
        <f t="shared" si="5"/>
        <v>11.308141000000001</v>
      </c>
    </row>
    <row r="14" spans="1:19" x14ac:dyDescent="0.3">
      <c r="A14" s="6">
        <v>100000</v>
      </c>
      <c r="B14" s="7" t="s">
        <v>10</v>
      </c>
      <c r="C14" s="7">
        <v>3</v>
      </c>
      <c r="D14" s="7">
        <v>0.108126</v>
      </c>
      <c r="E14" s="7">
        <f>D$16/D14</f>
        <v>0.47206037400810164</v>
      </c>
      <c r="F14" s="7">
        <f>E14/C14</f>
        <v>0.15735345800270054</v>
      </c>
      <c r="G14" s="8">
        <f>C14*D14</f>
        <v>0.324378</v>
      </c>
      <c r="N14" s="19">
        <v>310000</v>
      </c>
      <c r="O14" s="3">
        <v>2</v>
      </c>
      <c r="P14" s="3">
        <f>J59</f>
        <v>6.7039810000000006</v>
      </c>
      <c r="Q14" s="3">
        <f t="shared" ref="Q14:R14" si="6">K59</f>
        <v>6.7214810000000007</v>
      </c>
      <c r="R14" s="14">
        <f t="shared" si="6"/>
        <v>15.202285999999999</v>
      </c>
    </row>
    <row r="15" spans="1:19" x14ac:dyDescent="0.3">
      <c r="A15" s="6">
        <v>100000</v>
      </c>
      <c r="B15" s="7" t="s">
        <v>7</v>
      </c>
      <c r="C15" s="7">
        <v>4</v>
      </c>
      <c r="D15" s="7">
        <v>1.0000100000000001</v>
      </c>
      <c r="E15" s="7">
        <f>D$5/D15</f>
        <v>1.9999900000999988</v>
      </c>
      <c r="F15" s="7">
        <f>E15/C15</f>
        <v>0.49999750002499971</v>
      </c>
      <c r="G15" s="8">
        <f>C15*D15</f>
        <v>4.0000400000000003</v>
      </c>
      <c r="J15">
        <f>MIN($D$2,$D15)+MIN($D$3,$D16,$D17)+MIN($D$4,$D18,$D19)</f>
        <v>1.1470937000000001</v>
      </c>
      <c r="K15">
        <f>MIN($D$2,$D15)+MIN($D$3,$D16,$D17)+MIN($D$4,$D18,$D19)
 +MIN(
   MAX($D$2,$D15)-MIN($D$2,$D15),
   ($D$3+$D16+$D17)-2*MIN($D$3,$D16,$D17)-MAX($D$3,$D16,$D17),
   ($D$4+$D18+$D19)-2*MIN($D$4,$D18,$D19)-MAX($D$4,$D18,$D19)
 )</f>
        <v>1.1893850000000001</v>
      </c>
      <c r="L15">
        <f>MAX($D$2,$D15)+MAX($D$3,$D16,$D17)+MAX($D$4,$D18,$D19)</f>
        <v>4.8897829999999995</v>
      </c>
      <c r="N15" s="20"/>
      <c r="O15" s="7">
        <v>3</v>
      </c>
      <c r="P15" s="7">
        <f>J64</f>
        <v>4.5104139999999999</v>
      </c>
      <c r="Q15" s="7">
        <f t="shared" ref="Q15:R15" si="7">K64</f>
        <v>4.6077050000000002</v>
      </c>
      <c r="R15" s="8">
        <f t="shared" si="7"/>
        <v>14.549586</v>
      </c>
    </row>
    <row r="16" spans="1:19" x14ac:dyDescent="0.3">
      <c r="A16" s="6">
        <v>100000</v>
      </c>
      <c r="B16" s="7" t="s">
        <v>8</v>
      </c>
      <c r="C16" s="7">
        <v>4</v>
      </c>
      <c r="D16" s="7">
        <v>5.1041999999999997E-2</v>
      </c>
      <c r="E16" s="7">
        <f>D$12/D16</f>
        <v>1.8857019709259044</v>
      </c>
      <c r="F16" s="7">
        <f>E16/C16</f>
        <v>0.4714254927314761</v>
      </c>
      <c r="G16" s="8">
        <f>C16*D16</f>
        <v>0.20416799999999999</v>
      </c>
      <c r="N16" s="21"/>
      <c r="O16" s="12">
        <v>4</v>
      </c>
      <c r="P16" s="12">
        <f>J69</f>
        <v>3.5054240000000001</v>
      </c>
      <c r="Q16" s="12">
        <f t="shared" ref="Q16:R16" si="8">K69</f>
        <v>3.6310480000000003</v>
      </c>
      <c r="R16" s="13">
        <f t="shared" si="8"/>
        <v>14.570205999999999</v>
      </c>
    </row>
    <row r="17" spans="1:12" x14ac:dyDescent="0.3">
      <c r="A17" s="6">
        <v>100000</v>
      </c>
      <c r="B17" s="7" t="s">
        <v>9</v>
      </c>
      <c r="C17" s="7">
        <v>4</v>
      </c>
      <c r="D17" s="7">
        <v>9.3333299999999994E-2</v>
      </c>
      <c r="E17" s="7">
        <f>D$12/D17</f>
        <v>1.0312503683037031</v>
      </c>
      <c r="F17" s="7">
        <f>E17/C17</f>
        <v>0.25781259207592577</v>
      </c>
      <c r="G17" s="8">
        <f>C17*D17</f>
        <v>0.37333319999999998</v>
      </c>
    </row>
    <row r="18" spans="1:12" x14ac:dyDescent="0.3">
      <c r="A18" s="6">
        <v>100000</v>
      </c>
      <c r="B18" s="7" t="s">
        <v>11</v>
      </c>
      <c r="C18" s="7">
        <v>4</v>
      </c>
      <c r="D18" s="7">
        <v>0.76312599999999997</v>
      </c>
      <c r="E18" s="7">
        <f>D$16/D18</f>
        <v>6.6885416038766854E-2</v>
      </c>
      <c r="F18" s="7">
        <f>E18/C18</f>
        <v>1.6721354009691713E-2</v>
      </c>
      <c r="G18" s="8">
        <f>C18*D18</f>
        <v>3.0525039999999999</v>
      </c>
    </row>
    <row r="19" spans="1:12" x14ac:dyDescent="0.3">
      <c r="A19" s="11">
        <v>100000</v>
      </c>
      <c r="B19" s="12" t="s">
        <v>10</v>
      </c>
      <c r="C19" s="12">
        <v>4</v>
      </c>
      <c r="D19" s="12">
        <v>9.6041699999999994E-2</v>
      </c>
      <c r="E19" s="12">
        <f>D$16/D19</f>
        <v>0.53145664851829988</v>
      </c>
      <c r="F19" s="12">
        <f>E19/C19</f>
        <v>0.13286416212957497</v>
      </c>
      <c r="G19" s="13">
        <f>C19*D19</f>
        <v>0.38416679999999997</v>
      </c>
    </row>
    <row r="20" spans="1:12" x14ac:dyDescent="0.3">
      <c r="A20" s="17">
        <v>170000</v>
      </c>
      <c r="B20" s="18" t="s">
        <v>4</v>
      </c>
      <c r="C20" s="18">
        <v>1</v>
      </c>
      <c r="D20" s="18">
        <v>6.7208199999999998</v>
      </c>
      <c r="E20" s="3">
        <f>D$23/D20</f>
        <v>0.50216937814135776</v>
      </c>
      <c r="F20" s="3">
        <f>E20/C20</f>
        <v>0.50216937814135776</v>
      </c>
      <c r="G20" s="14">
        <f>C20*D20</f>
        <v>6.7208199999999998</v>
      </c>
    </row>
    <row r="21" spans="1:12" x14ac:dyDescent="0.3">
      <c r="A21" s="9">
        <v>170000</v>
      </c>
      <c r="B21" s="10" t="s">
        <v>5</v>
      </c>
      <c r="C21" s="10">
        <v>1</v>
      </c>
      <c r="D21" s="10">
        <v>0.21187500000000001</v>
      </c>
      <c r="E21" s="15">
        <f>D$30/D21</f>
        <v>0.66175339233038344</v>
      </c>
      <c r="F21" s="7">
        <f>E21/C21</f>
        <v>0.66175339233038344</v>
      </c>
      <c r="G21" s="8">
        <f>C21*D21</f>
        <v>0.21187500000000001</v>
      </c>
    </row>
    <row r="22" spans="1:12" x14ac:dyDescent="0.3">
      <c r="A22" s="9">
        <v>170000</v>
      </c>
      <c r="B22" s="10" t="s">
        <v>6</v>
      </c>
      <c r="C22" s="10">
        <v>1</v>
      </c>
      <c r="D22" s="10">
        <v>0.449791</v>
      </c>
      <c r="E22" s="15">
        <f>D$34/D22</f>
        <v>0.17554419719380782</v>
      </c>
      <c r="F22" s="7">
        <f>E22/C22</f>
        <v>0.17554419719380782</v>
      </c>
      <c r="G22" s="8">
        <f>C22*D22</f>
        <v>0.449791</v>
      </c>
    </row>
    <row r="23" spans="1:12" x14ac:dyDescent="0.3">
      <c r="A23" s="6">
        <v>170000</v>
      </c>
      <c r="B23" s="7" t="s">
        <v>7</v>
      </c>
      <c r="C23" s="7">
        <v>2</v>
      </c>
      <c r="D23" s="7">
        <v>3.3749899999999999</v>
      </c>
      <c r="E23" s="7">
        <f>D$23/D23</f>
        <v>1</v>
      </c>
      <c r="F23" s="7">
        <f>E23/C23</f>
        <v>0.5</v>
      </c>
      <c r="G23" s="8">
        <f>C23*D23</f>
        <v>6.7499799999999999</v>
      </c>
      <c r="J23">
        <f>MIN($D$20,$D23)+MIN($D$21,$D24,$D25)+MIN($D$22,$D26,$D27)</f>
        <v>3.7412399999999999</v>
      </c>
      <c r="K23">
        <f>MIN($D$20,$D23)+MIN($D$21,$D24,$D25)+MIN($D$22,$D26,$D27)
 +MIN(
   MAX($D$20,$D23)-MIN($D$20,$D23),
   ($D$21+$D24+$D25)-2*MIN($D$21,$D24,$D25)-MAX($D$21,$D24,$D25),
   ($D$22+$D26+$D27)-2*MIN($D$22,$D26,$D27)-MAX($D$22,$D26,$D27)
 )</f>
        <v>3.752907</v>
      </c>
      <c r="L23">
        <f>MAX($D$20,$D23)+MAX($D$21,$D24,$D25)+MAX($D$22,$D26,$D27)</f>
        <v>8.4810249999999989</v>
      </c>
    </row>
    <row r="24" spans="1:12" x14ac:dyDescent="0.3">
      <c r="A24" s="6">
        <v>170000</v>
      </c>
      <c r="B24" s="7" t="s">
        <v>8</v>
      </c>
      <c r="C24" s="7">
        <v>2</v>
      </c>
      <c r="D24" s="7">
        <v>0.122292</v>
      </c>
      <c r="E24" s="15">
        <f>D$30/D24</f>
        <v>1.1465099924770221</v>
      </c>
      <c r="F24" s="7">
        <f>E24/C24</f>
        <v>0.57325499623851106</v>
      </c>
      <c r="G24" s="8">
        <f>C24*D24</f>
        <v>0.244584</v>
      </c>
    </row>
    <row r="25" spans="1:12" x14ac:dyDescent="0.3">
      <c r="A25" s="6">
        <v>170000</v>
      </c>
      <c r="B25" s="7" t="s">
        <v>9</v>
      </c>
      <c r="C25" s="7">
        <v>2</v>
      </c>
      <c r="D25" s="7">
        <v>0.13395899999999999</v>
      </c>
      <c r="E25" s="15">
        <f>D$30/D25</f>
        <v>1.0466560664083788</v>
      </c>
      <c r="F25" s="7">
        <f>E25/C25</f>
        <v>0.52332803320418941</v>
      </c>
      <c r="G25" s="8">
        <f>C25*D25</f>
        <v>0.26791799999999999</v>
      </c>
    </row>
    <row r="26" spans="1:12" x14ac:dyDescent="0.3">
      <c r="A26" s="6">
        <v>170000</v>
      </c>
      <c r="B26" s="7" t="s">
        <v>11</v>
      </c>
      <c r="C26" s="7">
        <v>2</v>
      </c>
      <c r="D26" s="7">
        <v>1.54833</v>
      </c>
      <c r="E26" s="15">
        <f>D$34/D26</f>
        <v>5.0995717967100042E-2</v>
      </c>
      <c r="F26" s="7">
        <f>E26/C26</f>
        <v>2.5497858983550021E-2</v>
      </c>
      <c r="G26" s="8">
        <f>C26*D26</f>
        <v>3.09666</v>
      </c>
    </row>
    <row r="27" spans="1:12" x14ac:dyDescent="0.3">
      <c r="A27" s="6">
        <v>170000</v>
      </c>
      <c r="B27" s="7" t="s">
        <v>10</v>
      </c>
      <c r="C27" s="7">
        <v>2</v>
      </c>
      <c r="D27" s="7">
        <v>0.24395800000000001</v>
      </c>
      <c r="E27" s="15">
        <f>D$34/D27</f>
        <v>0.3236548914157355</v>
      </c>
      <c r="F27" s="7">
        <f>E27/C27</f>
        <v>0.16182744570786775</v>
      </c>
      <c r="G27" s="8">
        <f>C27*D27</f>
        <v>0.48791600000000002</v>
      </c>
    </row>
    <row r="28" spans="1:12" x14ac:dyDescent="0.3">
      <c r="A28" s="6">
        <v>170000</v>
      </c>
      <c r="B28" s="7" t="s">
        <v>7</v>
      </c>
      <c r="C28" s="7">
        <v>3</v>
      </c>
      <c r="D28" s="7">
        <v>2.2583500000000001</v>
      </c>
      <c r="E28" s="7">
        <f>D$23/D28</f>
        <v>1.494449487457657</v>
      </c>
      <c r="F28" s="7">
        <f>E28/C28</f>
        <v>0.49814982915255235</v>
      </c>
      <c r="G28" s="8">
        <f>C28*D28</f>
        <v>6.7750500000000002</v>
      </c>
      <c r="J28">
        <f>MIN($D$20,$D28)+MIN($D$21,$D29,$D30)+MIN($D$22,$D31,$D32)</f>
        <v>2.5260581000000002</v>
      </c>
      <c r="K28">
        <f>MIN($D$20,$D28)+MIN($D$21,$D29,$D30)+MIN($D$22,$D31,$D32)
 +MIN(
   MAX($D$20,$D28)-MIN($D$20,$D28),
   ($D$21+$D29+$D30)-2*MIN($D$21,$D29,$D30)-MAX($D$21,$D29,$D30),
   ($D$22+$D31+$D32)-2*MIN($D$22,$D31,$D32)-MAX($D$22,$D31,$D32)
 )</f>
        <v>2.5687670000000002</v>
      </c>
      <c r="L28">
        <f>MAX($D$20,$D28)+MAX($D$21,$D29,$D30)+MAX($D$22,$D31,$D32)</f>
        <v>8.1756150000000005</v>
      </c>
    </row>
    <row r="29" spans="1:12" x14ac:dyDescent="0.3">
      <c r="A29" s="6">
        <v>170000</v>
      </c>
      <c r="B29" s="7" t="s">
        <v>8</v>
      </c>
      <c r="C29" s="7">
        <v>3</v>
      </c>
      <c r="D29" s="7">
        <v>9.7500100000000006E-2</v>
      </c>
      <c r="E29" s="15">
        <f>D$30/D29</f>
        <v>1.4380395507286658</v>
      </c>
      <c r="F29" s="7">
        <f>E29/C29</f>
        <v>0.47934651690955526</v>
      </c>
      <c r="G29" s="8">
        <f>C29*D29</f>
        <v>0.29250030000000005</v>
      </c>
    </row>
    <row r="30" spans="1:12" x14ac:dyDescent="0.3">
      <c r="A30" s="6">
        <v>170000</v>
      </c>
      <c r="B30" s="7" t="s">
        <v>9</v>
      </c>
      <c r="C30" s="7">
        <v>3</v>
      </c>
      <c r="D30" s="7">
        <v>0.140209</v>
      </c>
      <c r="E30" s="15">
        <f>D$30/D30</f>
        <v>1</v>
      </c>
      <c r="F30" s="7">
        <f>E30/C30</f>
        <v>0.33333333333333331</v>
      </c>
      <c r="G30" s="8">
        <f>C30*D30</f>
        <v>0.42062699999999997</v>
      </c>
    </row>
    <row r="31" spans="1:12" x14ac:dyDescent="0.3">
      <c r="A31" s="6">
        <v>170000</v>
      </c>
      <c r="B31" s="7" t="s">
        <v>11</v>
      </c>
      <c r="C31" s="7">
        <v>3</v>
      </c>
      <c r="D31" s="7">
        <v>1.24292</v>
      </c>
      <c r="E31" s="15">
        <f>D$34/D31</f>
        <v>6.3526373378817627E-2</v>
      </c>
      <c r="F31" s="7">
        <f>E31/C31</f>
        <v>2.1175457792939209E-2</v>
      </c>
      <c r="G31" s="8">
        <f>C31*D31</f>
        <v>3.7287600000000003</v>
      </c>
    </row>
    <row r="32" spans="1:12" x14ac:dyDescent="0.3">
      <c r="A32" s="6">
        <v>170000</v>
      </c>
      <c r="B32" s="7" t="s">
        <v>10</v>
      </c>
      <c r="C32" s="7">
        <v>3</v>
      </c>
      <c r="D32" s="7">
        <v>0.170208</v>
      </c>
      <c r="E32" s="15">
        <f>D$34/D32</f>
        <v>0.46389241398759168</v>
      </c>
      <c r="F32" s="7">
        <f>E32/C32</f>
        <v>0.15463080466253057</v>
      </c>
      <c r="G32" s="8">
        <f>C32*D32</f>
        <v>0.51062399999999997</v>
      </c>
    </row>
    <row r="33" spans="1:12" x14ac:dyDescent="0.3">
      <c r="A33" s="6">
        <v>170000</v>
      </c>
      <c r="B33" s="7" t="s">
        <v>7</v>
      </c>
      <c r="C33" s="7">
        <v>4</v>
      </c>
      <c r="D33" s="7">
        <v>1.8041700000000001</v>
      </c>
      <c r="E33" s="7">
        <f>D$23/D33</f>
        <v>1.8706607470471186</v>
      </c>
      <c r="F33" s="7">
        <f>E33/C33</f>
        <v>0.46766518676177965</v>
      </c>
      <c r="G33" s="8">
        <f>C33*D33</f>
        <v>7.2166800000000002</v>
      </c>
      <c r="J33">
        <f>MIN($D$20,$D33)+MIN($D$21,$D34,$D35)+MIN($D$22,$D36,$D37)</f>
        <v>2.0285451999999999</v>
      </c>
      <c r="K33">
        <f>MIN($D$20,$D33)+MIN($D$21,$D34,$D35)+MIN($D$22,$D36,$D37)
 +MIN(
   MAX($D$20,$D33)-MIN($D$20,$D33),
   ($D$21+$D34+$D35)-2*MIN($D$21,$D34,$D35)-MAX($D$21,$D34,$D35),
   ($D$22+$D36+$D37)-2*MIN($D$22,$D36,$D37)-MAX($D$22,$D36,$D37)
 )</f>
        <v>2.097712</v>
      </c>
      <c r="L33">
        <f>MAX($D$20,$D33)+MAX($D$21,$D34,$D35)+MAX($D$22,$D36,$D37)</f>
        <v>8.1804050000000004</v>
      </c>
    </row>
    <row r="34" spans="1:12" x14ac:dyDescent="0.3">
      <c r="A34" s="6">
        <v>170000</v>
      </c>
      <c r="B34" s="7" t="s">
        <v>8</v>
      </c>
      <c r="C34" s="7">
        <v>4</v>
      </c>
      <c r="D34" s="7">
        <v>7.8958200000000006E-2</v>
      </c>
      <c r="E34" s="15">
        <f>D$30/D34</f>
        <v>1.7757370355453896</v>
      </c>
      <c r="F34" s="7">
        <f>E34/C34</f>
        <v>0.44393425888634741</v>
      </c>
      <c r="G34" s="8">
        <f>C34*D34</f>
        <v>0.31583280000000002</v>
      </c>
    </row>
    <row r="35" spans="1:12" x14ac:dyDescent="0.3">
      <c r="A35" s="6">
        <v>170000</v>
      </c>
      <c r="B35" s="7" t="s">
        <v>9</v>
      </c>
      <c r="C35" s="7">
        <v>4</v>
      </c>
      <c r="D35" s="7">
        <v>0.14812500000000001</v>
      </c>
      <c r="E35" s="15">
        <f>D$30/D35</f>
        <v>0.94655864978902948</v>
      </c>
      <c r="F35" s="7">
        <f>E35/C35</f>
        <v>0.23663966244725737</v>
      </c>
      <c r="G35" s="8">
        <f>C35*D35</f>
        <v>0.59250000000000003</v>
      </c>
    </row>
    <row r="36" spans="1:12" x14ac:dyDescent="0.3">
      <c r="A36" s="6">
        <v>170000</v>
      </c>
      <c r="B36" s="7" t="s">
        <v>11</v>
      </c>
      <c r="C36" s="7">
        <v>4</v>
      </c>
      <c r="D36" s="7">
        <v>1.2477100000000001</v>
      </c>
      <c r="E36" s="15">
        <f>D$34/D36</f>
        <v>6.3282493528143566E-2</v>
      </c>
      <c r="F36" s="7">
        <f>E36/C36</f>
        <v>1.5820623382035891E-2</v>
      </c>
      <c r="G36" s="8">
        <f>C36*D36</f>
        <v>4.9908400000000004</v>
      </c>
    </row>
    <row r="37" spans="1:12" x14ac:dyDescent="0.3">
      <c r="A37" s="11">
        <v>170000</v>
      </c>
      <c r="B37" s="12" t="s">
        <v>10</v>
      </c>
      <c r="C37" s="12">
        <v>4</v>
      </c>
      <c r="D37" s="12">
        <v>0.14541699999999999</v>
      </c>
      <c r="E37" s="16">
        <f>D$34/D37</f>
        <v>0.54297778113975681</v>
      </c>
      <c r="F37" s="12">
        <f>E37/C37</f>
        <v>0.1357444452849392</v>
      </c>
      <c r="G37" s="13">
        <f>C37*D37</f>
        <v>0.58166799999999996</v>
      </c>
    </row>
    <row r="38" spans="1:12" x14ac:dyDescent="0.3">
      <c r="A38" s="17">
        <v>240000</v>
      </c>
      <c r="B38" s="18" t="s">
        <v>4</v>
      </c>
      <c r="C38" s="18">
        <v>1</v>
      </c>
      <c r="D38" s="18">
        <v>9.3458500000000004</v>
      </c>
      <c r="E38" s="3">
        <f>D$41/D38</f>
        <v>0.51760835023031604</v>
      </c>
      <c r="F38" s="3">
        <f>E38/C38</f>
        <v>0.51760835023031604</v>
      </c>
      <c r="G38" s="14">
        <f>C38*D38</f>
        <v>9.3458500000000004</v>
      </c>
    </row>
    <row r="39" spans="1:12" x14ac:dyDescent="0.3">
      <c r="A39" s="9">
        <v>240000</v>
      </c>
      <c r="B39" s="10" t="s">
        <v>5</v>
      </c>
      <c r="C39" s="10">
        <v>1</v>
      </c>
      <c r="D39" s="10">
        <v>0.30000100000000002</v>
      </c>
      <c r="E39" s="15">
        <f>D$48/D39</f>
        <v>0.66666111112962956</v>
      </c>
      <c r="F39" s="7">
        <f>E39/C39</f>
        <v>0.66666111112962956</v>
      </c>
      <c r="G39" s="8">
        <f>C39*D39</f>
        <v>0.30000100000000002</v>
      </c>
    </row>
    <row r="40" spans="1:12" x14ac:dyDescent="0.3">
      <c r="A40" s="9">
        <v>240000</v>
      </c>
      <c r="B40" s="10" t="s">
        <v>6</v>
      </c>
      <c r="C40" s="10">
        <v>1</v>
      </c>
      <c r="D40" s="10">
        <v>0.63354299999999997</v>
      </c>
      <c r="E40" s="15">
        <f>D$52/D40</f>
        <v>0.15784406109766821</v>
      </c>
      <c r="F40" s="7">
        <f>E40/C40</f>
        <v>0.15784406109766821</v>
      </c>
      <c r="G40" s="8">
        <f>C40*D40</f>
        <v>0.63354299999999997</v>
      </c>
    </row>
    <row r="41" spans="1:12" x14ac:dyDescent="0.3">
      <c r="A41" s="6">
        <v>240000</v>
      </c>
      <c r="B41" s="7" t="s">
        <v>7</v>
      </c>
      <c r="C41" s="7">
        <v>2</v>
      </c>
      <c r="D41" s="7">
        <v>4.8374899999999998</v>
      </c>
      <c r="E41" s="7">
        <f>D$41/D41</f>
        <v>1</v>
      </c>
      <c r="F41" s="7">
        <f>E41/C41</f>
        <v>0.5</v>
      </c>
      <c r="G41" s="8">
        <f>C41*D41</f>
        <v>9.6749799999999997</v>
      </c>
      <c r="J41">
        <f>MIN($D$38,$D41)+MIN($D$39,$D42,$D43)+MIN($D$40,$D44,$D45)</f>
        <v>5.3424899999999997</v>
      </c>
      <c r="K41">
        <f>MIN($D$38,$D41)+MIN($D$39,$D42,$D43)+MIN($D$40,$D44,$D45)
 +MIN(
   MAX($D$38,$D41)-MIN($D$38,$D41),
   ($D$39+$D42+$D43)-2*MIN($D$39,$D42,$D43)-MAX($D$39,$D42,$D43),
   ($D$40+$D44+$D45)-2*MIN($D$40,$D44,$D45)-MAX($D$40,$D44,$D45)
 )</f>
        <v>5.3524889999999994</v>
      </c>
      <c r="L41">
        <f>MAX($D$38,$D41)+MAX($D$39,$D42,$D43)+MAX($D$40,$D44,$D45)</f>
        <v>11.817521000000001</v>
      </c>
    </row>
    <row r="42" spans="1:12" x14ac:dyDescent="0.3">
      <c r="A42" s="6">
        <v>240000</v>
      </c>
      <c r="B42" s="7" t="s">
        <v>8</v>
      </c>
      <c r="C42" s="7">
        <v>2</v>
      </c>
      <c r="D42" s="7">
        <v>0.169375</v>
      </c>
      <c r="E42" s="15">
        <f>D$48/D42</f>
        <v>1.1808059040590406</v>
      </c>
      <c r="F42" s="7">
        <f>E42/C42</f>
        <v>0.59040295202952031</v>
      </c>
      <c r="G42" s="8">
        <f>C42*D42</f>
        <v>0.33875</v>
      </c>
    </row>
    <row r="43" spans="1:12" x14ac:dyDescent="0.3">
      <c r="A43" s="6">
        <v>240000</v>
      </c>
      <c r="B43" s="7" t="s">
        <v>9</v>
      </c>
      <c r="C43" s="7">
        <v>2</v>
      </c>
      <c r="D43" s="7">
        <v>0.17937400000000001</v>
      </c>
      <c r="E43" s="15">
        <f>D$48/D43</f>
        <v>1.1149832194186449</v>
      </c>
      <c r="F43" s="7">
        <f>E43/C43</f>
        <v>0.55749160970932243</v>
      </c>
      <c r="G43" s="8">
        <f>C43*D43</f>
        <v>0.35874800000000001</v>
      </c>
    </row>
    <row r="44" spans="1:12" x14ac:dyDescent="0.3">
      <c r="A44" s="6">
        <v>240000</v>
      </c>
      <c r="B44" s="7" t="s">
        <v>11</v>
      </c>
      <c r="C44" s="7">
        <v>2</v>
      </c>
      <c r="D44" s="7">
        <v>2.1716700000000002</v>
      </c>
      <c r="E44" s="15">
        <f>D$52/D44</f>
        <v>4.6047972297816889E-2</v>
      </c>
      <c r="F44" s="7">
        <f>E44/C44</f>
        <v>2.3023986148908444E-2</v>
      </c>
      <c r="G44" s="8">
        <f>C44*D44</f>
        <v>4.3433400000000004</v>
      </c>
    </row>
    <row r="45" spans="1:12" x14ac:dyDescent="0.3">
      <c r="A45" s="6">
        <v>240000</v>
      </c>
      <c r="B45" s="7" t="s">
        <v>10</v>
      </c>
      <c r="C45" s="7">
        <v>2</v>
      </c>
      <c r="D45" s="7">
        <v>0.33562500000000001</v>
      </c>
      <c r="E45" s="15">
        <f>D$52/D45</f>
        <v>0.29795456238361268</v>
      </c>
      <c r="F45" s="7">
        <f>E45/C45</f>
        <v>0.14897728119180634</v>
      </c>
      <c r="G45" s="8">
        <f>C45*D45</f>
        <v>0.67125000000000001</v>
      </c>
    </row>
    <row r="46" spans="1:12" x14ac:dyDescent="0.3">
      <c r="A46" s="6">
        <v>240000</v>
      </c>
      <c r="B46" s="7" t="s">
        <v>7</v>
      </c>
      <c r="C46" s="7">
        <v>3</v>
      </c>
      <c r="D46" s="7">
        <v>3.1291799999999999</v>
      </c>
      <c r="E46" s="7">
        <f>D$41/D46</f>
        <v>1.5459289654158597</v>
      </c>
      <c r="F46" s="7">
        <f>E46/C46</f>
        <v>0.51530965513861993</v>
      </c>
      <c r="G46" s="8">
        <f>C46*D46</f>
        <v>9.3875399999999996</v>
      </c>
      <c r="J46">
        <f>MIN($D$38,$D46)+MIN($D$39,$D47,$D48)+MIN($D$40,$D49,$D50)</f>
        <v>3.4995969999999996</v>
      </c>
      <c r="K46">
        <f>MIN($D$38,$D46)+MIN($D$39,$D47,$D48)+MIN($D$40,$D49,$D50)
 +MIN(
   MAX($D$38,$D46)-MIN($D$38,$D46),
   ($D$39+$D47+$D48)-2*MIN($D$39,$D47,$D48)-MAX($D$39,$D47,$D48),
   ($D$40+$D49+$D50)-2*MIN($D$40,$D49,$D50)-MAX($D$40,$D49,$D50)
 )</f>
        <v>3.5704289999999999</v>
      </c>
      <c r="L46">
        <f>MAX($D$38,$D46)+MAX($D$39,$D47,$D48)+MAX($D$40,$D49,$D50)</f>
        <v>11.264181000000001</v>
      </c>
    </row>
    <row r="47" spans="1:12" x14ac:dyDescent="0.3">
      <c r="A47" s="6">
        <v>240000</v>
      </c>
      <c r="B47" s="7" t="s">
        <v>8</v>
      </c>
      <c r="C47" s="7">
        <v>3</v>
      </c>
      <c r="D47" s="7">
        <v>0.129167</v>
      </c>
      <c r="E47" s="15">
        <f>D$48/D47</f>
        <v>1.5483753590313316</v>
      </c>
      <c r="F47" s="7">
        <f>E47/C47</f>
        <v>0.5161251196771105</v>
      </c>
      <c r="G47" s="8">
        <f>C47*D47</f>
        <v>0.38750099999999998</v>
      </c>
    </row>
    <row r="48" spans="1:12" x14ac:dyDescent="0.3">
      <c r="A48" s="6">
        <v>240000</v>
      </c>
      <c r="B48" s="7" t="s">
        <v>9</v>
      </c>
      <c r="C48" s="7">
        <v>3</v>
      </c>
      <c r="D48" s="7">
        <v>0.19999900000000001</v>
      </c>
      <c r="E48" s="15">
        <f>D$48/D48</f>
        <v>1</v>
      </c>
      <c r="F48" s="7">
        <f>E48/C48</f>
        <v>0.33333333333333331</v>
      </c>
      <c r="G48" s="8">
        <f>C48*D48</f>
        <v>0.599997</v>
      </c>
    </row>
    <row r="49" spans="1:12" x14ac:dyDescent="0.3">
      <c r="A49" s="6">
        <v>240000</v>
      </c>
      <c r="B49" s="7" t="s">
        <v>11</v>
      </c>
      <c r="C49" s="7">
        <v>3</v>
      </c>
      <c r="D49" s="7">
        <v>1.61833</v>
      </c>
      <c r="E49" s="15">
        <f>D$52/D49</f>
        <v>6.1792712240395967E-2</v>
      </c>
      <c r="F49" s="7">
        <f>E49/C49</f>
        <v>2.0597570746798657E-2</v>
      </c>
      <c r="G49" s="8">
        <f>C49*D49</f>
        <v>4.8549899999999999</v>
      </c>
    </row>
    <row r="50" spans="1:12" x14ac:dyDescent="0.3">
      <c r="A50" s="6">
        <v>240000</v>
      </c>
      <c r="B50" s="7" t="s">
        <v>10</v>
      </c>
      <c r="C50" s="7">
        <v>3</v>
      </c>
      <c r="D50" s="7">
        <v>0.24124999999999999</v>
      </c>
      <c r="E50" s="15">
        <f>D$52/D50</f>
        <v>0.41451191709844565</v>
      </c>
      <c r="F50" s="7">
        <f>E50/C50</f>
        <v>0.13817063903281521</v>
      </c>
      <c r="G50" s="8">
        <f>C50*D50</f>
        <v>0.72375</v>
      </c>
    </row>
    <row r="51" spans="1:12" x14ac:dyDescent="0.3">
      <c r="A51" s="6">
        <v>240000</v>
      </c>
      <c r="B51" s="7" t="s">
        <v>7</v>
      </c>
      <c r="C51" s="7">
        <v>4</v>
      </c>
      <c r="D51" s="7">
        <v>2.5291800000000002</v>
      </c>
      <c r="E51" s="7">
        <f>D$41/D51</f>
        <v>1.9126713005796343</v>
      </c>
      <c r="F51" s="7">
        <f>E51/C51</f>
        <v>0.47816782514490858</v>
      </c>
      <c r="G51" s="8">
        <f>C51*D51</f>
        <v>10.116720000000001</v>
      </c>
      <c r="J51">
        <f>MIN($D$38,$D51)+MIN($D$39,$D52,$D53)+MIN($D$40,$D54,$D55)</f>
        <v>2.8220969999999999</v>
      </c>
      <c r="K51">
        <f>MIN($D$38,$D51)+MIN($D$39,$D52,$D53)+MIN($D$40,$D54,$D55)
 +MIN(
   MAX($D$38,$D51)-MIN($D$38,$D51),
   ($D$39+$D52+$D53)-2*MIN($D$39,$D52,$D53)-MAX($D$39,$D52,$D53),
   ($D$40+$D54+$D55)-2*MIN($D$40,$D54,$D55)-MAX($D$40,$D54,$D55)
 )</f>
        <v>2.9220949999999997</v>
      </c>
      <c r="L51">
        <f>MAX($D$38,$D51)+MAX($D$39,$D52,$D53)+MAX($D$40,$D54,$D55)</f>
        <v>11.308141000000001</v>
      </c>
    </row>
    <row r="52" spans="1:12" x14ac:dyDescent="0.3">
      <c r="A52" s="6">
        <v>240000</v>
      </c>
      <c r="B52" s="7" t="s">
        <v>8</v>
      </c>
      <c r="C52" s="7">
        <v>4</v>
      </c>
      <c r="D52" s="7">
        <v>0.10000100000000001</v>
      </c>
      <c r="E52" s="15">
        <f>D$48/D52</f>
        <v>1.9999700002999969</v>
      </c>
      <c r="F52" s="7">
        <f>E52/C52</f>
        <v>0.49999250007499924</v>
      </c>
      <c r="G52" s="8">
        <f>C52*D52</f>
        <v>0.40000400000000003</v>
      </c>
    </row>
    <row r="53" spans="1:12" x14ac:dyDescent="0.3">
      <c r="A53" s="6">
        <v>240000</v>
      </c>
      <c r="B53" s="7" t="s">
        <v>9</v>
      </c>
      <c r="C53" s="7">
        <v>4</v>
      </c>
      <c r="D53" s="7">
        <v>0.19999900000000001</v>
      </c>
      <c r="E53" s="15">
        <f>D$48/D53</f>
        <v>1</v>
      </c>
      <c r="F53" s="7">
        <f>E53/C53</f>
        <v>0.25</v>
      </c>
      <c r="G53" s="8">
        <f>C53*D53</f>
        <v>0.79999600000000004</v>
      </c>
    </row>
    <row r="54" spans="1:12" x14ac:dyDescent="0.3">
      <c r="A54" s="6">
        <v>240000</v>
      </c>
      <c r="B54" s="7" t="s">
        <v>11</v>
      </c>
      <c r="C54" s="7">
        <v>4</v>
      </c>
      <c r="D54" s="7">
        <v>1.66229</v>
      </c>
      <c r="E54" s="15">
        <f>D$52/D54</f>
        <v>6.0158576421683339E-2</v>
      </c>
      <c r="F54" s="7">
        <f>E54/C54</f>
        <v>1.5039644105420835E-2</v>
      </c>
      <c r="G54" s="8">
        <f>C54*D54</f>
        <v>6.6491600000000002</v>
      </c>
    </row>
    <row r="55" spans="1:12" x14ac:dyDescent="0.3">
      <c r="A55" s="11">
        <v>240000</v>
      </c>
      <c r="B55" s="12" t="s">
        <v>10</v>
      </c>
      <c r="C55" s="12">
        <v>4</v>
      </c>
      <c r="D55" s="12">
        <v>0.192916</v>
      </c>
      <c r="E55" s="16">
        <f>D$52/D55</f>
        <v>0.51836550623069111</v>
      </c>
      <c r="F55" s="12">
        <f>E55/C55</f>
        <v>0.12959137655767278</v>
      </c>
      <c r="G55" s="13">
        <f>C55*D55</f>
        <v>0.77166400000000002</v>
      </c>
    </row>
    <row r="56" spans="1:12" x14ac:dyDescent="0.3">
      <c r="A56" s="17">
        <v>310000</v>
      </c>
      <c r="B56" s="18" t="s">
        <v>4</v>
      </c>
      <c r="C56" s="18">
        <v>1</v>
      </c>
      <c r="D56" s="18">
        <v>12</v>
      </c>
      <c r="E56" s="3">
        <f>D$59/D56</f>
        <v>0.50555749999999999</v>
      </c>
      <c r="F56" s="3">
        <f>E56/C56</f>
        <v>0.50555749999999999</v>
      </c>
      <c r="G56" s="14">
        <f>C56*D56</f>
        <v>12</v>
      </c>
    </row>
    <row r="57" spans="1:12" x14ac:dyDescent="0.3">
      <c r="A57" s="9">
        <v>310000</v>
      </c>
      <c r="B57" s="10" t="s">
        <v>5</v>
      </c>
      <c r="C57" s="10">
        <v>1</v>
      </c>
      <c r="D57" s="10">
        <v>0.39291599999999999</v>
      </c>
      <c r="E57" s="15">
        <f>D$66/D57</f>
        <v>0.63467764102250868</v>
      </c>
      <c r="F57" s="7">
        <f>E57/C57</f>
        <v>0.63467764102250868</v>
      </c>
      <c r="G57" s="8">
        <f>C57*D57</f>
        <v>0.39291599999999999</v>
      </c>
    </row>
    <row r="58" spans="1:12" x14ac:dyDescent="0.3">
      <c r="A58" s="9">
        <v>310000</v>
      </c>
      <c r="B58" s="10" t="s">
        <v>6</v>
      </c>
      <c r="C58" s="10">
        <v>1</v>
      </c>
      <c r="D58" s="10">
        <v>0.81416699999999997</v>
      </c>
      <c r="E58" s="15">
        <f>D$70/D58</f>
        <v>0.15532317079911123</v>
      </c>
      <c r="F58" s="7">
        <f>E58/C58</f>
        <v>0.15532317079911123</v>
      </c>
      <c r="G58" s="8">
        <f>C58*D58</f>
        <v>0.81416699999999997</v>
      </c>
    </row>
    <row r="59" spans="1:12" x14ac:dyDescent="0.3">
      <c r="A59" s="6">
        <v>310000</v>
      </c>
      <c r="B59" s="7" t="s">
        <v>7</v>
      </c>
      <c r="C59" s="7">
        <v>2</v>
      </c>
      <c r="D59" s="7">
        <v>6.0666900000000004</v>
      </c>
      <c r="E59" s="7">
        <f>D$59/D59</f>
        <v>1</v>
      </c>
      <c r="F59" s="7">
        <f>E59/C59</f>
        <v>0.5</v>
      </c>
      <c r="G59" s="8">
        <f>C59*D59</f>
        <v>12.133380000000001</v>
      </c>
      <c r="J59">
        <f>MIN($D$56,$D59)+MIN($D$57,$D60,$D61)+MIN($D$58,$D62,$D63)</f>
        <v>6.7039810000000006</v>
      </c>
      <c r="K59">
        <f>MIN($D$56,$D59)+MIN($D$57,$D60,$D61)+MIN($D$58,$D62,$D63)
 +MIN(
   MAX($D$56,$D59)-MIN($D$56,$D59),
   ($D$57+$D60+$D61)-2*MIN($D$57,$D60,$D61)-MAX($D$57,$D60,$D61),
   ($D$58+$D62+$D63)-2*MIN($D$58,$D62,$D63)-MAX($D$58,$D62,$D63)
 )</f>
        <v>6.7214810000000007</v>
      </c>
      <c r="L59">
        <f>MAX($D$56,$D59)+MAX($D$57,$D60,$D61)+MAX($D$58,$D62,$D63)</f>
        <v>15.202285999999999</v>
      </c>
    </row>
    <row r="60" spans="1:12" x14ac:dyDescent="0.3">
      <c r="A60" s="6">
        <v>310000</v>
      </c>
      <c r="B60" s="7" t="s">
        <v>8</v>
      </c>
      <c r="C60" s="7">
        <v>2</v>
      </c>
      <c r="D60" s="7">
        <v>0.20666599999999999</v>
      </c>
      <c r="E60" s="15">
        <f>D$66/D60</f>
        <v>1.2066571182487686</v>
      </c>
      <c r="F60" s="7">
        <f>E60/C60</f>
        <v>0.60332855912438432</v>
      </c>
      <c r="G60" s="8">
        <f>C60*D60</f>
        <v>0.41333199999999998</v>
      </c>
    </row>
    <row r="61" spans="1:12" x14ac:dyDescent="0.3">
      <c r="A61" s="6">
        <v>310000</v>
      </c>
      <c r="B61" s="7" t="s">
        <v>9</v>
      </c>
      <c r="C61" s="7">
        <v>2</v>
      </c>
      <c r="D61" s="7">
        <v>0.224166</v>
      </c>
      <c r="E61" s="15">
        <f>D$66/D61</f>
        <v>1.1124568400203421</v>
      </c>
      <c r="F61" s="7">
        <f>E61/C61</f>
        <v>0.55622842001017103</v>
      </c>
      <c r="G61" s="8">
        <f>C61*D61</f>
        <v>0.44833200000000001</v>
      </c>
    </row>
    <row r="62" spans="1:12" x14ac:dyDescent="0.3">
      <c r="A62" s="6">
        <v>310000</v>
      </c>
      <c r="B62" s="7" t="s">
        <v>11</v>
      </c>
      <c r="C62" s="7">
        <v>2</v>
      </c>
      <c r="D62" s="7">
        <v>2.8093699999999999</v>
      </c>
      <c r="E62" s="15">
        <f>D$70/D62</f>
        <v>4.5013294795630335E-2</v>
      </c>
      <c r="F62" s="7">
        <f>E62/C62</f>
        <v>2.2506647397815167E-2</v>
      </c>
      <c r="G62" s="8">
        <f>C62*D62</f>
        <v>5.6187399999999998</v>
      </c>
    </row>
    <row r="63" spans="1:12" x14ac:dyDescent="0.3">
      <c r="A63" s="6">
        <v>310000</v>
      </c>
      <c r="B63" s="7" t="s">
        <v>10</v>
      </c>
      <c r="C63" s="7">
        <v>2</v>
      </c>
      <c r="D63" s="7">
        <v>0.43062499999999998</v>
      </c>
      <c r="E63" s="15">
        <f>D$70/D63</f>
        <v>0.29366386066763422</v>
      </c>
      <c r="F63" s="7">
        <f>E63/C63</f>
        <v>0.14683193033381711</v>
      </c>
      <c r="G63" s="8">
        <f>C63*D63</f>
        <v>0.86124999999999996</v>
      </c>
    </row>
    <row r="64" spans="1:12" x14ac:dyDescent="0.3">
      <c r="A64" s="6">
        <v>310000</v>
      </c>
      <c r="B64" s="7" t="s">
        <v>7</v>
      </c>
      <c r="C64" s="7">
        <v>3</v>
      </c>
      <c r="D64" s="7">
        <v>4.0583299999999998</v>
      </c>
      <c r="E64" s="7">
        <f>D$59/D64</f>
        <v>1.4948735070829628</v>
      </c>
      <c r="F64" s="7">
        <f>E64/C64</f>
        <v>0.4982911690276543</v>
      </c>
      <c r="G64" s="8">
        <f>C64*D64</f>
        <v>12.174989999999999</v>
      </c>
      <c r="J64">
        <f>MIN($D$56,$D64)+MIN($D$57,$D65,$D66)+MIN($D$58,$D67,$D68)</f>
        <v>4.5104139999999999</v>
      </c>
      <c r="K64">
        <f>MIN($D$56,$D64)+MIN($D$57,$D65,$D66)+MIN($D$58,$D67,$D68)
 +MIN(
   MAX($D$56,$D64)-MIN($D$56,$D64),
   ($D$57+$D65+$D66)-2*MIN($D$57,$D65,$D66)-MAX($D$57,$D65,$D66),
   ($D$58+$D67+$D68)-2*MIN($D$58,$D67,$D68)-MAX($D$58,$D67,$D68)
 )</f>
        <v>4.6077050000000002</v>
      </c>
      <c r="L64">
        <f>MAX($D$56,$D64)+MAX($D$57,$D65,$D66)+MAX($D$58,$D67,$D68)</f>
        <v>14.549586</v>
      </c>
    </row>
    <row r="65" spans="1:12" x14ac:dyDescent="0.3">
      <c r="A65" s="6">
        <v>310000</v>
      </c>
      <c r="B65" s="7" t="s">
        <v>8</v>
      </c>
      <c r="C65" s="7">
        <v>3</v>
      </c>
      <c r="D65" s="7">
        <v>0.152084</v>
      </c>
      <c r="E65" s="15">
        <f>D$66/D65</f>
        <v>1.6397188395886484</v>
      </c>
      <c r="F65" s="7">
        <f>E65/C65</f>
        <v>0.54657294652954946</v>
      </c>
      <c r="G65" s="8">
        <f>C65*D65</f>
        <v>0.45625199999999999</v>
      </c>
    </row>
    <row r="66" spans="1:12" x14ac:dyDescent="0.3">
      <c r="A66" s="6">
        <v>310000</v>
      </c>
      <c r="B66" s="7" t="s">
        <v>9</v>
      </c>
      <c r="C66" s="7">
        <v>3</v>
      </c>
      <c r="D66" s="7">
        <v>0.24937500000000001</v>
      </c>
      <c r="E66" s="15">
        <f>D$66/D66</f>
        <v>1</v>
      </c>
      <c r="F66" s="7">
        <f>E66/C66</f>
        <v>0.33333333333333331</v>
      </c>
      <c r="G66" s="8">
        <f>C66*D66</f>
        <v>0.74812500000000004</v>
      </c>
    </row>
    <row r="67" spans="1:12" x14ac:dyDescent="0.3">
      <c r="A67" s="6">
        <v>310000</v>
      </c>
      <c r="B67" s="7" t="s">
        <v>11</v>
      </c>
      <c r="C67" s="7">
        <v>3</v>
      </c>
      <c r="D67" s="7">
        <v>2.1566700000000001</v>
      </c>
      <c r="E67" s="15">
        <f>D$70/D67</f>
        <v>5.8636230855902839E-2</v>
      </c>
      <c r="F67" s="7">
        <f>E67/C67</f>
        <v>1.9545410285300945E-2</v>
      </c>
      <c r="G67" s="8">
        <f>C67*D67</f>
        <v>6.4700100000000003</v>
      </c>
    </row>
    <row r="68" spans="1:12" x14ac:dyDescent="0.3">
      <c r="A68" s="6">
        <v>310000</v>
      </c>
      <c r="B68" s="7" t="s">
        <v>10</v>
      </c>
      <c r="C68" s="7">
        <v>3</v>
      </c>
      <c r="D68" s="7">
        <v>0.3</v>
      </c>
      <c r="E68" s="15">
        <f>D$70/D68</f>
        <v>0.42152999999999996</v>
      </c>
      <c r="F68" s="7">
        <f>E68/C68</f>
        <v>0.14051</v>
      </c>
      <c r="G68" s="8">
        <f>C68*D68</f>
        <v>0.89999999999999991</v>
      </c>
    </row>
    <row r="69" spans="1:12" x14ac:dyDescent="0.3">
      <c r="A69" s="6">
        <v>310000</v>
      </c>
      <c r="B69" s="7" t="s">
        <v>7</v>
      </c>
      <c r="C69" s="7">
        <v>4</v>
      </c>
      <c r="D69" s="7">
        <v>3.13334</v>
      </c>
      <c r="E69" s="7">
        <f>D$59/D69</f>
        <v>1.9361735400562978</v>
      </c>
      <c r="F69" s="7">
        <f>E69/C69</f>
        <v>0.48404338501407446</v>
      </c>
      <c r="G69" s="8">
        <f>C69*D69</f>
        <v>12.53336</v>
      </c>
      <c r="J69">
        <f>MIN($D$56,$D69)+MIN($D$57,$D70,$D71)+MIN($D$58,$D72,$D73)</f>
        <v>3.5054240000000001</v>
      </c>
      <c r="K69">
        <f>MIN($D$56,$D69)+MIN($D$57,$D70,$D71)+MIN($D$58,$D72,$D73)
 +MIN(
   MAX($D$56,$D69)-MIN($D$56,$D69),
   ($D$57+$D70+$D71)-2*MIN($D$57,$D70,$D71)-MAX($D$57,$D70,$D71),
   ($D$58+$D72+$D73)-2*MIN($D$58,$D72,$D73)-MAX($D$58,$D72,$D73)
 )</f>
        <v>3.6310480000000003</v>
      </c>
      <c r="L69">
        <f>MAX($D$56,$D69)+MAX($D$57,$D70,$D71)+MAX($D$58,$D72,$D73)</f>
        <v>14.570205999999999</v>
      </c>
    </row>
    <row r="70" spans="1:12" x14ac:dyDescent="0.3">
      <c r="A70" s="6">
        <v>310000</v>
      </c>
      <c r="B70" s="7" t="s">
        <v>8</v>
      </c>
      <c r="C70" s="7">
        <v>4</v>
      </c>
      <c r="D70" s="7">
        <v>0.12645899999999999</v>
      </c>
      <c r="E70" s="15">
        <f>D$66/D70</f>
        <v>1.9719830142575858</v>
      </c>
      <c r="F70" s="7">
        <f>E70/C70</f>
        <v>0.49299575356439646</v>
      </c>
      <c r="G70" s="8">
        <f>C70*D70</f>
        <v>0.50583599999999995</v>
      </c>
    </row>
    <row r="71" spans="1:12" x14ac:dyDescent="0.3">
      <c r="A71" s="6">
        <v>310000</v>
      </c>
      <c r="B71" s="7" t="s">
        <v>9</v>
      </c>
      <c r="C71" s="7">
        <v>4</v>
      </c>
      <c r="D71" s="7">
        <v>0.252083</v>
      </c>
      <c r="E71" s="15">
        <f>D$66/D71</f>
        <v>0.98925750645620691</v>
      </c>
      <c r="F71" s="7">
        <f>E71/C71</f>
        <v>0.24731437661405173</v>
      </c>
      <c r="G71" s="8">
        <f>C71*D71</f>
        <v>1.008332</v>
      </c>
    </row>
    <row r="72" spans="1:12" x14ac:dyDescent="0.3">
      <c r="A72" s="6">
        <v>310000</v>
      </c>
      <c r="B72" s="7" t="s">
        <v>11</v>
      </c>
      <c r="C72" s="7">
        <v>4</v>
      </c>
      <c r="D72" s="7">
        <v>2.1772900000000002</v>
      </c>
      <c r="E72" s="15">
        <f>D$70/D72</f>
        <v>5.8080917103371613E-2</v>
      </c>
      <c r="F72" s="7">
        <f>E72/C72</f>
        <v>1.4520229275842903E-2</v>
      </c>
      <c r="G72" s="8">
        <f>C72*D72</f>
        <v>8.7091600000000007</v>
      </c>
    </row>
    <row r="73" spans="1:12" x14ac:dyDescent="0.3">
      <c r="A73" s="11">
        <v>310000</v>
      </c>
      <c r="B73" s="12" t="s">
        <v>10</v>
      </c>
      <c r="C73" s="12">
        <v>4</v>
      </c>
      <c r="D73" s="12">
        <v>0.24562500000000001</v>
      </c>
      <c r="E73" s="16">
        <f>D$70/D73</f>
        <v>0.51484580152671744</v>
      </c>
      <c r="F73" s="12">
        <f>E73/C73</f>
        <v>0.12871145038167936</v>
      </c>
      <c r="G73" s="13">
        <f>C73*D73</f>
        <v>0.98250000000000004</v>
      </c>
    </row>
  </sheetData>
  <autoFilter ref="A1:G73" xr:uid="{76A32977-0A3F-4233-A743-97DBE114AC44}">
    <sortState xmlns:xlrd2="http://schemas.microsoft.com/office/spreadsheetml/2017/richdata2" ref="A2:G73">
      <sortCondition ref="A1:A73"/>
    </sortState>
  </autoFilter>
  <mergeCells count="4">
    <mergeCell ref="N5:N7"/>
    <mergeCell ref="N8:N10"/>
    <mergeCell ref="N11:N13"/>
    <mergeCell ref="N14:N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Лист2</vt:lpstr>
      <vt:lpstr>Лист3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luvidmi</dc:creator>
  <cp:lastModifiedBy>luvidmi</cp:lastModifiedBy>
  <dcterms:created xsi:type="dcterms:W3CDTF">2015-06-05T18:19:34Z</dcterms:created>
  <dcterms:modified xsi:type="dcterms:W3CDTF">2026-09-17T19:07:57Z</dcterms:modified>
</cp:coreProperties>
</file>