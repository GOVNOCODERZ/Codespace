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14B628-C314-4A36-B2EC-06CF9A985018}" xr6:coauthVersionLast="47" xr6:coauthVersionMax="47" xr10:uidLastSave="{00000000-0000-0000-0000-000000000000}"/>
  <bookViews>
    <workbookView xWindow="-108" yWindow="-108" windowWidth="30936" windowHeight="16776" tabRatio="500" activeTab="1" xr2:uid="{00000000-000D-0000-FFFF-FFFF00000000}"/>
  </bookViews>
  <sheets>
    <sheet name="Таблица 1.2" sheetId="1" r:id="rId1"/>
    <sheet name="Таблица 1.3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5" i="1" l="1"/>
  <c r="E85" i="1"/>
  <c r="D85" i="1"/>
  <c r="F84" i="1"/>
  <c r="E84" i="1"/>
  <c r="D84" i="1"/>
  <c r="F83" i="1"/>
  <c r="D83" i="1"/>
  <c r="E83" i="1" s="1"/>
  <c r="F82" i="1"/>
  <c r="D82" i="1"/>
  <c r="E82" i="1" s="1"/>
  <c r="F81" i="1"/>
  <c r="D81" i="1"/>
  <c r="E81" i="1" s="1"/>
  <c r="F80" i="1"/>
  <c r="D80" i="1"/>
  <c r="E80" i="1" s="1"/>
  <c r="F78" i="1"/>
  <c r="D78" i="1"/>
  <c r="E78" i="1" s="1"/>
  <c r="F77" i="1"/>
  <c r="D77" i="1"/>
  <c r="E77" i="1" s="1"/>
  <c r="F76" i="1"/>
  <c r="D76" i="1"/>
  <c r="E76" i="1" s="1"/>
  <c r="F75" i="1"/>
  <c r="D75" i="1"/>
  <c r="E75" i="1" s="1"/>
  <c r="F74" i="1"/>
  <c r="D74" i="1"/>
  <c r="E74" i="1" s="1"/>
  <c r="F73" i="1"/>
  <c r="D73" i="1"/>
  <c r="E73" i="1" s="1"/>
  <c r="F71" i="1"/>
  <c r="D71" i="1"/>
  <c r="E71" i="1" s="1"/>
  <c r="F70" i="1"/>
  <c r="D70" i="1"/>
  <c r="E70" i="1" s="1"/>
  <c r="F69" i="1"/>
  <c r="D69" i="1"/>
  <c r="E69" i="1" s="1"/>
  <c r="F64" i="1"/>
  <c r="D64" i="1"/>
  <c r="E64" i="1" s="1"/>
  <c r="F63" i="1"/>
  <c r="D63" i="1"/>
  <c r="E63" i="1" s="1"/>
  <c r="F62" i="1"/>
  <c r="D62" i="1"/>
  <c r="E62" i="1" s="1"/>
  <c r="F61" i="1"/>
  <c r="D61" i="1"/>
  <c r="E61" i="1" s="1"/>
  <c r="F60" i="1"/>
  <c r="D60" i="1"/>
  <c r="E60" i="1" s="1"/>
  <c r="F59" i="1"/>
  <c r="D59" i="1"/>
  <c r="E59" i="1" s="1"/>
  <c r="F57" i="1"/>
  <c r="D57" i="1"/>
  <c r="E57" i="1" s="1"/>
  <c r="F56" i="1"/>
  <c r="D56" i="1"/>
  <c r="E56" i="1" s="1"/>
  <c r="F55" i="1"/>
  <c r="D55" i="1"/>
  <c r="E55" i="1" s="1"/>
  <c r="F54" i="1"/>
  <c r="D54" i="1"/>
  <c r="E54" i="1" s="1"/>
  <c r="F53" i="1"/>
  <c r="D53" i="1"/>
  <c r="E53" i="1" s="1"/>
  <c r="F52" i="1"/>
  <c r="D52" i="1"/>
  <c r="E52" i="1" s="1"/>
  <c r="F50" i="1"/>
  <c r="D50" i="1"/>
  <c r="E50" i="1" s="1"/>
  <c r="F49" i="1"/>
  <c r="D49" i="1"/>
  <c r="E49" i="1" s="1"/>
  <c r="F48" i="1"/>
  <c r="D48" i="1"/>
  <c r="E48" i="1" s="1"/>
  <c r="F43" i="1"/>
  <c r="D43" i="1"/>
  <c r="E43" i="1" s="1"/>
  <c r="F42" i="1"/>
  <c r="D42" i="1"/>
  <c r="E42" i="1" s="1"/>
  <c r="F41" i="1"/>
  <c r="D41" i="1"/>
  <c r="E41" i="1" s="1"/>
  <c r="F40" i="1"/>
  <c r="D40" i="1"/>
  <c r="E40" i="1" s="1"/>
  <c r="F39" i="1"/>
  <c r="D39" i="1"/>
  <c r="E39" i="1" s="1"/>
  <c r="F38" i="1"/>
  <c r="D38" i="1"/>
  <c r="E38" i="1" s="1"/>
  <c r="F36" i="1"/>
  <c r="D36" i="1"/>
  <c r="E36" i="1" s="1"/>
  <c r="F35" i="1"/>
  <c r="D35" i="1"/>
  <c r="E35" i="1" s="1"/>
  <c r="F34" i="1"/>
  <c r="D34" i="1"/>
  <c r="E34" i="1" s="1"/>
  <c r="F33" i="1"/>
  <c r="D33" i="1"/>
  <c r="E33" i="1" s="1"/>
  <c r="F32" i="1"/>
  <c r="D32" i="1"/>
  <c r="E32" i="1" s="1"/>
  <c r="F31" i="1"/>
  <c r="D31" i="1"/>
  <c r="E31" i="1" s="1"/>
  <c r="F29" i="1"/>
  <c r="D29" i="1"/>
  <c r="E29" i="1" s="1"/>
  <c r="F28" i="1"/>
  <c r="D28" i="1"/>
  <c r="E28" i="1" s="1"/>
  <c r="F27" i="1"/>
  <c r="D27" i="1"/>
  <c r="E27" i="1" s="1"/>
  <c r="F22" i="1"/>
  <c r="D22" i="1"/>
  <c r="E22" i="1" s="1"/>
  <c r="F21" i="1"/>
  <c r="D21" i="1"/>
  <c r="E21" i="1" s="1"/>
  <c r="F20" i="1"/>
  <c r="D20" i="1"/>
  <c r="E20" i="1" s="1"/>
  <c r="F19" i="1"/>
  <c r="D19" i="1"/>
  <c r="E19" i="1" s="1"/>
  <c r="F18" i="1"/>
  <c r="D18" i="1"/>
  <c r="E18" i="1" s="1"/>
  <c r="F17" i="1"/>
  <c r="D17" i="1"/>
  <c r="E17" i="1" s="1"/>
  <c r="F15" i="1"/>
  <c r="D15" i="1"/>
  <c r="E15" i="1" s="1"/>
  <c r="F14" i="1"/>
  <c r="D14" i="1"/>
  <c r="E14" i="1" s="1"/>
  <c r="F13" i="1"/>
  <c r="D13" i="1"/>
  <c r="E13" i="1" s="1"/>
  <c r="F12" i="1"/>
  <c r="D12" i="1"/>
  <c r="E12" i="1" s="1"/>
  <c r="F11" i="1"/>
  <c r="D11" i="1"/>
  <c r="E11" i="1" s="1"/>
  <c r="F10" i="1"/>
  <c r="D10" i="1"/>
  <c r="E10" i="1" s="1"/>
  <c r="F8" i="1"/>
  <c r="D8" i="1"/>
  <c r="E8" i="1" s="1"/>
  <c r="F7" i="1"/>
  <c r="D7" i="1"/>
  <c r="E7" i="1" s="1"/>
  <c r="F6" i="1"/>
  <c r="D6" i="1"/>
  <c r="E6" i="1" s="1"/>
</calcChain>
</file>

<file path=xl/sharedStrings.xml><?xml version="1.0" encoding="utf-8"?>
<sst xmlns="http://schemas.openxmlformats.org/spreadsheetml/2006/main" count="174" uniqueCount="31">
  <si>
    <t>Таблица 1.2 — Результаты экспериментального исследования</t>
  </si>
  <si>
    <t>НД 100 000</t>
  </si>
  <si>
    <t>Функция (реализация)</t>
  </si>
  <si>
    <t>Потоков</t>
  </si>
  <si>
    <t>Время, мс</t>
  </si>
  <si>
    <t>Sp(n)</t>
  </si>
  <si>
    <t>Ep(n)</t>
  </si>
  <si>
    <t>Cp(n)</t>
  </si>
  <si>
    <t>Заполнение массивов (посл.)</t>
  </si>
  <si>
    <t>Заполнение массивов (парал. FOR)</t>
  </si>
  <si>
    <t>Сложение массивов (посл.)</t>
  </si>
  <si>
    <t>Сложение массивов (парал. FOR)</t>
  </si>
  <si>
    <t>Сложение массивов (парал. Sections)</t>
  </si>
  <si>
    <t>Подсчет суммы элементов (посл.)</t>
  </si>
  <si>
    <t>Подсчет суммы элементов (парал. редуктор)</t>
  </si>
  <si>
    <t>Подсчет суммы элементов (парал. критическая секция)</t>
  </si>
  <si>
    <t>НД 170 000</t>
  </si>
  <si>
    <t>НД 240 000</t>
  </si>
  <si>
    <t>НД 310 000</t>
  </si>
  <si>
    <t>Таблица 1.3 — Лучшие и худшая комбинации (заполнение, сложение, подсчёт суммы)</t>
  </si>
  <si>
    <t>Комбинация</t>
  </si>
  <si>
    <t>—</t>
  </si>
  <si>
    <t>Комбинация (всё последовательно)</t>
  </si>
  <si>
    <t>Лучшая комбинация 1: FOR, FOR, Редуктор</t>
  </si>
  <si>
    <t>Лучшая комбинация 2: FOR, Sections, Редуктор</t>
  </si>
  <si>
    <t>Худшая комбинация: посл., посл., Крит.секция</t>
  </si>
  <si>
    <t>Лучшая комбинация 1: FOR, Sections, Редуктор</t>
  </si>
  <si>
    <t>Лучшая комбинация 2: FOR, FOR, Редуктор</t>
  </si>
  <si>
    <t>Лучшая комбинация 1: FOR, посл., Редуктор</t>
  </si>
  <si>
    <t>Худшая комбинация: посл., FOR, Крит.секция</t>
  </si>
  <si>
    <t>Лучшая комбинация 2: FOR, посл., Редуктор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</si>
</sst>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4" x14ac:knownFonts="1">
    <font>
      <sz val="11"/>
      <color theme="1"/>
      <name val="Calibri"/>
      <family val="2"/>
      <charset val="1"/>
    </font>
    <font>
      <b/>
      <sz val="12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showGridLines="0" zoomScaleNormal="100" workbookViewId="0">
      <pane ySplit="3" topLeftCell="A79" activePane="bottomLeft" state="frozen"/>
      <selection pane="bottomLeft" activeCell="A113" sqref="A113:A114"/>
    </sheetView>
  </sheetViews>
  <sheetFormatPr defaultColWidth="8.6640625" defaultRowHeight="14.4" x14ac:dyDescent="0.3"/>
  <cols>
    <col min="1" max="1" width="42" customWidth="1"/>
    <col min="2" max="2" width="10" customWidth="1"/>
    <col min="3" max="3" width="12" customWidth="1"/>
    <col min="4" max="6" width="10" customWidth="1"/>
  </cols>
  <sheetData>
    <row r="1" spans="1:6" ht="15.6" x14ac:dyDescent="0.3">
      <c r="A1" s="2" t="s">
        <v>0</v>
      </c>
    </row>
    <row r="3" spans="1:6" ht="15" customHeight="1" x14ac:dyDescent="0.3">
      <c r="A3" s="1" t="s">
        <v>1</v>
      </c>
      <c r="B3" s="1"/>
      <c r="C3" s="1"/>
      <c r="D3" s="1"/>
      <c r="E3" s="1"/>
      <c r="F3" s="1"/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 t="s">
        <v>8</v>
      </c>
      <c r="B5" s="4">
        <v>1</v>
      </c>
      <c r="C5" s="5">
        <v>3.2183899999999999</v>
      </c>
      <c r="D5" s="4"/>
      <c r="E5" s="4"/>
      <c r="F5" s="4"/>
    </row>
    <row r="6" spans="1:6" x14ac:dyDescent="0.3">
      <c r="A6" s="4" t="s">
        <v>9</v>
      </c>
      <c r="B6" s="4">
        <v>2</v>
      </c>
      <c r="C6" s="5">
        <v>1.72234</v>
      </c>
      <c r="D6" s="6">
        <f>C5/C6</f>
        <v>1.868614791504581</v>
      </c>
      <c r="E6" s="6">
        <f>D6/B6</f>
        <v>0.93430739575229049</v>
      </c>
      <c r="F6" s="6">
        <f>B6*C6</f>
        <v>3.44468</v>
      </c>
    </row>
    <row r="7" spans="1:6" x14ac:dyDescent="0.3">
      <c r="A7" s="4" t="s">
        <v>9</v>
      </c>
      <c r="B7" s="4">
        <v>3</v>
      </c>
      <c r="C7" s="5">
        <v>1.1293200000000001</v>
      </c>
      <c r="D7" s="6">
        <f>C5/C7</f>
        <v>2.8498476959586294</v>
      </c>
      <c r="E7" s="6">
        <f>D7/B7</f>
        <v>0.94994923198620984</v>
      </c>
      <c r="F7" s="6">
        <f>B7*C7</f>
        <v>3.3879600000000005</v>
      </c>
    </row>
    <row r="8" spans="1:6" x14ac:dyDescent="0.3">
      <c r="A8" s="4" t="s">
        <v>9</v>
      </c>
      <c r="B8" s="4">
        <v>4</v>
      </c>
      <c r="C8" s="5">
        <v>1.1559999999999999</v>
      </c>
      <c r="D8" s="6">
        <f>C5/C8</f>
        <v>2.7840743944636679</v>
      </c>
      <c r="E8" s="6">
        <f>D8/B8</f>
        <v>0.69601859861591697</v>
      </c>
      <c r="F8" s="6">
        <f>B8*C8</f>
        <v>4.6239999999999997</v>
      </c>
    </row>
    <row r="9" spans="1:6" x14ac:dyDescent="0.3">
      <c r="A9" s="4" t="s">
        <v>10</v>
      </c>
      <c r="B9" s="4">
        <v>1</v>
      </c>
      <c r="C9" s="5">
        <v>0.12767999999999999</v>
      </c>
      <c r="D9" s="4"/>
      <c r="E9" s="4"/>
      <c r="F9" s="4"/>
    </row>
    <row r="10" spans="1:6" x14ac:dyDescent="0.3">
      <c r="A10" s="4" t="s">
        <v>11</v>
      </c>
      <c r="B10" s="4">
        <v>2</v>
      </c>
      <c r="C10" s="5">
        <v>8.0399999999999999E-2</v>
      </c>
      <c r="D10" s="6">
        <f>C9/C10</f>
        <v>1.5880597014925373</v>
      </c>
      <c r="E10" s="6">
        <f t="shared" ref="E10:E15" si="0">D10/B10</f>
        <v>0.79402985074626864</v>
      </c>
      <c r="F10" s="6">
        <f t="shared" ref="F10:F15" si="1">B10*C10</f>
        <v>0.1608</v>
      </c>
    </row>
    <row r="11" spans="1:6" x14ac:dyDescent="0.3">
      <c r="A11" s="4" t="s">
        <v>11</v>
      </c>
      <c r="B11" s="4">
        <v>3</v>
      </c>
      <c r="C11" s="5">
        <v>6.5479999999999997E-2</v>
      </c>
      <c r="D11" s="6">
        <f>C9/C11</f>
        <v>1.9499083689676235</v>
      </c>
      <c r="E11" s="6">
        <f t="shared" si="0"/>
        <v>0.64996945632254122</v>
      </c>
      <c r="F11" s="6">
        <f t="shared" si="1"/>
        <v>0.19644</v>
      </c>
    </row>
    <row r="12" spans="1:6" x14ac:dyDescent="0.3">
      <c r="A12" s="4" t="s">
        <v>11</v>
      </c>
      <c r="B12" s="4">
        <v>4</v>
      </c>
      <c r="C12" s="5">
        <v>8.6279999999999996E-2</v>
      </c>
      <c r="D12" s="6">
        <f>C9/C12</f>
        <v>1.4798331015299027</v>
      </c>
      <c r="E12" s="6">
        <f t="shared" si="0"/>
        <v>0.36995827538247567</v>
      </c>
      <c r="F12" s="6">
        <f t="shared" si="1"/>
        <v>0.34511999999999998</v>
      </c>
    </row>
    <row r="13" spans="1:6" x14ac:dyDescent="0.3">
      <c r="A13" s="4" t="s">
        <v>12</v>
      </c>
      <c r="B13" s="4">
        <v>2</v>
      </c>
      <c r="C13" s="5">
        <v>8.0699999999999994E-2</v>
      </c>
      <c r="D13" s="6">
        <f>C9/C13</f>
        <v>1.5821561338289962</v>
      </c>
      <c r="E13" s="6">
        <f t="shared" si="0"/>
        <v>0.79107806691449811</v>
      </c>
      <c r="F13" s="6">
        <f t="shared" si="1"/>
        <v>0.16139999999999999</v>
      </c>
    </row>
    <row r="14" spans="1:6" x14ac:dyDescent="0.3">
      <c r="A14" s="4" t="s">
        <v>12</v>
      </c>
      <c r="B14" s="4">
        <v>3</v>
      </c>
      <c r="C14" s="5">
        <v>6.3049999999999995E-2</v>
      </c>
      <c r="D14" s="6">
        <f>C9/C14</f>
        <v>2.0250594766058683</v>
      </c>
      <c r="E14" s="6">
        <f t="shared" si="0"/>
        <v>0.67501982553528939</v>
      </c>
      <c r="F14" s="6">
        <f t="shared" si="1"/>
        <v>0.18914999999999998</v>
      </c>
    </row>
    <row r="15" spans="1:6" x14ac:dyDescent="0.3">
      <c r="A15" s="4" t="s">
        <v>12</v>
      </c>
      <c r="B15" s="4">
        <v>4</v>
      </c>
      <c r="C15" s="5">
        <v>8.8550000000000004E-2</v>
      </c>
      <c r="D15" s="6">
        <f>C9/C15</f>
        <v>1.4418972332015809</v>
      </c>
      <c r="E15" s="6">
        <f t="shared" si="0"/>
        <v>0.36047430830039523</v>
      </c>
      <c r="F15" s="6">
        <f t="shared" si="1"/>
        <v>0.35420000000000001</v>
      </c>
    </row>
    <row r="16" spans="1:6" x14ac:dyDescent="0.3">
      <c r="A16" s="4" t="s">
        <v>13</v>
      </c>
      <c r="B16" s="4">
        <v>1</v>
      </c>
      <c r="C16" s="5">
        <v>0.26082</v>
      </c>
      <c r="D16" s="4"/>
      <c r="E16" s="4"/>
      <c r="F16" s="4"/>
    </row>
    <row r="17" spans="1:6" x14ac:dyDescent="0.3">
      <c r="A17" s="4" t="s">
        <v>14</v>
      </c>
      <c r="B17" s="4">
        <v>2</v>
      </c>
      <c r="C17" s="5">
        <v>0.15154999999999999</v>
      </c>
      <c r="D17" s="6">
        <f>C16/C17</f>
        <v>1.7210161662817554</v>
      </c>
      <c r="E17" s="6">
        <f t="shared" ref="E17:E22" si="2">D17/B17</f>
        <v>0.86050808314087768</v>
      </c>
      <c r="F17" s="6">
        <f t="shared" ref="F17:F22" si="3">B17*C17</f>
        <v>0.30309999999999998</v>
      </c>
    </row>
    <row r="18" spans="1:6" x14ac:dyDescent="0.3">
      <c r="A18" s="4" t="s">
        <v>14</v>
      </c>
      <c r="B18" s="4">
        <v>3</v>
      </c>
      <c r="C18" s="5">
        <v>0.11464000000000001</v>
      </c>
      <c r="D18" s="6">
        <f>C16/C18</f>
        <v>2.2751221214235868</v>
      </c>
      <c r="E18" s="6">
        <f t="shared" si="2"/>
        <v>0.75837404047452894</v>
      </c>
      <c r="F18" s="6">
        <f t="shared" si="3"/>
        <v>0.34392</v>
      </c>
    </row>
    <row r="19" spans="1:6" x14ac:dyDescent="0.3">
      <c r="A19" s="4" t="s">
        <v>14</v>
      </c>
      <c r="B19" s="4">
        <v>4</v>
      </c>
      <c r="C19" s="5">
        <v>0.10097</v>
      </c>
      <c r="D19" s="6">
        <f>C16/C19</f>
        <v>2.583143507972665</v>
      </c>
      <c r="E19" s="6">
        <f t="shared" si="2"/>
        <v>0.64578587699316625</v>
      </c>
      <c r="F19" s="6">
        <f t="shared" si="3"/>
        <v>0.40388000000000002</v>
      </c>
    </row>
    <row r="20" spans="1:6" ht="27.6" x14ac:dyDescent="0.3">
      <c r="A20" s="4" t="s">
        <v>15</v>
      </c>
      <c r="B20" s="4">
        <v>2</v>
      </c>
      <c r="C20" s="5">
        <v>1.2317199999999999</v>
      </c>
      <c r="D20" s="6">
        <f>C16/C20</f>
        <v>0.21175267106160492</v>
      </c>
      <c r="E20" s="6">
        <f t="shared" si="2"/>
        <v>0.10587633553080246</v>
      </c>
      <c r="F20" s="6">
        <f t="shared" si="3"/>
        <v>2.4634399999999999</v>
      </c>
    </row>
    <row r="21" spans="1:6" ht="27.6" x14ac:dyDescent="0.3">
      <c r="A21" s="4" t="s">
        <v>15</v>
      </c>
      <c r="B21" s="4">
        <v>3</v>
      </c>
      <c r="C21" s="5">
        <v>1.16035</v>
      </c>
      <c r="D21" s="6">
        <f>C16/C21</f>
        <v>0.22477700693756195</v>
      </c>
      <c r="E21" s="6">
        <f t="shared" si="2"/>
        <v>7.4925668979187315E-2</v>
      </c>
      <c r="F21" s="6">
        <f t="shared" si="3"/>
        <v>3.4810499999999998</v>
      </c>
    </row>
    <row r="22" spans="1:6" ht="27.6" x14ac:dyDescent="0.3">
      <c r="A22" s="4" t="s">
        <v>15</v>
      </c>
      <c r="B22" s="4">
        <v>4</v>
      </c>
      <c r="C22" s="5">
        <v>2.1085799999999999</v>
      </c>
      <c r="D22" s="6">
        <f>C16/C22</f>
        <v>0.12369461912756452</v>
      </c>
      <c r="E22" s="6">
        <f t="shared" si="2"/>
        <v>3.092365478189113E-2</v>
      </c>
      <c r="F22" s="6">
        <f t="shared" si="3"/>
        <v>8.4343199999999996</v>
      </c>
    </row>
    <row r="24" spans="1:6" ht="15" customHeight="1" x14ac:dyDescent="0.3">
      <c r="A24" s="1" t="s">
        <v>16</v>
      </c>
      <c r="B24" s="1"/>
      <c r="C24" s="1"/>
      <c r="D24" s="1"/>
      <c r="E24" s="1"/>
      <c r="F24" s="1"/>
    </row>
    <row r="25" spans="1:6" x14ac:dyDescent="0.3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</row>
    <row r="26" spans="1:6" x14ac:dyDescent="0.3">
      <c r="A26" s="4" t="s">
        <v>8</v>
      </c>
      <c r="B26" s="4">
        <v>1</v>
      </c>
      <c r="C26" s="5">
        <v>5.6767099999999999</v>
      </c>
      <c r="D26" s="4"/>
      <c r="E26" s="4"/>
      <c r="F26" s="4"/>
    </row>
    <row r="27" spans="1:6" x14ac:dyDescent="0.3">
      <c r="A27" s="4" t="s">
        <v>9</v>
      </c>
      <c r="B27" s="4">
        <v>2</v>
      </c>
      <c r="C27" s="5">
        <v>4.16282</v>
      </c>
      <c r="D27" s="6">
        <f>C26/C27</f>
        <v>1.3636693395342581</v>
      </c>
      <c r="E27" s="6">
        <f>D27/B27</f>
        <v>0.68183466976712903</v>
      </c>
      <c r="F27" s="6">
        <f>B27*C27</f>
        <v>8.3256399999999999</v>
      </c>
    </row>
    <row r="28" spans="1:6" x14ac:dyDescent="0.3">
      <c r="A28" s="4" t="s">
        <v>9</v>
      </c>
      <c r="B28" s="4">
        <v>3</v>
      </c>
      <c r="C28" s="5">
        <v>2.7314799999999999</v>
      </c>
      <c r="D28" s="6">
        <f>C26/C28</f>
        <v>2.078254279731135</v>
      </c>
      <c r="E28" s="6">
        <f>D28/B28</f>
        <v>0.69275142657704503</v>
      </c>
      <c r="F28" s="6">
        <f>B28*C28</f>
        <v>8.1944400000000002</v>
      </c>
    </row>
    <row r="29" spans="1:6" x14ac:dyDescent="0.3">
      <c r="A29" s="4" t="s">
        <v>9</v>
      </c>
      <c r="B29" s="4">
        <v>4</v>
      </c>
      <c r="C29" s="5">
        <v>2.1115499999999998</v>
      </c>
      <c r="D29" s="6">
        <f>C26/C29</f>
        <v>2.6884089886576215</v>
      </c>
      <c r="E29" s="6">
        <f>D29/B29</f>
        <v>0.67210224716440536</v>
      </c>
      <c r="F29" s="6">
        <f>B29*C29</f>
        <v>8.4461999999999993</v>
      </c>
    </row>
    <row r="30" spans="1:6" x14ac:dyDescent="0.3">
      <c r="A30" s="4" t="s">
        <v>10</v>
      </c>
      <c r="B30" s="4">
        <v>1</v>
      </c>
      <c r="C30" s="5">
        <v>0.22356999999999999</v>
      </c>
      <c r="D30" s="4"/>
      <c r="E30" s="4"/>
      <c r="F30" s="4"/>
    </row>
    <row r="31" spans="1:6" x14ac:dyDescent="0.3">
      <c r="A31" s="4" t="s">
        <v>11</v>
      </c>
      <c r="B31" s="4">
        <v>2</v>
      </c>
      <c r="C31" s="5">
        <v>0.22958000000000001</v>
      </c>
      <c r="D31" s="6">
        <f>C30/C31</f>
        <v>0.97382176147748056</v>
      </c>
      <c r="E31" s="6">
        <f t="shared" ref="E31:E36" si="4">D31/B31</f>
        <v>0.48691088073874028</v>
      </c>
      <c r="F31" s="6">
        <f t="shared" ref="F31:F36" si="5">B31*C31</f>
        <v>0.45916000000000001</v>
      </c>
    </row>
    <row r="32" spans="1:6" x14ac:dyDescent="0.3">
      <c r="A32" s="4" t="s">
        <v>11</v>
      </c>
      <c r="B32" s="4">
        <v>3</v>
      </c>
      <c r="C32" s="5">
        <v>0.16311999999999999</v>
      </c>
      <c r="D32" s="6">
        <f>C30/C32</f>
        <v>1.3705860716037275</v>
      </c>
      <c r="E32" s="6">
        <f t="shared" si="4"/>
        <v>0.45686202386790914</v>
      </c>
      <c r="F32" s="6">
        <f t="shared" si="5"/>
        <v>0.48935999999999996</v>
      </c>
    </row>
    <row r="33" spans="1:6" x14ac:dyDescent="0.3">
      <c r="A33" s="4" t="s">
        <v>11</v>
      </c>
      <c r="B33" s="4">
        <v>4</v>
      </c>
      <c r="C33" s="5">
        <v>0.12822</v>
      </c>
      <c r="D33" s="6">
        <f>C30/C33</f>
        <v>1.7436437373264702</v>
      </c>
      <c r="E33" s="6">
        <f t="shared" si="4"/>
        <v>0.43591093433161754</v>
      </c>
      <c r="F33" s="6">
        <f t="shared" si="5"/>
        <v>0.51288</v>
      </c>
    </row>
    <row r="34" spans="1:6" x14ac:dyDescent="0.3">
      <c r="A34" s="4" t="s">
        <v>12</v>
      </c>
      <c r="B34" s="4">
        <v>2</v>
      </c>
      <c r="C34" s="5">
        <v>0.22835</v>
      </c>
      <c r="D34" s="6">
        <f>C30/C34</f>
        <v>0.97906722137070279</v>
      </c>
      <c r="E34" s="6">
        <f t="shared" si="4"/>
        <v>0.48953361068535139</v>
      </c>
      <c r="F34" s="6">
        <f t="shared" si="5"/>
        <v>0.45669999999999999</v>
      </c>
    </row>
    <row r="35" spans="1:6" x14ac:dyDescent="0.3">
      <c r="A35" s="4" t="s">
        <v>12</v>
      </c>
      <c r="B35" s="4">
        <v>3</v>
      </c>
      <c r="C35" s="5">
        <v>0.16189999999999999</v>
      </c>
      <c r="D35" s="6">
        <f>C30/C35</f>
        <v>1.3809141445336628</v>
      </c>
      <c r="E35" s="6">
        <f t="shared" si="4"/>
        <v>0.46030471484455426</v>
      </c>
      <c r="F35" s="6">
        <f t="shared" si="5"/>
        <v>0.48569999999999997</v>
      </c>
    </row>
    <row r="36" spans="1:6" x14ac:dyDescent="0.3">
      <c r="A36" s="4" t="s">
        <v>12</v>
      </c>
      <c r="B36" s="4">
        <v>4</v>
      </c>
      <c r="C36" s="5">
        <v>0.12994</v>
      </c>
      <c r="D36" s="6">
        <f>C30/C36</f>
        <v>1.7205633369247344</v>
      </c>
      <c r="E36" s="6">
        <f t="shared" si="4"/>
        <v>0.4301408342311836</v>
      </c>
      <c r="F36" s="6">
        <f t="shared" si="5"/>
        <v>0.51976</v>
      </c>
    </row>
    <row r="37" spans="1:6" x14ac:dyDescent="0.3">
      <c r="A37" s="4" t="s">
        <v>13</v>
      </c>
      <c r="B37" s="4">
        <v>1</v>
      </c>
      <c r="C37" s="5">
        <v>0.44407999999999997</v>
      </c>
      <c r="D37" s="4"/>
      <c r="E37" s="4"/>
      <c r="F37" s="4"/>
    </row>
    <row r="38" spans="1:6" x14ac:dyDescent="0.3">
      <c r="A38" s="4" t="s">
        <v>14</v>
      </c>
      <c r="B38" s="4">
        <v>2</v>
      </c>
      <c r="C38" s="5">
        <v>0.27788000000000002</v>
      </c>
      <c r="D38" s="6">
        <f>C37/C38</f>
        <v>1.5980998992370805</v>
      </c>
      <c r="E38" s="6">
        <f t="shared" ref="E38:E43" si="6">D38/B38</f>
        <v>0.79904994961854026</v>
      </c>
      <c r="F38" s="6">
        <f t="shared" ref="F38:F43" si="7">B38*C38</f>
        <v>0.55576000000000003</v>
      </c>
    </row>
    <row r="39" spans="1:6" x14ac:dyDescent="0.3">
      <c r="A39" s="4" t="s">
        <v>14</v>
      </c>
      <c r="B39" s="4">
        <v>3</v>
      </c>
      <c r="C39" s="5">
        <v>0.1946</v>
      </c>
      <c r="D39" s="6">
        <f>C37/C39</f>
        <v>2.2820143884892086</v>
      </c>
      <c r="E39" s="6">
        <f t="shared" si="6"/>
        <v>0.76067146282973619</v>
      </c>
      <c r="F39" s="6">
        <f t="shared" si="7"/>
        <v>0.58379999999999999</v>
      </c>
    </row>
    <row r="40" spans="1:6" x14ac:dyDescent="0.3">
      <c r="A40" s="4" t="s">
        <v>14</v>
      </c>
      <c r="B40" s="4">
        <v>4</v>
      </c>
      <c r="C40" s="5">
        <v>0.15667</v>
      </c>
      <c r="D40" s="6">
        <f>C37/C40</f>
        <v>2.8344928831301459</v>
      </c>
      <c r="E40" s="6">
        <f t="shared" si="6"/>
        <v>0.70862322078253648</v>
      </c>
      <c r="F40" s="6">
        <f t="shared" si="7"/>
        <v>0.62668000000000001</v>
      </c>
    </row>
    <row r="41" spans="1:6" ht="27.6" x14ac:dyDescent="0.3">
      <c r="A41" s="4" t="s">
        <v>15</v>
      </c>
      <c r="B41" s="4">
        <v>2</v>
      </c>
      <c r="C41" s="5">
        <v>3.2648899999999998</v>
      </c>
      <c r="D41" s="6">
        <f>C37/C41</f>
        <v>0.13601683364523767</v>
      </c>
      <c r="E41" s="6">
        <f t="shared" si="6"/>
        <v>6.8008416822618836E-2</v>
      </c>
      <c r="F41" s="6">
        <f t="shared" si="7"/>
        <v>6.5297799999999997</v>
      </c>
    </row>
    <row r="42" spans="1:6" ht="27.6" x14ac:dyDescent="0.3">
      <c r="A42" s="4" t="s">
        <v>15</v>
      </c>
      <c r="B42" s="4">
        <v>3</v>
      </c>
      <c r="C42" s="5">
        <v>2.94937</v>
      </c>
      <c r="D42" s="6">
        <f>C37/C42</f>
        <v>0.15056774836660031</v>
      </c>
      <c r="E42" s="6">
        <f t="shared" si="6"/>
        <v>5.0189249455533436E-2</v>
      </c>
      <c r="F42" s="6">
        <f t="shared" si="7"/>
        <v>8.8481100000000001</v>
      </c>
    </row>
    <row r="43" spans="1:6" ht="27.6" x14ac:dyDescent="0.3">
      <c r="A43" s="4" t="s">
        <v>15</v>
      </c>
      <c r="B43" s="4">
        <v>4</v>
      </c>
      <c r="C43" s="5">
        <v>3.3216700000000001</v>
      </c>
      <c r="D43" s="6">
        <f>C37/C43</f>
        <v>0.13369178756468883</v>
      </c>
      <c r="E43" s="6">
        <f t="shared" si="6"/>
        <v>3.3422946891172207E-2</v>
      </c>
      <c r="F43" s="6">
        <f t="shared" si="7"/>
        <v>13.28668</v>
      </c>
    </row>
    <row r="45" spans="1:6" ht="15" customHeight="1" x14ac:dyDescent="0.3">
      <c r="A45" s="1" t="s">
        <v>17</v>
      </c>
      <c r="B45" s="1"/>
      <c r="C45" s="1"/>
      <c r="D45" s="1"/>
      <c r="E45" s="1"/>
      <c r="F45" s="1"/>
    </row>
    <row r="46" spans="1:6" x14ac:dyDescent="0.3">
      <c r="A46" s="3" t="s">
        <v>2</v>
      </c>
      <c r="B46" s="3" t="s">
        <v>3</v>
      </c>
      <c r="C46" s="3" t="s">
        <v>4</v>
      </c>
      <c r="D46" s="3" t="s">
        <v>5</v>
      </c>
      <c r="E46" s="3" t="s">
        <v>6</v>
      </c>
      <c r="F46" s="3" t="s">
        <v>7</v>
      </c>
    </row>
    <row r="47" spans="1:6" x14ac:dyDescent="0.3">
      <c r="A47" s="4" t="s">
        <v>8</v>
      </c>
      <c r="B47" s="4">
        <v>1</v>
      </c>
      <c r="C47" s="5">
        <v>8.1023899999999998</v>
      </c>
      <c r="D47" s="4"/>
      <c r="E47" s="4"/>
      <c r="F47" s="4"/>
    </row>
    <row r="48" spans="1:6" x14ac:dyDescent="0.3">
      <c r="A48" s="4" t="s">
        <v>9</v>
      </c>
      <c r="B48" s="4">
        <v>2</v>
      </c>
      <c r="C48" s="5">
        <v>5.8406900000000004</v>
      </c>
      <c r="D48" s="6">
        <f>C47/C48</f>
        <v>1.3872316455761218</v>
      </c>
      <c r="E48" s="6">
        <f>D48/B48</f>
        <v>0.69361582278806089</v>
      </c>
      <c r="F48" s="6">
        <f>B48*C48</f>
        <v>11.681380000000001</v>
      </c>
    </row>
    <row r="49" spans="1:6" x14ac:dyDescent="0.3">
      <c r="A49" s="4" t="s">
        <v>9</v>
      </c>
      <c r="B49" s="4">
        <v>3</v>
      </c>
      <c r="C49" s="5">
        <v>3.8310900000000001</v>
      </c>
      <c r="D49" s="6">
        <f>C47/C49</f>
        <v>2.1149046354953809</v>
      </c>
      <c r="E49" s="6">
        <f>D49/B49</f>
        <v>0.70496821183179359</v>
      </c>
      <c r="F49" s="6">
        <f>B49*C49</f>
        <v>11.493270000000001</v>
      </c>
    </row>
    <row r="50" spans="1:6" x14ac:dyDescent="0.3">
      <c r="A50" s="4" t="s">
        <v>9</v>
      </c>
      <c r="B50" s="4">
        <v>4</v>
      </c>
      <c r="C50" s="5">
        <v>3.0015999999999998</v>
      </c>
      <c r="D50" s="6">
        <f>C47/C50</f>
        <v>2.6993570095948827</v>
      </c>
      <c r="E50" s="6">
        <f>D50/B50</f>
        <v>0.67483925239872067</v>
      </c>
      <c r="F50" s="6">
        <f>B50*C50</f>
        <v>12.006399999999999</v>
      </c>
    </row>
    <row r="51" spans="1:6" x14ac:dyDescent="0.3">
      <c r="A51" s="4" t="s">
        <v>10</v>
      </c>
      <c r="B51" s="4">
        <v>1</v>
      </c>
      <c r="C51" s="5">
        <v>0.31320999999999999</v>
      </c>
      <c r="D51" s="4"/>
      <c r="E51" s="4"/>
      <c r="F51" s="4"/>
    </row>
    <row r="52" spans="1:6" x14ac:dyDescent="0.3">
      <c r="A52" s="4" t="s">
        <v>11</v>
      </c>
      <c r="B52" s="4">
        <v>2</v>
      </c>
      <c r="C52" s="5">
        <v>0.31169999999999998</v>
      </c>
      <c r="D52" s="6">
        <f>C51/C52</f>
        <v>1.0048444016682707</v>
      </c>
      <c r="E52" s="6">
        <f t="shared" ref="E52:E57" si="8">D52/B52</f>
        <v>0.50242220083413536</v>
      </c>
      <c r="F52" s="6">
        <f t="shared" ref="F52:F57" si="9">B52*C52</f>
        <v>0.62339999999999995</v>
      </c>
    </row>
    <row r="53" spans="1:6" x14ac:dyDescent="0.3">
      <c r="A53" s="4" t="s">
        <v>11</v>
      </c>
      <c r="B53" s="4">
        <v>3</v>
      </c>
      <c r="C53" s="5">
        <v>0.21077000000000001</v>
      </c>
      <c r="D53" s="6">
        <f>C51/C53</f>
        <v>1.4860274232575792</v>
      </c>
      <c r="E53" s="6">
        <f t="shared" si="8"/>
        <v>0.49534247441919305</v>
      </c>
      <c r="F53" s="6">
        <f t="shared" si="9"/>
        <v>0.63231000000000004</v>
      </c>
    </row>
    <row r="54" spans="1:6" x14ac:dyDescent="0.3">
      <c r="A54" s="4" t="s">
        <v>11</v>
      </c>
      <c r="B54" s="4">
        <v>4</v>
      </c>
      <c r="C54" s="5">
        <v>0.17771000000000001</v>
      </c>
      <c r="D54" s="6">
        <f>C51/C54</f>
        <v>1.7624781948117718</v>
      </c>
      <c r="E54" s="6">
        <f t="shared" si="8"/>
        <v>0.44061954870294295</v>
      </c>
      <c r="F54" s="6">
        <f t="shared" si="9"/>
        <v>0.71084000000000003</v>
      </c>
    </row>
    <row r="55" spans="1:6" x14ac:dyDescent="0.3">
      <c r="A55" s="4" t="s">
        <v>12</v>
      </c>
      <c r="B55" s="4">
        <v>2</v>
      </c>
      <c r="C55" s="5">
        <v>0.30778</v>
      </c>
      <c r="D55" s="6">
        <f>C51/C55</f>
        <v>1.0176424718955097</v>
      </c>
      <c r="E55" s="6">
        <f t="shared" si="8"/>
        <v>0.50882123594775486</v>
      </c>
      <c r="F55" s="6">
        <f t="shared" si="9"/>
        <v>0.61556</v>
      </c>
    </row>
    <row r="56" spans="1:6" x14ac:dyDescent="0.3">
      <c r="A56" s="4" t="s">
        <v>12</v>
      </c>
      <c r="B56" s="4">
        <v>3</v>
      </c>
      <c r="C56" s="5">
        <v>0.21251999999999999</v>
      </c>
      <c r="D56" s="6">
        <f>C51/C56</f>
        <v>1.4737907020515717</v>
      </c>
      <c r="E56" s="6">
        <f t="shared" si="8"/>
        <v>0.4912635673505239</v>
      </c>
      <c r="F56" s="6">
        <f t="shared" si="9"/>
        <v>0.6375599999999999</v>
      </c>
    </row>
    <row r="57" spans="1:6" x14ac:dyDescent="0.3">
      <c r="A57" s="4" t="s">
        <v>12</v>
      </c>
      <c r="B57" s="4">
        <v>4</v>
      </c>
      <c r="C57" s="5">
        <v>0.18287999999999999</v>
      </c>
      <c r="D57" s="6">
        <f>C51/C57</f>
        <v>1.7126531058617673</v>
      </c>
      <c r="E57" s="6">
        <f t="shared" si="8"/>
        <v>0.42816327646544183</v>
      </c>
      <c r="F57" s="6">
        <f t="shared" si="9"/>
        <v>0.73151999999999995</v>
      </c>
    </row>
    <row r="58" spans="1:6" x14ac:dyDescent="0.3">
      <c r="A58" s="4" t="s">
        <v>13</v>
      </c>
      <c r="B58" s="4">
        <v>1</v>
      </c>
      <c r="C58" s="5">
        <v>0.62844</v>
      </c>
      <c r="D58" s="4"/>
      <c r="E58" s="4"/>
      <c r="F58" s="4"/>
    </row>
    <row r="59" spans="1:6" x14ac:dyDescent="0.3">
      <c r="A59" s="4" t="s">
        <v>14</v>
      </c>
      <c r="B59" s="4">
        <v>2</v>
      </c>
      <c r="C59" s="5">
        <v>0.37402000000000002</v>
      </c>
      <c r="D59" s="6">
        <f>C58/C59</f>
        <v>1.6802310036896422</v>
      </c>
      <c r="E59" s="6">
        <f t="shared" ref="E59:E64" si="10">D59/B59</f>
        <v>0.84011550184482109</v>
      </c>
      <c r="F59" s="6">
        <f t="shared" ref="F59:F64" si="11">B59*C59</f>
        <v>0.74804000000000004</v>
      </c>
    </row>
    <row r="60" spans="1:6" x14ac:dyDescent="0.3">
      <c r="A60" s="4" t="s">
        <v>14</v>
      </c>
      <c r="B60" s="4">
        <v>3</v>
      </c>
      <c r="C60" s="5">
        <v>0.25951999999999997</v>
      </c>
      <c r="D60" s="6">
        <f>C58/C60</f>
        <v>2.4215474722564738</v>
      </c>
      <c r="E60" s="6">
        <f t="shared" si="10"/>
        <v>0.80718249075215798</v>
      </c>
      <c r="F60" s="6">
        <f t="shared" si="11"/>
        <v>0.77855999999999992</v>
      </c>
    </row>
    <row r="61" spans="1:6" x14ac:dyDescent="0.3">
      <c r="A61" s="4" t="s">
        <v>14</v>
      </c>
      <c r="B61" s="4">
        <v>4</v>
      </c>
      <c r="C61" s="5">
        <v>0.20932999999999999</v>
      </c>
      <c r="D61" s="6">
        <f>C58/C61</f>
        <v>3.0021497157598054</v>
      </c>
      <c r="E61" s="6">
        <f t="shared" si="10"/>
        <v>0.75053742893995135</v>
      </c>
      <c r="F61" s="6">
        <f t="shared" si="11"/>
        <v>0.83731999999999995</v>
      </c>
    </row>
    <row r="62" spans="1:6" ht="27.6" x14ac:dyDescent="0.3">
      <c r="A62" s="4" t="s">
        <v>15</v>
      </c>
      <c r="B62" s="4">
        <v>2</v>
      </c>
      <c r="C62" s="5">
        <v>4.4252599999999997</v>
      </c>
      <c r="D62" s="6">
        <f>C58/C62</f>
        <v>0.14201199477544824</v>
      </c>
      <c r="E62" s="6">
        <f t="shared" si="10"/>
        <v>7.1005997387724118E-2</v>
      </c>
      <c r="F62" s="6">
        <f t="shared" si="11"/>
        <v>8.8505199999999995</v>
      </c>
    </row>
    <row r="63" spans="1:6" ht="27.6" x14ac:dyDescent="0.3">
      <c r="A63" s="4" t="s">
        <v>15</v>
      </c>
      <c r="B63" s="4">
        <v>3</v>
      </c>
      <c r="C63" s="5">
        <v>4.2432699999999999</v>
      </c>
      <c r="D63" s="6">
        <f>C58/C63</f>
        <v>0.14810276037112888</v>
      </c>
      <c r="E63" s="6">
        <f t="shared" si="10"/>
        <v>4.936758679037629E-2</v>
      </c>
      <c r="F63" s="6">
        <f t="shared" si="11"/>
        <v>12.729810000000001</v>
      </c>
    </row>
    <row r="64" spans="1:6" ht="27.6" x14ac:dyDescent="0.3">
      <c r="A64" s="4" t="s">
        <v>15</v>
      </c>
      <c r="B64" s="4">
        <v>4</v>
      </c>
      <c r="C64" s="5">
        <v>4.7216800000000001</v>
      </c>
      <c r="D64" s="6">
        <f>C58/C64</f>
        <v>0.13309669439690958</v>
      </c>
      <c r="E64" s="6">
        <f t="shared" si="10"/>
        <v>3.3274173599227394E-2</v>
      </c>
      <c r="F64" s="6">
        <f t="shared" si="11"/>
        <v>18.88672</v>
      </c>
    </row>
    <row r="66" spans="1:6" ht="15" customHeight="1" x14ac:dyDescent="0.3">
      <c r="A66" s="1" t="s">
        <v>18</v>
      </c>
      <c r="B66" s="1"/>
      <c r="C66" s="1"/>
      <c r="D66" s="1"/>
      <c r="E66" s="1"/>
      <c r="F66" s="1"/>
    </row>
    <row r="67" spans="1:6" x14ac:dyDescent="0.3">
      <c r="A67" s="3" t="s">
        <v>2</v>
      </c>
      <c r="B67" s="3" t="s">
        <v>3</v>
      </c>
      <c r="C67" s="3" t="s">
        <v>4</v>
      </c>
      <c r="D67" s="3" t="s">
        <v>5</v>
      </c>
      <c r="E67" s="3" t="s">
        <v>6</v>
      </c>
      <c r="F67" s="3" t="s">
        <v>7</v>
      </c>
    </row>
    <row r="68" spans="1:6" x14ac:dyDescent="0.3">
      <c r="A68" s="4" t="s">
        <v>8</v>
      </c>
      <c r="B68" s="4">
        <v>1</v>
      </c>
      <c r="C68" s="5">
        <v>10.1196</v>
      </c>
      <c r="D68" s="4"/>
      <c r="E68" s="4"/>
      <c r="F68" s="4"/>
    </row>
    <row r="69" spans="1:6" x14ac:dyDescent="0.3">
      <c r="A69" s="4" t="s">
        <v>9</v>
      </c>
      <c r="B69" s="4">
        <v>2</v>
      </c>
      <c r="C69" s="5">
        <v>7.5485100000000003</v>
      </c>
      <c r="D69" s="6">
        <f>C68/C69</f>
        <v>1.3406089413672366</v>
      </c>
      <c r="E69" s="6">
        <f>D69/B69</f>
        <v>0.67030447068361831</v>
      </c>
      <c r="F69" s="6">
        <f>B69*C69</f>
        <v>15.097020000000001</v>
      </c>
    </row>
    <row r="70" spans="1:6" x14ac:dyDescent="0.3">
      <c r="A70" s="4" t="s">
        <v>9</v>
      </c>
      <c r="B70" s="4">
        <v>3</v>
      </c>
      <c r="C70" s="5">
        <v>3.6006499999999999</v>
      </c>
      <c r="D70" s="6">
        <f>C68/C70</f>
        <v>2.8104925499562579</v>
      </c>
      <c r="E70" s="6">
        <f>D70/B70</f>
        <v>0.93683084998541932</v>
      </c>
      <c r="F70" s="6">
        <f>B70*C70</f>
        <v>10.80195</v>
      </c>
    </row>
    <row r="71" spans="1:6" x14ac:dyDescent="0.3">
      <c r="A71" s="4" t="s">
        <v>9</v>
      </c>
      <c r="B71" s="4">
        <v>4</v>
      </c>
      <c r="C71" s="5">
        <v>2.6618499999999998</v>
      </c>
      <c r="D71" s="6">
        <f>C68/C71</f>
        <v>3.8017168510622317</v>
      </c>
      <c r="E71" s="6">
        <f>D71/B71</f>
        <v>0.95042921276555792</v>
      </c>
      <c r="F71" s="6">
        <f>B71*C71</f>
        <v>10.647399999999999</v>
      </c>
    </row>
    <row r="72" spans="1:6" x14ac:dyDescent="0.3">
      <c r="A72" s="4" t="s">
        <v>10</v>
      </c>
      <c r="B72" s="4">
        <v>1</v>
      </c>
      <c r="C72" s="5">
        <v>0.39639000000000002</v>
      </c>
      <c r="D72" s="4"/>
      <c r="E72" s="4"/>
      <c r="F72" s="4"/>
    </row>
    <row r="73" spans="1:6" x14ac:dyDescent="0.3">
      <c r="A73" s="4" t="s">
        <v>11</v>
      </c>
      <c r="B73" s="4">
        <v>2</v>
      </c>
      <c r="C73" s="5">
        <v>0.39668999999999999</v>
      </c>
      <c r="D73" s="6">
        <f>C72/C73</f>
        <v>0.99924374196475851</v>
      </c>
      <c r="E73" s="6">
        <f t="shared" ref="E73:E78" si="12">D73/B73</f>
        <v>0.49962187098237926</v>
      </c>
      <c r="F73" s="6">
        <f t="shared" ref="F73:F78" si="13">B73*C73</f>
        <v>0.79337999999999997</v>
      </c>
    </row>
    <row r="74" spans="1:6" x14ac:dyDescent="0.3">
      <c r="A74" s="4" t="s">
        <v>11</v>
      </c>
      <c r="B74" s="4">
        <v>3</v>
      </c>
      <c r="C74" s="5">
        <v>0.16037000000000001</v>
      </c>
      <c r="D74" s="6">
        <f>C72/C74</f>
        <v>2.4717216436989462</v>
      </c>
      <c r="E74" s="6">
        <f t="shared" si="12"/>
        <v>0.82390721456631544</v>
      </c>
      <c r="F74" s="6">
        <f t="shared" si="13"/>
        <v>0.48111000000000004</v>
      </c>
    </row>
    <row r="75" spans="1:6" x14ac:dyDescent="0.3">
      <c r="A75" s="4" t="s">
        <v>11</v>
      </c>
      <c r="B75" s="4">
        <v>4</v>
      </c>
      <c r="C75" s="5">
        <v>0.12431</v>
      </c>
      <c r="D75" s="6">
        <f>C72/C75</f>
        <v>3.1887217440270295</v>
      </c>
      <c r="E75" s="6">
        <f t="shared" si="12"/>
        <v>0.79718043600675736</v>
      </c>
      <c r="F75" s="6">
        <f t="shared" si="13"/>
        <v>0.49724000000000002</v>
      </c>
    </row>
    <row r="76" spans="1:6" x14ac:dyDescent="0.3">
      <c r="A76" s="4" t="s">
        <v>12</v>
      </c>
      <c r="B76" s="4">
        <v>2</v>
      </c>
      <c r="C76" s="5">
        <v>0.38779999999999998</v>
      </c>
      <c r="D76" s="6">
        <f>C72/C76</f>
        <v>1.0221505930892214</v>
      </c>
      <c r="E76" s="6">
        <f t="shared" si="12"/>
        <v>0.5110752965446107</v>
      </c>
      <c r="F76" s="6">
        <f t="shared" si="13"/>
        <v>0.77559999999999996</v>
      </c>
    </row>
    <row r="77" spans="1:6" x14ac:dyDescent="0.3">
      <c r="A77" s="4" t="s">
        <v>12</v>
      </c>
      <c r="B77" s="4">
        <v>3</v>
      </c>
      <c r="C77" s="5">
        <v>0.16905000000000001</v>
      </c>
      <c r="D77" s="6">
        <f>C72/C77</f>
        <v>2.3448092280390416</v>
      </c>
      <c r="E77" s="6">
        <f t="shared" si="12"/>
        <v>0.78160307601301382</v>
      </c>
      <c r="F77" s="6">
        <f t="shared" si="13"/>
        <v>0.50714999999999999</v>
      </c>
    </row>
    <row r="78" spans="1:6" x14ac:dyDescent="0.3">
      <c r="A78" s="4" t="s">
        <v>12</v>
      </c>
      <c r="B78" s="4">
        <v>4</v>
      </c>
      <c r="C78" s="5">
        <v>0.13095000000000001</v>
      </c>
      <c r="D78" s="6">
        <f>C72/C78</f>
        <v>3.027033218785796</v>
      </c>
      <c r="E78" s="6">
        <f t="shared" si="12"/>
        <v>0.756758304696449</v>
      </c>
      <c r="F78" s="6">
        <f t="shared" si="13"/>
        <v>0.52380000000000004</v>
      </c>
    </row>
    <row r="79" spans="1:6" x14ac:dyDescent="0.3">
      <c r="A79" s="4" t="s">
        <v>13</v>
      </c>
      <c r="B79" s="4">
        <v>1</v>
      </c>
      <c r="C79" s="5">
        <v>0.81066000000000005</v>
      </c>
      <c r="D79" s="4"/>
      <c r="E79" s="4"/>
      <c r="F79" s="4"/>
    </row>
    <row r="80" spans="1:6" x14ac:dyDescent="0.3">
      <c r="A80" s="4" t="s">
        <v>14</v>
      </c>
      <c r="B80" s="4">
        <v>2</v>
      </c>
      <c r="C80" s="5">
        <v>0.47555999999999998</v>
      </c>
      <c r="D80" s="6">
        <f>C79/C80</f>
        <v>1.7046429472621754</v>
      </c>
      <c r="E80" s="6">
        <f t="shared" ref="E80:E85" si="14">D80/B80</f>
        <v>0.85232147363108768</v>
      </c>
      <c r="F80" s="6">
        <f t="shared" ref="F80:F85" si="15">B80*C80</f>
        <v>0.95111999999999997</v>
      </c>
    </row>
    <row r="81" spans="1:6" x14ac:dyDescent="0.3">
      <c r="A81" s="4" t="s">
        <v>14</v>
      </c>
      <c r="B81" s="4">
        <v>3</v>
      </c>
      <c r="C81" s="5">
        <v>0.30485000000000001</v>
      </c>
      <c r="D81" s="6">
        <f>C79/C81</f>
        <v>2.659209447269149</v>
      </c>
      <c r="E81" s="6">
        <f t="shared" si="14"/>
        <v>0.88640314908971629</v>
      </c>
      <c r="F81" s="6">
        <f t="shared" si="15"/>
        <v>0.91454999999999997</v>
      </c>
    </row>
    <row r="82" spans="1:6" x14ac:dyDescent="0.3">
      <c r="A82" s="4" t="s">
        <v>14</v>
      </c>
      <c r="B82" s="4">
        <v>4</v>
      </c>
      <c r="C82" s="5">
        <v>0.23519000000000001</v>
      </c>
      <c r="D82" s="6">
        <f>C79/C82</f>
        <v>3.4468302223734004</v>
      </c>
      <c r="E82" s="6">
        <f t="shared" si="14"/>
        <v>0.86170755559335011</v>
      </c>
      <c r="F82" s="6">
        <f t="shared" si="15"/>
        <v>0.94076000000000004</v>
      </c>
    </row>
    <row r="83" spans="1:6" ht="27.6" x14ac:dyDescent="0.3">
      <c r="A83" s="4" t="s">
        <v>15</v>
      </c>
      <c r="B83" s="4">
        <v>2</v>
      </c>
      <c r="C83" s="5">
        <v>5.6279000000000003</v>
      </c>
      <c r="D83" s="6">
        <f>C79/C83</f>
        <v>0.14404307112777412</v>
      </c>
      <c r="E83" s="6">
        <f t="shared" si="14"/>
        <v>7.202153556388706E-2</v>
      </c>
      <c r="F83" s="6">
        <f t="shared" si="15"/>
        <v>11.255800000000001</v>
      </c>
    </row>
    <row r="84" spans="1:6" ht="27.6" x14ac:dyDescent="0.3">
      <c r="A84" s="4" t="s">
        <v>15</v>
      </c>
      <c r="B84" s="4">
        <v>3</v>
      </c>
      <c r="C84" s="5">
        <v>3.3692000000000002</v>
      </c>
      <c r="D84" s="6">
        <f>C79/C84</f>
        <v>0.24060904665796035</v>
      </c>
      <c r="E84" s="6">
        <f t="shared" si="14"/>
        <v>8.0203015552653453E-2</v>
      </c>
      <c r="F84" s="6">
        <f t="shared" si="15"/>
        <v>10.107600000000001</v>
      </c>
    </row>
    <row r="85" spans="1:6" ht="27.6" x14ac:dyDescent="0.3">
      <c r="A85" s="4" t="s">
        <v>15</v>
      </c>
      <c r="B85" s="4">
        <v>4</v>
      </c>
      <c r="C85" s="5">
        <v>3.9236599999999999</v>
      </c>
      <c r="D85" s="6">
        <f>C79/C85</f>
        <v>0.20660811589179492</v>
      </c>
      <c r="E85" s="6">
        <f t="shared" si="14"/>
        <v>5.1652028972948731E-2</v>
      </c>
      <c r="F85" s="6">
        <f t="shared" si="15"/>
        <v>15.69464</v>
      </c>
    </row>
  </sheetData>
  <mergeCells count="4">
    <mergeCell ref="A3:F3"/>
    <mergeCell ref="A24:F24"/>
    <mergeCell ref="A45:F45"/>
    <mergeCell ref="A66:F6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showGridLines="0" tabSelected="1" zoomScaleNormal="100" workbookViewId="0">
      <pane ySplit="3" topLeftCell="A4" activePane="bottomLeft" state="frozen"/>
      <selection pane="bottomLeft" activeCell="P26" sqref="P26"/>
    </sheetView>
  </sheetViews>
  <sheetFormatPr defaultColWidth="8.6640625" defaultRowHeight="14.4" x14ac:dyDescent="0.3"/>
  <cols>
    <col min="1" max="1" width="10" customWidth="1"/>
    <col min="2" max="2" width="46" customWidth="1"/>
    <col min="3" max="3" width="12" customWidth="1"/>
    <col min="4" max="6" width="10" customWidth="1"/>
  </cols>
  <sheetData>
    <row r="1" spans="1:6" ht="15.6" x14ac:dyDescent="0.3">
      <c r="A1" s="2" t="s">
        <v>19</v>
      </c>
    </row>
    <row r="3" spans="1:6" ht="15" customHeight="1" x14ac:dyDescent="0.3">
      <c r="A3" s="1" t="s">
        <v>1</v>
      </c>
      <c r="B3" s="1"/>
      <c r="C3" s="1"/>
      <c r="D3" s="1"/>
      <c r="E3" s="1"/>
      <c r="F3" s="1"/>
    </row>
    <row r="4" spans="1:6" x14ac:dyDescent="0.3">
      <c r="A4" s="3" t="s">
        <v>3</v>
      </c>
      <c r="B4" s="3" t="s">
        <v>20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 t="s">
        <v>21</v>
      </c>
      <c r="B5" s="4" t="s">
        <v>22</v>
      </c>
      <c r="C5" s="5">
        <v>3.6069</v>
      </c>
      <c r="D5" s="4"/>
      <c r="E5" s="4"/>
      <c r="F5" s="4"/>
    </row>
    <row r="6" spans="1:6" x14ac:dyDescent="0.3">
      <c r="A6" s="4">
        <v>2</v>
      </c>
      <c r="B6" s="4" t="s">
        <v>23</v>
      </c>
      <c r="C6" s="5">
        <v>1.9542900000000001</v>
      </c>
      <c r="D6" s="6">
        <v>1.8460000000000001</v>
      </c>
      <c r="E6" s="6">
        <v>0.92300000000000004</v>
      </c>
      <c r="F6" s="6">
        <v>3.9089999999999998</v>
      </c>
    </row>
    <row r="7" spans="1:6" x14ac:dyDescent="0.3">
      <c r="A7" s="4">
        <v>2</v>
      </c>
      <c r="B7" s="4" t="s">
        <v>24</v>
      </c>
      <c r="C7" s="5">
        <v>1.95459</v>
      </c>
      <c r="D7" s="6">
        <v>1.845</v>
      </c>
      <c r="E7" s="6">
        <v>0.92300000000000004</v>
      </c>
      <c r="F7" s="6">
        <v>3.9089999999999998</v>
      </c>
    </row>
    <row r="8" spans="1:6" x14ac:dyDescent="0.3">
      <c r="A8" s="4">
        <v>2</v>
      </c>
      <c r="B8" s="4" t="s">
        <v>25</v>
      </c>
      <c r="C8" s="5">
        <v>4.5777999999999999</v>
      </c>
      <c r="D8" s="6">
        <v>0.78800000000000003</v>
      </c>
      <c r="E8" s="6">
        <v>0.39400000000000002</v>
      </c>
      <c r="F8" s="6">
        <v>9.1560000000000006</v>
      </c>
    </row>
    <row r="9" spans="1:6" x14ac:dyDescent="0.3">
      <c r="A9" s="4">
        <v>3</v>
      </c>
      <c r="B9" s="4" t="s">
        <v>26</v>
      </c>
      <c r="C9" s="5">
        <v>1.30701</v>
      </c>
      <c r="D9" s="6">
        <v>2.76</v>
      </c>
      <c r="E9" s="6">
        <v>0.92</v>
      </c>
      <c r="F9" s="6">
        <v>3.9209999999999998</v>
      </c>
    </row>
    <row r="10" spans="1:6" x14ac:dyDescent="0.3">
      <c r="A10" s="4">
        <v>3</v>
      </c>
      <c r="B10" s="4" t="s">
        <v>27</v>
      </c>
      <c r="C10" s="5">
        <v>1.3094399999999999</v>
      </c>
      <c r="D10" s="6">
        <v>2.7549999999999999</v>
      </c>
      <c r="E10" s="6">
        <v>0.91800000000000004</v>
      </c>
      <c r="F10" s="6">
        <v>3.9279999999999999</v>
      </c>
    </row>
    <row r="11" spans="1:6" x14ac:dyDescent="0.3">
      <c r="A11" s="4">
        <v>3</v>
      </c>
      <c r="B11" s="4" t="s">
        <v>25</v>
      </c>
      <c r="C11" s="5">
        <v>4.5064299999999999</v>
      </c>
      <c r="D11" s="6">
        <v>0.8</v>
      </c>
      <c r="E11" s="6">
        <v>0.26700000000000002</v>
      </c>
      <c r="F11" s="6">
        <v>13.519</v>
      </c>
    </row>
    <row r="12" spans="1:6" x14ac:dyDescent="0.3">
      <c r="A12" s="4">
        <v>4</v>
      </c>
      <c r="B12" s="4" t="s">
        <v>23</v>
      </c>
      <c r="C12" s="5">
        <v>1.3432500000000001</v>
      </c>
      <c r="D12" s="6">
        <v>2.6850000000000001</v>
      </c>
      <c r="E12" s="6">
        <v>0.67100000000000004</v>
      </c>
      <c r="F12" s="6">
        <v>5.3730000000000002</v>
      </c>
    </row>
    <row r="13" spans="1:6" x14ac:dyDescent="0.3">
      <c r="A13" s="4">
        <v>4</v>
      </c>
      <c r="B13" s="4" t="s">
        <v>24</v>
      </c>
      <c r="C13" s="5">
        <v>1.34552</v>
      </c>
      <c r="D13" s="6">
        <v>2.681</v>
      </c>
      <c r="E13" s="6">
        <v>0.67</v>
      </c>
      <c r="F13" s="6">
        <v>5.3819999999999997</v>
      </c>
    </row>
    <row r="14" spans="1:6" x14ac:dyDescent="0.3">
      <c r="A14" s="4">
        <v>4</v>
      </c>
      <c r="B14" s="4" t="s">
        <v>25</v>
      </c>
      <c r="C14" s="5">
        <v>5.45465</v>
      </c>
      <c r="D14" s="6">
        <v>0.66100000000000003</v>
      </c>
      <c r="E14" s="6">
        <v>0.16500000000000001</v>
      </c>
      <c r="F14" s="6">
        <v>21.818999999999999</v>
      </c>
    </row>
    <row r="16" spans="1:6" ht="15" customHeight="1" x14ac:dyDescent="0.3">
      <c r="A16" s="1" t="s">
        <v>16</v>
      </c>
      <c r="B16" s="1"/>
      <c r="C16" s="1"/>
      <c r="D16" s="1"/>
      <c r="E16" s="1"/>
      <c r="F16" s="1"/>
    </row>
    <row r="17" spans="1:6" x14ac:dyDescent="0.3">
      <c r="A17" s="3" t="s">
        <v>3</v>
      </c>
      <c r="B17" s="3" t="s">
        <v>20</v>
      </c>
      <c r="C17" s="3" t="s">
        <v>4</v>
      </c>
      <c r="D17" s="3" t="s">
        <v>5</v>
      </c>
      <c r="E17" s="3" t="s">
        <v>6</v>
      </c>
      <c r="F17" s="3" t="s">
        <v>7</v>
      </c>
    </row>
    <row r="18" spans="1:6" x14ac:dyDescent="0.3">
      <c r="A18" s="4" t="s">
        <v>21</v>
      </c>
      <c r="B18" s="4" t="s">
        <v>22</v>
      </c>
      <c r="C18" s="5">
        <v>6.34436</v>
      </c>
      <c r="D18" s="4"/>
      <c r="E18" s="4"/>
      <c r="F18" s="4"/>
    </row>
    <row r="19" spans="1:6" x14ac:dyDescent="0.3">
      <c r="A19" s="4">
        <v>2</v>
      </c>
      <c r="B19" s="4" t="s">
        <v>28</v>
      </c>
      <c r="C19" s="5">
        <v>4.6642700000000001</v>
      </c>
      <c r="D19" s="6">
        <v>1.36</v>
      </c>
      <c r="E19" s="6">
        <v>0.68</v>
      </c>
      <c r="F19" s="6">
        <v>9.3290000000000006</v>
      </c>
    </row>
    <row r="20" spans="1:6" x14ac:dyDescent="0.3">
      <c r="A20" s="4">
        <v>2</v>
      </c>
      <c r="B20" s="4" t="s">
        <v>24</v>
      </c>
      <c r="C20" s="5">
        <v>4.6690500000000004</v>
      </c>
      <c r="D20" s="6">
        <v>1.359</v>
      </c>
      <c r="E20" s="6">
        <v>0.67900000000000005</v>
      </c>
      <c r="F20" s="6">
        <v>9.3379999999999992</v>
      </c>
    </row>
    <row r="21" spans="1:6" x14ac:dyDescent="0.3">
      <c r="A21" s="4">
        <v>2</v>
      </c>
      <c r="B21" s="4" t="s">
        <v>29</v>
      </c>
      <c r="C21" s="5">
        <v>9.1711799999999997</v>
      </c>
      <c r="D21" s="6">
        <v>0.69199999999999995</v>
      </c>
      <c r="E21" s="6">
        <v>0.34599999999999997</v>
      </c>
      <c r="F21" s="6">
        <v>18.341999999999999</v>
      </c>
    </row>
    <row r="22" spans="1:6" x14ac:dyDescent="0.3">
      <c r="A22" s="4">
        <v>3</v>
      </c>
      <c r="B22" s="4" t="s">
        <v>26</v>
      </c>
      <c r="C22" s="5">
        <v>3.0879799999999999</v>
      </c>
      <c r="D22" s="6">
        <v>2.0550000000000002</v>
      </c>
      <c r="E22" s="6">
        <v>0.68500000000000005</v>
      </c>
      <c r="F22" s="6">
        <v>9.2639999999999993</v>
      </c>
    </row>
    <row r="23" spans="1:6" x14ac:dyDescent="0.3">
      <c r="A23" s="4">
        <v>3</v>
      </c>
      <c r="B23" s="4" t="s">
        <v>27</v>
      </c>
      <c r="C23" s="5">
        <v>3.0891999999999999</v>
      </c>
      <c r="D23" s="6">
        <v>2.0539999999999998</v>
      </c>
      <c r="E23" s="6">
        <v>0.68500000000000005</v>
      </c>
      <c r="F23" s="6">
        <v>9.2680000000000007</v>
      </c>
    </row>
    <row r="24" spans="1:6" x14ac:dyDescent="0.3">
      <c r="A24" s="4">
        <v>3</v>
      </c>
      <c r="B24" s="4" t="s">
        <v>25</v>
      </c>
      <c r="C24" s="5">
        <v>8.8496500000000005</v>
      </c>
      <c r="D24" s="6">
        <v>0.71699999999999997</v>
      </c>
      <c r="E24" s="6">
        <v>0.23899999999999999</v>
      </c>
      <c r="F24" s="6">
        <v>26.548999999999999</v>
      </c>
    </row>
    <row r="25" spans="1:6" x14ac:dyDescent="0.3">
      <c r="A25" s="4">
        <v>4</v>
      </c>
      <c r="B25" s="4" t="s">
        <v>23</v>
      </c>
      <c r="C25" s="5">
        <v>2.3964300000000001</v>
      </c>
      <c r="D25" s="6">
        <v>2.6469999999999998</v>
      </c>
      <c r="E25" s="6">
        <v>0.66200000000000003</v>
      </c>
      <c r="F25" s="6">
        <v>9.5860000000000003</v>
      </c>
    </row>
    <row r="26" spans="1:6" x14ac:dyDescent="0.3">
      <c r="A26" s="4">
        <v>4</v>
      </c>
      <c r="B26" s="4" t="s">
        <v>24</v>
      </c>
      <c r="C26" s="5">
        <v>2.3981599999999998</v>
      </c>
      <c r="D26" s="6">
        <v>2.6459999999999999</v>
      </c>
      <c r="E26" s="6">
        <v>0.66100000000000003</v>
      </c>
      <c r="F26" s="6">
        <v>9.593</v>
      </c>
    </row>
    <row r="27" spans="1:6" x14ac:dyDescent="0.3">
      <c r="A27" s="4">
        <v>4</v>
      </c>
      <c r="B27" s="4" t="s">
        <v>25</v>
      </c>
      <c r="C27" s="5">
        <v>9.2219499999999996</v>
      </c>
      <c r="D27" s="6">
        <v>0.68799999999999994</v>
      </c>
      <c r="E27" s="6">
        <v>0.17199999999999999</v>
      </c>
      <c r="F27" s="6">
        <v>36.887999999999998</v>
      </c>
    </row>
    <row r="29" spans="1:6" ht="15" customHeight="1" x14ac:dyDescent="0.3">
      <c r="A29" s="1" t="s">
        <v>17</v>
      </c>
      <c r="B29" s="1"/>
      <c r="C29" s="1"/>
      <c r="D29" s="1"/>
      <c r="E29" s="1"/>
      <c r="F29" s="1"/>
    </row>
    <row r="30" spans="1:6" x14ac:dyDescent="0.3">
      <c r="A30" s="3" t="s">
        <v>3</v>
      </c>
      <c r="B30" s="3" t="s">
        <v>20</v>
      </c>
      <c r="C30" s="3" t="s">
        <v>4</v>
      </c>
      <c r="D30" s="3" t="s">
        <v>5</v>
      </c>
      <c r="E30" s="3" t="s">
        <v>6</v>
      </c>
      <c r="F30" s="3" t="s">
        <v>7</v>
      </c>
    </row>
    <row r="31" spans="1:6" x14ac:dyDescent="0.3">
      <c r="A31" s="4" t="s">
        <v>21</v>
      </c>
      <c r="B31" s="4" t="s">
        <v>22</v>
      </c>
      <c r="C31" s="5">
        <v>9.0440400000000007</v>
      </c>
      <c r="D31" s="4"/>
      <c r="E31" s="4"/>
      <c r="F31" s="4"/>
    </row>
    <row r="32" spans="1:6" x14ac:dyDescent="0.3">
      <c r="A32" s="4">
        <v>2</v>
      </c>
      <c r="B32" s="4" t="s">
        <v>26</v>
      </c>
      <c r="C32" s="5">
        <v>6.5224900000000003</v>
      </c>
      <c r="D32" s="6">
        <v>1.387</v>
      </c>
      <c r="E32" s="6">
        <v>0.69299999999999995</v>
      </c>
      <c r="F32" s="6">
        <v>13.045</v>
      </c>
    </row>
    <row r="33" spans="1:6" x14ac:dyDescent="0.3">
      <c r="A33" s="4">
        <v>2</v>
      </c>
      <c r="B33" s="4" t="s">
        <v>27</v>
      </c>
      <c r="C33" s="5">
        <v>6.5264100000000003</v>
      </c>
      <c r="D33" s="6">
        <v>1.3859999999999999</v>
      </c>
      <c r="E33" s="6">
        <v>0.69299999999999995</v>
      </c>
      <c r="F33" s="6">
        <v>13.053000000000001</v>
      </c>
    </row>
    <row r="34" spans="1:6" x14ac:dyDescent="0.3">
      <c r="A34" s="4">
        <v>2</v>
      </c>
      <c r="B34" s="4" t="s">
        <v>25</v>
      </c>
      <c r="C34" s="5">
        <v>12.840859999999999</v>
      </c>
      <c r="D34" s="6">
        <v>0.70399999999999996</v>
      </c>
      <c r="E34" s="6">
        <v>0.35199999999999998</v>
      </c>
      <c r="F34" s="6">
        <v>25.681999999999999</v>
      </c>
    </row>
    <row r="35" spans="1:6" x14ac:dyDescent="0.3">
      <c r="A35" s="4">
        <v>3</v>
      </c>
      <c r="B35" s="4" t="s">
        <v>23</v>
      </c>
      <c r="C35" s="5">
        <v>4.30138</v>
      </c>
      <c r="D35" s="6">
        <v>2.1030000000000002</v>
      </c>
      <c r="E35" s="6">
        <v>0.70099999999999996</v>
      </c>
      <c r="F35" s="6">
        <v>12.904</v>
      </c>
    </row>
    <row r="36" spans="1:6" x14ac:dyDescent="0.3">
      <c r="A36" s="4">
        <v>3</v>
      </c>
      <c r="B36" s="4" t="s">
        <v>24</v>
      </c>
      <c r="C36" s="5">
        <v>4.30314</v>
      </c>
      <c r="D36" s="6">
        <v>2.1019999999999999</v>
      </c>
      <c r="E36" s="6">
        <v>0.70099999999999996</v>
      </c>
      <c r="F36" s="6">
        <v>12.909000000000001</v>
      </c>
    </row>
    <row r="37" spans="1:6" x14ac:dyDescent="0.3">
      <c r="A37" s="4">
        <v>3</v>
      </c>
      <c r="B37" s="4" t="s">
        <v>25</v>
      </c>
      <c r="C37" s="5">
        <v>12.65887</v>
      </c>
      <c r="D37" s="6">
        <v>0.71399999999999997</v>
      </c>
      <c r="E37" s="6">
        <v>0.23799999999999999</v>
      </c>
      <c r="F37" s="6">
        <v>37.976999999999997</v>
      </c>
    </row>
    <row r="38" spans="1:6" x14ac:dyDescent="0.3">
      <c r="A38" s="4">
        <v>4</v>
      </c>
      <c r="B38" s="4" t="s">
        <v>23</v>
      </c>
      <c r="C38" s="5">
        <v>3.3886400000000001</v>
      </c>
      <c r="D38" s="6">
        <v>2.669</v>
      </c>
      <c r="E38" s="6">
        <v>0.66700000000000004</v>
      </c>
      <c r="F38" s="6">
        <v>13.555</v>
      </c>
    </row>
    <row r="39" spans="1:6" x14ac:dyDescent="0.3">
      <c r="A39" s="4">
        <v>4</v>
      </c>
      <c r="B39" s="4" t="s">
        <v>24</v>
      </c>
      <c r="C39" s="5">
        <v>3.3938100000000002</v>
      </c>
      <c r="D39" s="6">
        <v>2.665</v>
      </c>
      <c r="E39" s="6">
        <v>0.66600000000000004</v>
      </c>
      <c r="F39" s="6">
        <v>13.574999999999999</v>
      </c>
    </row>
    <row r="40" spans="1:6" x14ac:dyDescent="0.3">
      <c r="A40" s="4">
        <v>4</v>
      </c>
      <c r="B40" s="4" t="s">
        <v>25</v>
      </c>
      <c r="C40" s="5">
        <v>13.137280000000001</v>
      </c>
      <c r="D40" s="6">
        <v>0.68799999999999994</v>
      </c>
      <c r="E40" s="6">
        <v>0.17199999999999999</v>
      </c>
      <c r="F40" s="6">
        <v>52.548999999999999</v>
      </c>
    </row>
    <row r="42" spans="1:6" ht="15" customHeight="1" x14ac:dyDescent="0.3">
      <c r="A42" s="1" t="s">
        <v>18</v>
      </c>
      <c r="B42" s="1"/>
      <c r="C42" s="1"/>
      <c r="D42" s="1"/>
      <c r="E42" s="1"/>
      <c r="F42" s="1"/>
    </row>
    <row r="43" spans="1:6" x14ac:dyDescent="0.3">
      <c r="A43" s="3" t="s">
        <v>3</v>
      </c>
      <c r="B43" s="3" t="s">
        <v>20</v>
      </c>
      <c r="C43" s="3" t="s">
        <v>4</v>
      </c>
      <c r="D43" s="3" t="s">
        <v>5</v>
      </c>
      <c r="E43" s="3" t="s">
        <v>6</v>
      </c>
      <c r="F43" s="3" t="s">
        <v>7</v>
      </c>
    </row>
    <row r="44" spans="1:6" x14ac:dyDescent="0.3">
      <c r="A44" s="4" t="s">
        <v>21</v>
      </c>
      <c r="B44" s="4" t="s">
        <v>22</v>
      </c>
      <c r="C44" s="5">
        <v>11.326639999999999</v>
      </c>
      <c r="D44" s="4"/>
      <c r="E44" s="4"/>
      <c r="F44" s="4"/>
    </row>
    <row r="45" spans="1:6" x14ac:dyDescent="0.3">
      <c r="A45" s="4">
        <v>2</v>
      </c>
      <c r="B45" s="4" t="s">
        <v>26</v>
      </c>
      <c r="C45" s="5">
        <v>8.4118700000000004</v>
      </c>
      <c r="D45" s="6">
        <v>1.347</v>
      </c>
      <c r="E45" s="6">
        <v>0.67300000000000004</v>
      </c>
      <c r="F45" s="6">
        <v>16.824000000000002</v>
      </c>
    </row>
    <row r="46" spans="1:6" x14ac:dyDescent="0.3">
      <c r="A46" s="4">
        <v>2</v>
      </c>
      <c r="B46" s="4" t="s">
        <v>30</v>
      </c>
      <c r="C46" s="5">
        <v>8.4204600000000003</v>
      </c>
      <c r="D46" s="6">
        <v>1.345</v>
      </c>
      <c r="E46" s="6">
        <v>0.67300000000000004</v>
      </c>
      <c r="F46" s="6">
        <v>16.841000000000001</v>
      </c>
    </row>
    <row r="47" spans="1:6" x14ac:dyDescent="0.3">
      <c r="A47" s="4">
        <v>2</v>
      </c>
      <c r="B47" s="4" t="s">
        <v>29</v>
      </c>
      <c r="C47" s="5">
        <v>16.144189999999998</v>
      </c>
      <c r="D47" s="6">
        <v>0.70199999999999996</v>
      </c>
      <c r="E47" s="6">
        <v>0.35099999999999998</v>
      </c>
      <c r="F47" s="6">
        <v>32.287999999999997</v>
      </c>
    </row>
    <row r="48" spans="1:6" x14ac:dyDescent="0.3">
      <c r="A48" s="4">
        <v>3</v>
      </c>
      <c r="B48" s="4" t="s">
        <v>23</v>
      </c>
      <c r="C48" s="5">
        <v>4.0658700000000003</v>
      </c>
      <c r="D48" s="6">
        <v>2.786</v>
      </c>
      <c r="E48" s="6">
        <v>0.92900000000000005</v>
      </c>
      <c r="F48" s="6">
        <v>12.198</v>
      </c>
    </row>
    <row r="49" spans="1:6" x14ac:dyDescent="0.3">
      <c r="A49" s="4">
        <v>3</v>
      </c>
      <c r="B49" s="4" t="s">
        <v>24</v>
      </c>
      <c r="C49" s="5">
        <v>4.0745500000000003</v>
      </c>
      <c r="D49" s="6">
        <v>2.78</v>
      </c>
      <c r="E49" s="6">
        <v>0.92700000000000005</v>
      </c>
      <c r="F49" s="6">
        <v>12.224</v>
      </c>
    </row>
    <row r="50" spans="1:6" x14ac:dyDescent="0.3">
      <c r="A50" s="4">
        <v>3</v>
      </c>
      <c r="B50" s="4" t="s">
        <v>25</v>
      </c>
      <c r="C50" s="5">
        <v>13.88519</v>
      </c>
      <c r="D50" s="6">
        <v>0.81599999999999995</v>
      </c>
      <c r="E50" s="6">
        <v>0.27200000000000002</v>
      </c>
      <c r="F50" s="6">
        <v>41.655999999999999</v>
      </c>
    </row>
    <row r="51" spans="1:6" x14ac:dyDescent="0.3">
      <c r="A51" s="4">
        <v>4</v>
      </c>
      <c r="B51" s="4" t="s">
        <v>23</v>
      </c>
      <c r="C51" s="5">
        <v>3.02135</v>
      </c>
      <c r="D51" s="6">
        <v>3.7490000000000001</v>
      </c>
      <c r="E51" s="6">
        <v>0.93700000000000006</v>
      </c>
      <c r="F51" s="6">
        <v>12.085000000000001</v>
      </c>
    </row>
    <row r="52" spans="1:6" x14ac:dyDescent="0.3">
      <c r="A52" s="4">
        <v>4</v>
      </c>
      <c r="B52" s="4" t="s">
        <v>24</v>
      </c>
      <c r="C52" s="5">
        <v>3.02799</v>
      </c>
      <c r="D52" s="6">
        <v>3.7410000000000001</v>
      </c>
      <c r="E52" s="6">
        <v>0.93500000000000005</v>
      </c>
      <c r="F52" s="6">
        <v>12.112</v>
      </c>
    </row>
    <row r="53" spans="1:6" x14ac:dyDescent="0.3">
      <c r="A53" s="4">
        <v>4</v>
      </c>
      <c r="B53" s="4" t="s">
        <v>25</v>
      </c>
      <c r="C53" s="5">
        <v>14.43965</v>
      </c>
      <c r="D53" s="6">
        <v>0.78400000000000003</v>
      </c>
      <c r="E53" s="6">
        <v>0.19600000000000001</v>
      </c>
      <c r="F53" s="6">
        <v>57.759</v>
      </c>
    </row>
  </sheetData>
  <mergeCells count="4">
    <mergeCell ref="A3:F3"/>
    <mergeCell ref="A16:F16"/>
    <mergeCell ref="A29:F29"/>
    <mergeCell ref="A42:F4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Таблица 1.2</vt:lpstr>
      <vt:lpstr>Таблица 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2026-10-16T09:10:30Z</dcterms:created>
  <dcterms:modified xsi:type="dcterms:W3CDTF">2026-10-16T09:42:37Z</dcterms:modified>
  <dc:language>en-US</dc:language>
</cp:coreProperties>
</file>