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Codespace\Files\3-rd course\5-th semester\Parallel computing\Laboratory work\Lab #1\Vlad\"/>
    </mc:Choice>
  </mc:AlternateContent>
  <xr:revisionPtr revIDLastSave="0" documentId="13_ncr:1_{59767C22-DD9B-452B-8239-B566C6A0CA7D}" xr6:coauthVersionLast="47" xr6:coauthVersionMax="47" xr10:uidLastSave="{00000000-0000-0000-0000-000000000000}"/>
  <bookViews>
    <workbookView xWindow="-108" yWindow="348" windowWidth="30936" windowHeight="17040" tabRatio="500" xr2:uid="{00000000-000D-0000-FFFF-FFFF00000000}"/>
  </bookViews>
  <sheets>
    <sheet name="Таблица 1.2" sheetId="1" r:id="rId1"/>
    <sheet name="Легенда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77" i="1" l="1"/>
  <c r="E77" i="1"/>
  <c r="D77" i="1"/>
  <c r="F76" i="1"/>
  <c r="E76" i="1"/>
  <c r="D76" i="1"/>
  <c r="F75" i="1"/>
  <c r="E75" i="1"/>
  <c r="D75" i="1"/>
  <c r="F74" i="1"/>
  <c r="E74" i="1"/>
  <c r="D74" i="1"/>
  <c r="F73" i="1"/>
  <c r="E73" i="1"/>
  <c r="D73" i="1"/>
  <c r="F72" i="1"/>
  <c r="E72" i="1"/>
  <c r="D72" i="1"/>
  <c r="F70" i="1"/>
  <c r="E70" i="1"/>
  <c r="D70" i="1"/>
  <c r="F69" i="1"/>
  <c r="E69" i="1"/>
  <c r="D69" i="1"/>
  <c r="F68" i="1"/>
  <c r="E68" i="1"/>
  <c r="D68" i="1"/>
  <c r="F67" i="1"/>
  <c r="E67" i="1"/>
  <c r="D67" i="1"/>
  <c r="F66" i="1"/>
  <c r="E66" i="1"/>
  <c r="D66" i="1"/>
  <c r="F65" i="1"/>
  <c r="E65" i="1"/>
  <c r="D65" i="1"/>
  <c r="F63" i="1"/>
  <c r="E63" i="1"/>
  <c r="D63" i="1"/>
  <c r="F62" i="1"/>
  <c r="E62" i="1"/>
  <c r="D62" i="1"/>
  <c r="F61" i="1"/>
  <c r="E61" i="1"/>
  <c r="D61" i="1"/>
  <c r="F58" i="1"/>
  <c r="E58" i="1"/>
  <c r="D58" i="1"/>
  <c r="F57" i="1"/>
  <c r="E57" i="1"/>
  <c r="D57" i="1"/>
  <c r="F56" i="1"/>
  <c r="E56" i="1"/>
  <c r="D56" i="1"/>
  <c r="F55" i="1"/>
  <c r="E55" i="1"/>
  <c r="D55" i="1"/>
  <c r="F54" i="1"/>
  <c r="E54" i="1"/>
  <c r="D54" i="1"/>
  <c r="F53" i="1"/>
  <c r="E53" i="1"/>
  <c r="D53" i="1"/>
  <c r="F51" i="1"/>
  <c r="E51" i="1"/>
  <c r="D51" i="1"/>
  <c r="F50" i="1"/>
  <c r="E50" i="1"/>
  <c r="D50" i="1"/>
  <c r="F49" i="1"/>
  <c r="E49" i="1"/>
  <c r="D49" i="1"/>
  <c r="F48" i="1"/>
  <c r="E48" i="1"/>
  <c r="D48" i="1"/>
  <c r="F47" i="1"/>
  <c r="E47" i="1"/>
  <c r="D47" i="1"/>
  <c r="F46" i="1"/>
  <c r="E46" i="1"/>
  <c r="D46" i="1"/>
  <c r="F44" i="1"/>
  <c r="E44" i="1"/>
  <c r="D44" i="1"/>
  <c r="F43" i="1"/>
  <c r="E43" i="1"/>
  <c r="D43" i="1"/>
  <c r="F42" i="1"/>
  <c r="E42" i="1"/>
  <c r="D42" i="1"/>
  <c r="F39" i="1"/>
  <c r="E39" i="1"/>
  <c r="D39" i="1"/>
  <c r="F38" i="1"/>
  <c r="E38" i="1"/>
  <c r="D38" i="1"/>
  <c r="F37" i="1"/>
  <c r="E37" i="1"/>
  <c r="D37" i="1"/>
  <c r="F36" i="1"/>
  <c r="E36" i="1"/>
  <c r="D36" i="1"/>
  <c r="F35" i="1"/>
  <c r="E35" i="1"/>
  <c r="D35" i="1"/>
  <c r="F34" i="1"/>
  <c r="E34" i="1"/>
  <c r="D34" i="1"/>
  <c r="F32" i="1"/>
  <c r="E32" i="1"/>
  <c r="D32" i="1"/>
  <c r="F31" i="1"/>
  <c r="E31" i="1"/>
  <c r="D31" i="1"/>
  <c r="F30" i="1"/>
  <c r="E30" i="1"/>
  <c r="D30" i="1"/>
  <c r="F29" i="1"/>
  <c r="E29" i="1"/>
  <c r="D29" i="1"/>
  <c r="F28" i="1"/>
  <c r="E28" i="1"/>
  <c r="D28" i="1"/>
  <c r="F27" i="1"/>
  <c r="E27" i="1"/>
  <c r="D27" i="1"/>
  <c r="F25" i="1"/>
  <c r="E25" i="1"/>
  <c r="D25" i="1"/>
  <c r="F24" i="1"/>
  <c r="E24" i="1"/>
  <c r="D24" i="1"/>
  <c r="F23" i="1"/>
  <c r="E23" i="1"/>
  <c r="D23" i="1"/>
  <c r="F20" i="1"/>
  <c r="E20" i="1"/>
  <c r="D20" i="1"/>
  <c r="F19" i="1"/>
  <c r="E19" i="1"/>
  <c r="D19" i="1"/>
  <c r="F18" i="1"/>
  <c r="E18" i="1"/>
  <c r="D18" i="1"/>
  <c r="F17" i="1"/>
  <c r="E17" i="1"/>
  <c r="D17" i="1"/>
  <c r="F16" i="1"/>
  <c r="E16" i="1"/>
  <c r="D16" i="1"/>
  <c r="F15" i="1"/>
  <c r="E15" i="1"/>
  <c r="D15" i="1"/>
  <c r="F13" i="1"/>
  <c r="E13" i="1"/>
  <c r="D13" i="1"/>
  <c r="F12" i="1"/>
  <c r="E12" i="1"/>
  <c r="D12" i="1"/>
  <c r="F11" i="1"/>
  <c r="E11" i="1"/>
  <c r="D11" i="1"/>
  <c r="F10" i="1"/>
  <c r="E10" i="1"/>
  <c r="D10" i="1"/>
  <c r="F9" i="1"/>
  <c r="E9" i="1"/>
  <c r="D9" i="1"/>
  <c r="F8" i="1"/>
  <c r="E8" i="1"/>
  <c r="D8" i="1"/>
  <c r="F6" i="1"/>
  <c r="E6" i="1"/>
  <c r="D6" i="1"/>
  <c r="F5" i="1"/>
  <c r="E5" i="1"/>
  <c r="D5" i="1"/>
  <c r="F4" i="1"/>
  <c r="E4" i="1"/>
  <c r="D4" i="1"/>
</calcChain>
</file>

<file path=xl/sharedStrings.xml><?xml version="1.0" encoding="utf-8"?>
<sst xmlns="http://schemas.openxmlformats.org/spreadsheetml/2006/main" count="46" uniqueCount="22">
  <si>
    <t>Функция (реализация)</t>
  </si>
  <si>
    <t>Потоков</t>
  </si>
  <si>
    <t>Время, мс.</t>
  </si>
  <si>
    <t>Sp(n)</t>
  </si>
  <si>
    <t>Ep(n)</t>
  </si>
  <si>
    <t>Cp(n)</t>
  </si>
  <si>
    <t>НД 100000</t>
  </si>
  <si>
    <t>Заполнение массивов (посл.)</t>
  </si>
  <si>
    <t>Заполнение массивов (парал. FOR)</t>
  </si>
  <si>
    <t>Сложение массивов (посл.)</t>
  </si>
  <si>
    <t>Сложение массивов (парал. FOR)</t>
  </si>
  <si>
    <t>Сложение массивов (парал. Sections)</t>
  </si>
  <si>
    <t>Подсчет суммы элементов итогового массива (посл.)</t>
  </si>
  <si>
    <t>Подсчет суммы элементов итогового массива (парал. редуктор)</t>
  </si>
  <si>
    <t>Подсчет суммы элементов итогового массива (парал. критическая секция)</t>
  </si>
  <si>
    <t>НД 170000</t>
  </si>
  <si>
    <t>НД 240000</t>
  </si>
  <si>
    <t>НД 310000</t>
  </si>
  <si>
    <t>Как читать таблицу</t>
  </si>
  <si>
    <t>Зелёные ячейки в столбце «Время, мс.» — реальные результаты замеров из results.csv (300 итераций, доверительный интервал по медиане).</t>
  </si>
  <si>
    <t>Sp(n), Ep(n), Cp(n) считаются формулами: Sp(n)=T1(n)/Tp(n), Ep(n)=Sp(n)/p, Cp(n)=p*Tp(n).</t>
  </si>
  <si>
    <t>T1(n) — время последовательного варианта того же блока и того же набора данных (НД).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</si>
</sst>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3" x14ac:knownFonts="1">
    <font>
      <sz val="11"/>
      <color theme="1"/>
      <name val="Calibri"/>
      <family val="2"/>
      <charset val="1"/>
    </font>
    <font>
      <b/>
      <sz val="11"/>
      <name val="Arial"/>
      <family val="2"/>
      <charset val="204"/>
    </font>
    <font>
      <sz val="11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E2EFDA"/>
      </patternFill>
    </fill>
    <fill>
      <patternFill patternType="solid">
        <fgColor theme="0"/>
        <bgColor rgb="FFD9E1F2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0" xfId="0" applyFill="1"/>
    <xf numFmtId="0" fontId="1" fillId="3" borderId="1" xfId="0" applyFont="1" applyFill="1" applyBorder="1"/>
    <xf numFmtId="0" fontId="2" fillId="2" borderId="1" xfId="0" applyFont="1" applyFill="1" applyBorder="1"/>
    <xf numFmtId="0" fontId="0" fillId="2" borderId="1" xfId="0" applyFill="1" applyBorder="1"/>
    <xf numFmtId="164" fontId="0" fillId="4" borderId="1" xfId="0" applyNumberFormat="1" applyFill="1" applyBorder="1"/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/>
    </xf>
    <xf numFmtId="164" fontId="2" fillId="4" borderId="1" xfId="0" applyNumberFormat="1" applyFont="1" applyFill="1" applyBorder="1"/>
    <xf numFmtId="165" fontId="2" fillId="2" borderId="1" xfId="0" applyNumberFormat="1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7"/>
  <sheetViews>
    <sheetView tabSelected="1" zoomScaleNormal="100" workbookViewId="0">
      <pane ySplit="1" topLeftCell="A2" activePane="bottomLeft" state="frozen"/>
      <selection pane="bottomLeft" activeCell="M22" sqref="M22"/>
    </sheetView>
  </sheetViews>
  <sheetFormatPr defaultColWidth="8.6640625" defaultRowHeight="14.4" x14ac:dyDescent="0.3"/>
  <cols>
    <col min="1" max="1" width="50" style="4" customWidth="1"/>
    <col min="2" max="2" width="10" style="4" customWidth="1"/>
    <col min="3" max="3" width="12" style="4" customWidth="1"/>
    <col min="4" max="6" width="10" style="4" customWidth="1"/>
    <col min="7" max="16384" width="8.6640625" style="4"/>
  </cols>
  <sheetData>
    <row r="1" spans="1:6" ht="30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15" customHeight="1" x14ac:dyDescent="0.3">
      <c r="A2" s="5" t="s">
        <v>6</v>
      </c>
      <c r="B2" s="5"/>
      <c r="C2" s="5"/>
      <c r="D2" s="5"/>
      <c r="E2" s="5"/>
      <c r="F2" s="5"/>
    </row>
    <row r="3" spans="1:6" ht="15" customHeight="1" x14ac:dyDescent="0.3">
      <c r="A3" s="6" t="s">
        <v>7</v>
      </c>
      <c r="B3" s="7"/>
      <c r="C3" s="8">
        <v>9.0000099999999996</v>
      </c>
      <c r="D3" s="7"/>
      <c r="E3" s="7"/>
      <c r="F3" s="7"/>
    </row>
    <row r="4" spans="1:6" ht="15" customHeight="1" x14ac:dyDescent="0.3">
      <c r="A4" s="9" t="s">
        <v>8</v>
      </c>
      <c r="B4" s="10">
        <v>2</v>
      </c>
      <c r="C4" s="11">
        <v>4.8401300000000003</v>
      </c>
      <c r="D4" s="12">
        <f>$C$3/C4</f>
        <v>1.8594562542741619</v>
      </c>
      <c r="E4" s="12">
        <f>D4/B4</f>
        <v>0.92972812713708097</v>
      </c>
      <c r="F4" s="12">
        <f>B4*C4</f>
        <v>9.6802600000000005</v>
      </c>
    </row>
    <row r="5" spans="1:6" ht="15" customHeight="1" x14ac:dyDescent="0.3">
      <c r="A5" s="9"/>
      <c r="B5" s="10">
        <v>3</v>
      </c>
      <c r="C5" s="11">
        <v>3.0000100000000001</v>
      </c>
      <c r="D5" s="12">
        <f>$C$3/C5</f>
        <v>2.9999933333555551</v>
      </c>
      <c r="E5" s="12">
        <f>D5/B5</f>
        <v>0.99999777778518506</v>
      </c>
      <c r="F5" s="12">
        <f>B5*C5</f>
        <v>9.0000300000000006</v>
      </c>
    </row>
    <row r="6" spans="1:6" ht="15" customHeight="1" x14ac:dyDescent="0.3">
      <c r="A6" s="9"/>
      <c r="B6" s="10">
        <v>4</v>
      </c>
      <c r="C6" s="11">
        <v>3</v>
      </c>
      <c r="D6" s="12">
        <f>$C$3/C6</f>
        <v>3.0000033333333334</v>
      </c>
      <c r="E6" s="12">
        <f>D6/B6</f>
        <v>0.75000083333333334</v>
      </c>
      <c r="F6" s="12">
        <f>B6*C6</f>
        <v>12</v>
      </c>
    </row>
    <row r="7" spans="1:6" ht="15" customHeight="1" x14ac:dyDescent="0.3">
      <c r="A7" s="6" t="s">
        <v>9</v>
      </c>
      <c r="B7" s="7"/>
      <c r="C7" s="8">
        <v>0.26</v>
      </c>
      <c r="D7" s="7"/>
      <c r="E7" s="7"/>
      <c r="F7" s="7"/>
    </row>
    <row r="8" spans="1:6" ht="15" customHeight="1" x14ac:dyDescent="0.3">
      <c r="A8" s="9" t="s">
        <v>10</v>
      </c>
      <c r="B8" s="10">
        <v>2</v>
      </c>
      <c r="C8" s="11">
        <v>0.164436</v>
      </c>
      <c r="D8" s="12">
        <f t="shared" ref="D8:D13" si="0">$C$7/C8</f>
        <v>1.5811622759006545</v>
      </c>
      <c r="E8" s="12">
        <f t="shared" ref="E8:E13" si="1">D8/B8</f>
        <v>0.79058113795032725</v>
      </c>
      <c r="F8" s="12">
        <f t="shared" ref="F8:F13" si="2">B8*C8</f>
        <v>0.328872</v>
      </c>
    </row>
    <row r="9" spans="1:6" ht="15" customHeight="1" x14ac:dyDescent="0.3">
      <c r="A9" s="9"/>
      <c r="B9" s="10">
        <v>3</v>
      </c>
      <c r="C9" s="11">
        <v>0.12</v>
      </c>
      <c r="D9" s="12">
        <f t="shared" si="0"/>
        <v>2.166666666666667</v>
      </c>
      <c r="E9" s="12">
        <f t="shared" si="1"/>
        <v>0.72222222222222232</v>
      </c>
      <c r="F9" s="12">
        <f t="shared" si="2"/>
        <v>0.36</v>
      </c>
    </row>
    <row r="10" spans="1:6" ht="15" customHeight="1" x14ac:dyDescent="0.3">
      <c r="A10" s="9"/>
      <c r="B10" s="10">
        <v>4</v>
      </c>
      <c r="C10" s="11">
        <v>0.12</v>
      </c>
      <c r="D10" s="12">
        <f t="shared" si="0"/>
        <v>2.166666666666667</v>
      </c>
      <c r="E10" s="12">
        <f t="shared" si="1"/>
        <v>0.54166666666666674</v>
      </c>
      <c r="F10" s="12">
        <f t="shared" si="2"/>
        <v>0.48</v>
      </c>
    </row>
    <row r="11" spans="1:6" ht="15" customHeight="1" x14ac:dyDescent="0.3">
      <c r="A11" s="9" t="s">
        <v>11</v>
      </c>
      <c r="B11" s="10">
        <v>2</v>
      </c>
      <c r="C11" s="11">
        <v>0.16664200000000001</v>
      </c>
      <c r="D11" s="12">
        <f t="shared" si="0"/>
        <v>1.5602309141752979</v>
      </c>
      <c r="E11" s="12">
        <f t="shared" si="1"/>
        <v>0.78011545708764896</v>
      </c>
      <c r="F11" s="12">
        <f t="shared" si="2"/>
        <v>0.33328400000000002</v>
      </c>
    </row>
    <row r="12" spans="1:6" ht="15" customHeight="1" x14ac:dyDescent="0.3">
      <c r="A12" s="9"/>
      <c r="B12" s="10">
        <v>3</v>
      </c>
      <c r="C12" s="11">
        <v>0.134545</v>
      </c>
      <c r="D12" s="12">
        <f t="shared" si="0"/>
        <v>1.9324389609424357</v>
      </c>
      <c r="E12" s="12">
        <f t="shared" si="1"/>
        <v>0.6441463203141452</v>
      </c>
      <c r="F12" s="12">
        <f t="shared" si="2"/>
        <v>0.40363499999999997</v>
      </c>
    </row>
    <row r="13" spans="1:6" ht="15" customHeight="1" x14ac:dyDescent="0.3">
      <c r="A13" s="9"/>
      <c r="B13" s="10">
        <v>4</v>
      </c>
      <c r="C13" s="11">
        <v>0.113603</v>
      </c>
      <c r="D13" s="12">
        <f t="shared" si="0"/>
        <v>2.2886719540857197</v>
      </c>
      <c r="E13" s="12">
        <f t="shared" si="1"/>
        <v>0.57216798852142992</v>
      </c>
      <c r="F13" s="12">
        <f t="shared" si="2"/>
        <v>0.45441199999999998</v>
      </c>
    </row>
    <row r="14" spans="1:6" ht="15" customHeight="1" x14ac:dyDescent="0.3">
      <c r="A14" s="6" t="s">
        <v>12</v>
      </c>
      <c r="B14" s="7"/>
      <c r="C14" s="8">
        <v>0.24</v>
      </c>
      <c r="D14" s="7"/>
      <c r="E14" s="7"/>
      <c r="F14" s="7"/>
    </row>
    <row r="15" spans="1:6" ht="15" customHeight="1" x14ac:dyDescent="0.3">
      <c r="A15" s="9" t="s">
        <v>13</v>
      </c>
      <c r="B15" s="10">
        <v>2</v>
      </c>
      <c r="C15" s="11">
        <v>0.16</v>
      </c>
      <c r="D15" s="12">
        <f t="shared" ref="D15:D20" si="3">$C$14/C15</f>
        <v>1.5</v>
      </c>
      <c r="E15" s="12">
        <f t="shared" ref="E15:E20" si="4">D15/B15</f>
        <v>0.75</v>
      </c>
      <c r="F15" s="12">
        <f t="shared" ref="F15:F20" si="5">B15*C15</f>
        <v>0.32</v>
      </c>
    </row>
    <row r="16" spans="1:6" ht="15" customHeight="1" x14ac:dyDescent="0.3">
      <c r="A16" s="9"/>
      <c r="B16" s="10">
        <v>3</v>
      </c>
      <c r="C16" s="11">
        <v>0.14000000000000001</v>
      </c>
      <c r="D16" s="12">
        <f t="shared" si="3"/>
        <v>1.714285714285714</v>
      </c>
      <c r="E16" s="12">
        <f t="shared" si="4"/>
        <v>0.57142857142857129</v>
      </c>
      <c r="F16" s="12">
        <f t="shared" si="5"/>
        <v>0.42000000000000004</v>
      </c>
    </row>
    <row r="17" spans="1:6" ht="15" customHeight="1" x14ac:dyDescent="0.3">
      <c r="A17" s="9"/>
      <c r="B17" s="10">
        <v>4</v>
      </c>
      <c r="C17" s="11">
        <v>0.11225599999999999</v>
      </c>
      <c r="D17" s="12">
        <f t="shared" si="3"/>
        <v>2.137970353477765</v>
      </c>
      <c r="E17" s="12">
        <f t="shared" si="4"/>
        <v>0.53449258836944125</v>
      </c>
      <c r="F17" s="12">
        <f t="shared" si="5"/>
        <v>0.44902399999999998</v>
      </c>
    </row>
    <row r="18" spans="1:6" ht="15" customHeight="1" x14ac:dyDescent="0.3">
      <c r="A18" s="9" t="s">
        <v>14</v>
      </c>
      <c r="B18" s="10">
        <v>2</v>
      </c>
      <c r="C18" s="11">
        <v>0.16745499999999999</v>
      </c>
      <c r="D18" s="12">
        <f t="shared" si="3"/>
        <v>1.4332208653070975</v>
      </c>
      <c r="E18" s="12">
        <f t="shared" si="4"/>
        <v>0.71661043265354873</v>
      </c>
      <c r="F18" s="12">
        <f t="shared" si="5"/>
        <v>0.33490999999999999</v>
      </c>
    </row>
    <row r="19" spans="1:6" ht="15" customHeight="1" x14ac:dyDescent="0.3">
      <c r="A19" s="9"/>
      <c r="B19" s="10">
        <v>3</v>
      </c>
      <c r="C19" s="11">
        <v>0.16</v>
      </c>
      <c r="D19" s="12">
        <f t="shared" si="3"/>
        <v>1.5</v>
      </c>
      <c r="E19" s="12">
        <f t="shared" si="4"/>
        <v>0.5</v>
      </c>
      <c r="F19" s="12">
        <f t="shared" si="5"/>
        <v>0.48</v>
      </c>
    </row>
    <row r="20" spans="1:6" ht="15" customHeight="1" x14ac:dyDescent="0.3">
      <c r="A20" s="9"/>
      <c r="B20" s="10">
        <v>4</v>
      </c>
      <c r="C20" s="11">
        <v>0.14000000000000001</v>
      </c>
      <c r="D20" s="12">
        <f t="shared" si="3"/>
        <v>1.714285714285714</v>
      </c>
      <c r="E20" s="12">
        <f t="shared" si="4"/>
        <v>0.42857142857142849</v>
      </c>
      <c r="F20" s="12">
        <f t="shared" si="5"/>
        <v>0.56000000000000005</v>
      </c>
    </row>
    <row r="21" spans="1:6" ht="15" customHeight="1" x14ac:dyDescent="0.3">
      <c r="A21" s="5" t="s">
        <v>15</v>
      </c>
      <c r="B21" s="5"/>
      <c r="C21" s="5"/>
      <c r="D21" s="5"/>
      <c r="E21" s="5"/>
      <c r="F21" s="5"/>
    </row>
    <row r="22" spans="1:6" ht="15" customHeight="1" x14ac:dyDescent="0.3">
      <c r="A22" s="6" t="s">
        <v>7</v>
      </c>
      <c r="B22" s="7"/>
      <c r="C22" s="8">
        <v>14.9293</v>
      </c>
      <c r="D22" s="7"/>
      <c r="E22" s="7"/>
      <c r="F22" s="7"/>
    </row>
    <row r="23" spans="1:6" ht="15" customHeight="1" x14ac:dyDescent="0.3">
      <c r="A23" s="9" t="s">
        <v>8</v>
      </c>
      <c r="B23" s="10">
        <v>2</v>
      </c>
      <c r="C23" s="11">
        <v>7.6734</v>
      </c>
      <c r="D23" s="12">
        <f>$C$22/C23</f>
        <v>1.9455912633252535</v>
      </c>
      <c r="E23" s="12">
        <f>D23/B23</f>
        <v>0.97279563166262673</v>
      </c>
      <c r="F23" s="12">
        <f>B23*C23</f>
        <v>15.3468</v>
      </c>
    </row>
    <row r="24" spans="1:6" ht="15" customHeight="1" x14ac:dyDescent="0.3">
      <c r="A24" s="9"/>
      <c r="B24" s="10">
        <v>3</v>
      </c>
      <c r="C24" s="11">
        <v>6</v>
      </c>
      <c r="D24" s="12">
        <f>$C$22/C24</f>
        <v>2.4882166666666667</v>
      </c>
      <c r="E24" s="12">
        <f>D24/B24</f>
        <v>0.82940555555555562</v>
      </c>
      <c r="F24" s="12">
        <f>B24*C24</f>
        <v>18</v>
      </c>
    </row>
    <row r="25" spans="1:6" ht="15" customHeight="1" x14ac:dyDescent="0.3">
      <c r="A25" s="9"/>
      <c r="B25" s="10">
        <v>4</v>
      </c>
      <c r="C25" s="11">
        <v>4.2945200000000003</v>
      </c>
      <c r="D25" s="12">
        <f>$C$22/C25</f>
        <v>3.476360571146484</v>
      </c>
      <c r="E25" s="12">
        <f>D25/B25</f>
        <v>0.869090142786621</v>
      </c>
      <c r="F25" s="12">
        <f>B25*C25</f>
        <v>17.178080000000001</v>
      </c>
    </row>
    <row r="26" spans="1:6" ht="15" customHeight="1" x14ac:dyDescent="0.3">
      <c r="A26" s="6" t="s">
        <v>9</v>
      </c>
      <c r="B26" s="7"/>
      <c r="C26" s="8">
        <v>0.436589</v>
      </c>
      <c r="D26" s="7"/>
      <c r="E26" s="7"/>
      <c r="F26" s="7"/>
    </row>
    <row r="27" spans="1:6" ht="15" customHeight="1" x14ac:dyDescent="0.3">
      <c r="A27" s="9" t="s">
        <v>10</v>
      </c>
      <c r="B27" s="10">
        <v>2</v>
      </c>
      <c r="C27" s="11">
        <v>0.24</v>
      </c>
      <c r="D27" s="12">
        <f t="shared" ref="D27:D32" si="6">$C$26/C27</f>
        <v>1.8191208333333335</v>
      </c>
      <c r="E27" s="12">
        <f t="shared" ref="E27:E32" si="7">D27/B27</f>
        <v>0.90956041666666676</v>
      </c>
      <c r="F27" s="12">
        <f t="shared" ref="F27:F32" si="8">B27*C27</f>
        <v>0.48</v>
      </c>
    </row>
    <row r="28" spans="1:6" ht="15" customHeight="1" x14ac:dyDescent="0.3">
      <c r="A28" s="9"/>
      <c r="B28" s="10">
        <v>3</v>
      </c>
      <c r="C28" s="11">
        <v>0.203458</v>
      </c>
      <c r="D28" s="12">
        <f t="shared" si="6"/>
        <v>2.1458433681644369</v>
      </c>
      <c r="E28" s="12">
        <f t="shared" si="7"/>
        <v>0.71528112272147892</v>
      </c>
      <c r="F28" s="12">
        <f t="shared" si="8"/>
        <v>0.61037399999999997</v>
      </c>
    </row>
    <row r="29" spans="1:6" ht="15" customHeight="1" x14ac:dyDescent="0.3">
      <c r="A29" s="9"/>
      <c r="B29" s="10">
        <v>4</v>
      </c>
      <c r="C29" s="11">
        <v>0.16</v>
      </c>
      <c r="D29" s="12">
        <f t="shared" si="6"/>
        <v>2.7286812500000002</v>
      </c>
      <c r="E29" s="12">
        <f t="shared" si="7"/>
        <v>0.68217031250000004</v>
      </c>
      <c r="F29" s="12">
        <f t="shared" si="8"/>
        <v>0.64</v>
      </c>
    </row>
    <row r="30" spans="1:6" ht="15" customHeight="1" x14ac:dyDescent="0.3">
      <c r="A30" s="9" t="s">
        <v>11</v>
      </c>
      <c r="B30" s="10">
        <v>2</v>
      </c>
      <c r="C30" s="11">
        <v>0.26302999999999999</v>
      </c>
      <c r="D30" s="12">
        <f t="shared" si="6"/>
        <v>1.6598448846139224</v>
      </c>
      <c r="E30" s="12">
        <f t="shared" si="7"/>
        <v>0.82992244230696122</v>
      </c>
      <c r="F30" s="12">
        <f t="shared" si="8"/>
        <v>0.52605999999999997</v>
      </c>
    </row>
    <row r="31" spans="1:6" ht="15" customHeight="1" x14ac:dyDescent="0.3">
      <c r="A31" s="9"/>
      <c r="B31" s="10">
        <v>3</v>
      </c>
      <c r="C31" s="11">
        <v>0.22</v>
      </c>
      <c r="D31" s="12">
        <f t="shared" si="6"/>
        <v>1.9844954545454545</v>
      </c>
      <c r="E31" s="12">
        <f t="shared" si="7"/>
        <v>0.66149848484848484</v>
      </c>
      <c r="F31" s="12">
        <f t="shared" si="8"/>
        <v>0.66</v>
      </c>
    </row>
    <row r="32" spans="1:6" ht="15" customHeight="1" x14ac:dyDescent="0.3">
      <c r="A32" s="9"/>
      <c r="B32" s="10">
        <v>4</v>
      </c>
      <c r="C32" s="11">
        <v>0.18</v>
      </c>
      <c r="D32" s="12">
        <f t="shared" si="6"/>
        <v>2.4254944444444444</v>
      </c>
      <c r="E32" s="12">
        <f t="shared" si="7"/>
        <v>0.6063736111111111</v>
      </c>
      <c r="F32" s="12">
        <f t="shared" si="8"/>
        <v>0.72</v>
      </c>
    </row>
    <row r="33" spans="1:6" ht="15" customHeight="1" x14ac:dyDescent="0.3">
      <c r="A33" s="6" t="s">
        <v>12</v>
      </c>
      <c r="B33" s="7"/>
      <c r="C33" s="8">
        <v>0.40747499999999998</v>
      </c>
      <c r="D33" s="7"/>
      <c r="E33" s="7"/>
      <c r="F33" s="7"/>
    </row>
    <row r="34" spans="1:6" ht="15" customHeight="1" x14ac:dyDescent="0.3">
      <c r="A34" s="9" t="s">
        <v>13</v>
      </c>
      <c r="B34" s="10">
        <v>2</v>
      </c>
      <c r="C34" s="11">
        <v>0.247475</v>
      </c>
      <c r="D34" s="12">
        <f t="shared" ref="D34:D39" si="9">$C$33/C34</f>
        <v>1.6465299525204564</v>
      </c>
      <c r="E34" s="12">
        <f t="shared" ref="E34:E39" si="10">D34/B34</f>
        <v>0.82326497626022821</v>
      </c>
      <c r="F34" s="12">
        <f t="shared" ref="F34:F39" si="11">B34*C34</f>
        <v>0.49495</v>
      </c>
    </row>
    <row r="35" spans="1:6" ht="15" customHeight="1" x14ac:dyDescent="0.3">
      <c r="A35" s="9"/>
      <c r="B35" s="10">
        <v>3</v>
      </c>
      <c r="C35" s="11">
        <v>0.19525100000000001</v>
      </c>
      <c r="D35" s="12">
        <f t="shared" si="9"/>
        <v>2.0869291322451611</v>
      </c>
      <c r="E35" s="12">
        <f t="shared" si="10"/>
        <v>0.6956430440817204</v>
      </c>
      <c r="F35" s="12">
        <f t="shared" si="11"/>
        <v>0.58575299999999997</v>
      </c>
    </row>
    <row r="36" spans="1:6" ht="15" customHeight="1" x14ac:dyDescent="0.3">
      <c r="A36" s="9"/>
      <c r="B36" s="10">
        <v>4</v>
      </c>
      <c r="C36" s="11">
        <v>0.164407</v>
      </c>
      <c r="D36" s="12">
        <f t="shared" si="9"/>
        <v>2.4784528639291512</v>
      </c>
      <c r="E36" s="12">
        <f t="shared" si="10"/>
        <v>0.6196132159822878</v>
      </c>
      <c r="F36" s="12">
        <f t="shared" si="11"/>
        <v>0.65762799999999999</v>
      </c>
    </row>
    <row r="37" spans="1:6" ht="15" customHeight="1" x14ac:dyDescent="0.3">
      <c r="A37" s="9" t="s">
        <v>14</v>
      </c>
      <c r="B37" s="10">
        <v>2</v>
      </c>
      <c r="C37" s="11">
        <v>0.25431399999999998</v>
      </c>
      <c r="D37" s="12">
        <f t="shared" si="9"/>
        <v>1.6022515472997947</v>
      </c>
      <c r="E37" s="12">
        <f t="shared" si="10"/>
        <v>0.80112577364989734</v>
      </c>
      <c r="F37" s="12">
        <f t="shared" si="11"/>
        <v>0.50862799999999997</v>
      </c>
    </row>
    <row r="38" spans="1:6" ht="15" customHeight="1" x14ac:dyDescent="0.3">
      <c r="A38" s="9"/>
      <c r="B38" s="10">
        <v>3</v>
      </c>
      <c r="C38" s="11">
        <v>0.22300400000000001</v>
      </c>
      <c r="D38" s="12">
        <f t="shared" si="9"/>
        <v>1.8272093774102705</v>
      </c>
      <c r="E38" s="12">
        <f t="shared" si="10"/>
        <v>0.60906979247009019</v>
      </c>
      <c r="F38" s="12">
        <f t="shared" si="11"/>
        <v>0.66901200000000005</v>
      </c>
    </row>
    <row r="39" spans="1:6" ht="15" customHeight="1" x14ac:dyDescent="0.3">
      <c r="A39" s="9"/>
      <c r="B39" s="10">
        <v>4</v>
      </c>
      <c r="C39" s="11">
        <v>0.2</v>
      </c>
      <c r="D39" s="12">
        <f t="shared" si="9"/>
        <v>2.0373749999999999</v>
      </c>
      <c r="E39" s="12">
        <f t="shared" si="10"/>
        <v>0.50934374999999998</v>
      </c>
      <c r="F39" s="12">
        <f t="shared" si="11"/>
        <v>0.8</v>
      </c>
    </row>
    <row r="40" spans="1:6" ht="15" customHeight="1" x14ac:dyDescent="0.3">
      <c r="A40" s="5" t="s">
        <v>16</v>
      </c>
      <c r="B40" s="5"/>
      <c r="C40" s="5"/>
      <c r="D40" s="5"/>
      <c r="E40" s="5"/>
      <c r="F40" s="5"/>
    </row>
    <row r="41" spans="1:6" ht="15" customHeight="1" x14ac:dyDescent="0.3">
      <c r="A41" s="6" t="s">
        <v>7</v>
      </c>
      <c r="B41" s="7"/>
      <c r="C41" s="8">
        <v>20.9497</v>
      </c>
      <c r="D41" s="7"/>
      <c r="E41" s="7"/>
      <c r="F41" s="7"/>
    </row>
    <row r="42" spans="1:6" ht="15" customHeight="1" x14ac:dyDescent="0.3">
      <c r="A42" s="9" t="s">
        <v>8</v>
      </c>
      <c r="B42" s="10">
        <v>2</v>
      </c>
      <c r="C42" s="11">
        <v>11</v>
      </c>
      <c r="D42" s="12">
        <f>$C$41/C42</f>
        <v>1.9045181818181818</v>
      </c>
      <c r="E42" s="12">
        <f>D42/B42</f>
        <v>0.95225909090909089</v>
      </c>
      <c r="F42" s="12">
        <f>B42*C42</f>
        <v>22</v>
      </c>
    </row>
    <row r="43" spans="1:6" ht="15" customHeight="1" x14ac:dyDescent="0.3">
      <c r="A43" s="9"/>
      <c r="B43" s="10">
        <v>3</v>
      </c>
      <c r="C43" s="11">
        <v>7.38591</v>
      </c>
      <c r="D43" s="12">
        <f>$C$41/C43</f>
        <v>2.8364412780551076</v>
      </c>
      <c r="E43" s="12">
        <f>D43/B43</f>
        <v>0.94548042601836924</v>
      </c>
      <c r="F43" s="12">
        <f>B43*C43</f>
        <v>22.157730000000001</v>
      </c>
    </row>
    <row r="44" spans="1:6" ht="15" customHeight="1" x14ac:dyDescent="0.3">
      <c r="A44" s="9"/>
      <c r="B44" s="10">
        <v>4</v>
      </c>
      <c r="C44" s="11">
        <v>6.0370400000000002</v>
      </c>
      <c r="D44" s="12">
        <f>$C$41/C44</f>
        <v>3.4701940023587716</v>
      </c>
      <c r="E44" s="12">
        <f>D44/B44</f>
        <v>0.86754850058969291</v>
      </c>
      <c r="F44" s="12">
        <f>B44*C44</f>
        <v>24.148160000000001</v>
      </c>
    </row>
    <row r="45" spans="1:6" ht="15" customHeight="1" x14ac:dyDescent="0.3">
      <c r="A45" s="6" t="s">
        <v>9</v>
      </c>
      <c r="B45" s="7"/>
      <c r="C45" s="8">
        <v>0.61333300000000002</v>
      </c>
      <c r="D45" s="7"/>
      <c r="E45" s="7"/>
      <c r="F45" s="7"/>
    </row>
    <row r="46" spans="1:6" ht="15" customHeight="1" x14ac:dyDescent="0.3">
      <c r="A46" s="9" t="s">
        <v>10</v>
      </c>
      <c r="B46" s="10">
        <v>2</v>
      </c>
      <c r="C46" s="11">
        <v>0.34336699999999998</v>
      </c>
      <c r="D46" s="12">
        <f t="shared" ref="D46:D51" si="12">$C$45/C46</f>
        <v>1.7862316413633228</v>
      </c>
      <c r="E46" s="12">
        <f t="shared" ref="E46:E51" si="13">D46/B46</f>
        <v>0.8931158206816614</v>
      </c>
      <c r="F46" s="12">
        <f t="shared" ref="F46:F51" si="14">B46*C46</f>
        <v>0.68673399999999996</v>
      </c>
    </row>
    <row r="47" spans="1:6" ht="15" customHeight="1" x14ac:dyDescent="0.3">
      <c r="A47" s="9"/>
      <c r="B47" s="10">
        <v>3</v>
      </c>
      <c r="C47" s="11">
        <v>0.265461</v>
      </c>
      <c r="D47" s="12">
        <f t="shared" si="12"/>
        <v>2.3104448487725127</v>
      </c>
      <c r="E47" s="12">
        <f t="shared" si="13"/>
        <v>0.77014828292417092</v>
      </c>
      <c r="F47" s="12">
        <f t="shared" si="14"/>
        <v>0.79638300000000006</v>
      </c>
    </row>
    <row r="48" spans="1:6" ht="15" customHeight="1" x14ac:dyDescent="0.3">
      <c r="A48" s="9"/>
      <c r="B48" s="10">
        <v>4</v>
      </c>
      <c r="C48" s="11">
        <v>0.24210200000000001</v>
      </c>
      <c r="D48" s="12">
        <f t="shared" si="12"/>
        <v>2.5333661018909384</v>
      </c>
      <c r="E48" s="12">
        <f t="shared" si="13"/>
        <v>0.63334152547273459</v>
      </c>
      <c r="F48" s="12">
        <f t="shared" si="14"/>
        <v>0.96840800000000005</v>
      </c>
    </row>
    <row r="49" spans="1:6" ht="15" customHeight="1" x14ac:dyDescent="0.3">
      <c r="A49" s="9" t="s">
        <v>11</v>
      </c>
      <c r="B49" s="10">
        <v>2</v>
      </c>
      <c r="C49" s="11">
        <v>0.36197299999999999</v>
      </c>
      <c r="D49" s="12">
        <f t="shared" si="12"/>
        <v>1.6944164343749397</v>
      </c>
      <c r="E49" s="12">
        <f t="shared" si="13"/>
        <v>0.84720821718746986</v>
      </c>
      <c r="F49" s="12">
        <f t="shared" si="14"/>
        <v>0.72394599999999998</v>
      </c>
    </row>
    <row r="50" spans="1:6" ht="15" customHeight="1" x14ac:dyDescent="0.3">
      <c r="A50" s="9"/>
      <c r="B50" s="10">
        <v>3</v>
      </c>
      <c r="C50" s="11">
        <v>0.29703499999999999</v>
      </c>
      <c r="D50" s="12">
        <f t="shared" si="12"/>
        <v>2.0648509434915079</v>
      </c>
      <c r="E50" s="12">
        <f t="shared" si="13"/>
        <v>0.68828364783050267</v>
      </c>
      <c r="F50" s="12">
        <f t="shared" si="14"/>
        <v>0.89110500000000004</v>
      </c>
    </row>
    <row r="51" spans="1:6" ht="15" customHeight="1" x14ac:dyDescent="0.3">
      <c r="A51" s="9"/>
      <c r="B51" s="10">
        <v>4</v>
      </c>
      <c r="C51" s="11">
        <v>0.255326</v>
      </c>
      <c r="D51" s="12">
        <f t="shared" si="12"/>
        <v>2.4021564588016888</v>
      </c>
      <c r="E51" s="12">
        <f t="shared" si="13"/>
        <v>0.60053911470042221</v>
      </c>
      <c r="F51" s="12">
        <f t="shared" si="14"/>
        <v>1.021304</v>
      </c>
    </row>
    <row r="52" spans="1:6" ht="15" customHeight="1" x14ac:dyDescent="0.3">
      <c r="A52" s="6" t="s">
        <v>12</v>
      </c>
      <c r="B52" s="7"/>
      <c r="C52" s="8">
        <v>0.57140999999999997</v>
      </c>
      <c r="D52" s="7"/>
      <c r="E52" s="7"/>
      <c r="F52" s="7"/>
    </row>
    <row r="53" spans="1:6" ht="15" customHeight="1" x14ac:dyDescent="0.3">
      <c r="A53" s="9" t="s">
        <v>13</v>
      </c>
      <c r="B53" s="10">
        <v>2</v>
      </c>
      <c r="C53" s="11">
        <v>0.33030300000000001</v>
      </c>
      <c r="D53" s="12">
        <f t="shared" ref="D53:D58" si="15">$C$52/C53</f>
        <v>1.7299570394455999</v>
      </c>
      <c r="E53" s="12">
        <f t="shared" ref="E53:E58" si="16">D53/B53</f>
        <v>0.86497851972279993</v>
      </c>
      <c r="F53" s="12">
        <f t="shared" ref="F53:F58" si="17">B53*C53</f>
        <v>0.66060600000000003</v>
      </c>
    </row>
    <row r="54" spans="1:6" ht="15" customHeight="1" x14ac:dyDescent="0.3">
      <c r="A54" s="9"/>
      <c r="B54" s="10">
        <v>3</v>
      </c>
      <c r="C54" s="11">
        <v>0.25409399999999999</v>
      </c>
      <c r="D54" s="12">
        <f t="shared" si="15"/>
        <v>2.2488134312498524</v>
      </c>
      <c r="E54" s="12">
        <f t="shared" si="16"/>
        <v>0.74960447708328415</v>
      </c>
      <c r="F54" s="12">
        <f t="shared" si="17"/>
        <v>0.7622819999999999</v>
      </c>
    </row>
    <row r="55" spans="1:6" ht="15" customHeight="1" x14ac:dyDescent="0.3">
      <c r="A55" s="9"/>
      <c r="B55" s="10">
        <v>4</v>
      </c>
      <c r="C55" s="11">
        <v>0.22048599999999999</v>
      </c>
      <c r="D55" s="12">
        <f t="shared" si="15"/>
        <v>2.5915931170233031</v>
      </c>
      <c r="E55" s="12">
        <f t="shared" si="16"/>
        <v>0.64789827925582577</v>
      </c>
      <c r="F55" s="12">
        <f t="shared" si="17"/>
        <v>0.88194399999999995</v>
      </c>
    </row>
    <row r="56" spans="1:6" ht="15" customHeight="1" x14ac:dyDescent="0.3">
      <c r="A56" s="9" t="s">
        <v>14</v>
      </c>
      <c r="B56" s="10">
        <v>2</v>
      </c>
      <c r="C56" s="11">
        <v>0.341611</v>
      </c>
      <c r="D56" s="12">
        <f t="shared" si="15"/>
        <v>1.6726920386053141</v>
      </c>
      <c r="E56" s="12">
        <f t="shared" si="16"/>
        <v>0.83634601930265706</v>
      </c>
      <c r="F56" s="12">
        <f t="shared" si="17"/>
        <v>0.683222</v>
      </c>
    </row>
    <row r="57" spans="1:6" ht="15" customHeight="1" x14ac:dyDescent="0.3">
      <c r="A57" s="9"/>
      <c r="B57" s="10">
        <v>3</v>
      </c>
      <c r="C57" s="11">
        <v>0.27757599999999999</v>
      </c>
      <c r="D57" s="12">
        <f t="shared" si="15"/>
        <v>2.0585713462258983</v>
      </c>
      <c r="E57" s="12">
        <f t="shared" si="16"/>
        <v>0.68619044874196611</v>
      </c>
      <c r="F57" s="12">
        <f t="shared" si="17"/>
        <v>0.83272799999999991</v>
      </c>
    </row>
    <row r="58" spans="1:6" ht="15" customHeight="1" x14ac:dyDescent="0.3">
      <c r="A58" s="9"/>
      <c r="B58" s="10">
        <v>4</v>
      </c>
      <c r="C58" s="11">
        <v>0.25115599999999999</v>
      </c>
      <c r="D58" s="12">
        <f t="shared" si="15"/>
        <v>2.2751198458328687</v>
      </c>
      <c r="E58" s="12">
        <f t="shared" si="16"/>
        <v>0.56877996145821719</v>
      </c>
      <c r="F58" s="12">
        <f t="shared" si="17"/>
        <v>1.004624</v>
      </c>
    </row>
    <row r="59" spans="1:6" ht="15" customHeight="1" x14ac:dyDescent="0.3">
      <c r="A59" s="5" t="s">
        <v>17</v>
      </c>
      <c r="B59" s="5"/>
      <c r="C59" s="5"/>
      <c r="D59" s="5"/>
      <c r="E59" s="5"/>
      <c r="F59" s="5"/>
    </row>
    <row r="60" spans="1:6" ht="15" customHeight="1" x14ac:dyDescent="0.3">
      <c r="A60" s="6" t="s">
        <v>7</v>
      </c>
      <c r="B60" s="7"/>
      <c r="C60" s="8">
        <v>26.945599999999999</v>
      </c>
      <c r="D60" s="7"/>
      <c r="E60" s="7"/>
      <c r="F60" s="7"/>
    </row>
    <row r="61" spans="1:6" ht="15" customHeight="1" x14ac:dyDescent="0.3">
      <c r="A61" s="9" t="s">
        <v>8</v>
      </c>
      <c r="B61" s="10">
        <v>2</v>
      </c>
      <c r="C61" s="11">
        <v>13.8889</v>
      </c>
      <c r="D61" s="12">
        <f>$C$60/C61</f>
        <v>1.9400816479346816</v>
      </c>
      <c r="E61" s="12">
        <f>D61/B61</f>
        <v>0.97004082396734082</v>
      </c>
      <c r="F61" s="12">
        <f>B61*C61</f>
        <v>27.777799999999999</v>
      </c>
    </row>
    <row r="62" spans="1:6" ht="15" customHeight="1" x14ac:dyDescent="0.3">
      <c r="A62" s="9"/>
      <c r="B62" s="10">
        <v>3</v>
      </c>
      <c r="C62" s="11">
        <v>9.5506799999999998</v>
      </c>
      <c r="D62" s="12">
        <f>$C$60/C62</f>
        <v>2.82132790544757</v>
      </c>
      <c r="E62" s="12">
        <f>D62/B62</f>
        <v>0.94044263514919002</v>
      </c>
      <c r="F62" s="12">
        <f>B62*C62</f>
        <v>28.65204</v>
      </c>
    </row>
    <row r="63" spans="1:6" ht="15" customHeight="1" x14ac:dyDescent="0.3">
      <c r="A63" s="9"/>
      <c r="B63" s="10">
        <v>4</v>
      </c>
      <c r="C63" s="11">
        <v>7.6700299999999997</v>
      </c>
      <c r="D63" s="12">
        <f>$C$60/C63</f>
        <v>3.5131022955581659</v>
      </c>
      <c r="E63" s="12">
        <f>D63/B63</f>
        <v>0.87827557388954147</v>
      </c>
      <c r="F63" s="12">
        <f>B63*C63</f>
        <v>30.680119999999999</v>
      </c>
    </row>
    <row r="64" spans="1:6" ht="15" customHeight="1" x14ac:dyDescent="0.3">
      <c r="A64" s="6" t="s">
        <v>9</v>
      </c>
      <c r="B64" s="7"/>
      <c r="C64" s="8">
        <v>0.79050799999999999</v>
      </c>
      <c r="D64" s="7"/>
      <c r="E64" s="7"/>
      <c r="F64" s="7"/>
    </row>
    <row r="65" spans="1:6" ht="15" customHeight="1" x14ac:dyDescent="0.3">
      <c r="A65" s="9" t="s">
        <v>10</v>
      </c>
      <c r="B65" s="10">
        <v>2</v>
      </c>
      <c r="C65" s="11">
        <v>0.44036399999999998</v>
      </c>
      <c r="D65" s="12">
        <f t="shared" ref="D65:D70" si="18">$C$64/C65</f>
        <v>1.7951240337538945</v>
      </c>
      <c r="E65" s="12">
        <f t="shared" ref="E65:E70" si="19">D65/B65</f>
        <v>0.89756201687694726</v>
      </c>
      <c r="F65" s="12">
        <f t="shared" ref="F65:F70" si="20">B65*C65</f>
        <v>0.88072799999999996</v>
      </c>
    </row>
    <row r="66" spans="1:6" ht="15" customHeight="1" x14ac:dyDescent="0.3">
      <c r="A66" s="9"/>
      <c r="B66" s="10">
        <v>3</v>
      </c>
      <c r="C66" s="11">
        <v>0.35161500000000001</v>
      </c>
      <c r="D66" s="12">
        <f t="shared" si="18"/>
        <v>2.248220354649261</v>
      </c>
      <c r="E66" s="12">
        <f t="shared" si="19"/>
        <v>0.74940678488308698</v>
      </c>
      <c r="F66" s="12">
        <f t="shared" si="20"/>
        <v>1.054845</v>
      </c>
    </row>
    <row r="67" spans="1:6" ht="15" customHeight="1" x14ac:dyDescent="0.3">
      <c r="A67" s="9"/>
      <c r="B67" s="10">
        <v>4</v>
      </c>
      <c r="C67" s="11">
        <v>0.32231700000000002</v>
      </c>
      <c r="D67" s="12">
        <f t="shared" si="18"/>
        <v>2.4525792930562145</v>
      </c>
      <c r="E67" s="12">
        <f t="shared" si="19"/>
        <v>0.61314482326405362</v>
      </c>
      <c r="F67" s="12">
        <f t="shared" si="20"/>
        <v>1.2892680000000001</v>
      </c>
    </row>
    <row r="68" spans="1:6" ht="15" customHeight="1" x14ac:dyDescent="0.3">
      <c r="A68" s="9" t="s">
        <v>11</v>
      </c>
      <c r="B68" s="10">
        <v>2</v>
      </c>
      <c r="C68" s="11">
        <v>0.46056799999999998</v>
      </c>
      <c r="D68" s="12">
        <f t="shared" si="18"/>
        <v>1.7163763005679944</v>
      </c>
      <c r="E68" s="12">
        <f t="shared" si="19"/>
        <v>0.8581881502839972</v>
      </c>
      <c r="F68" s="12">
        <f t="shared" si="20"/>
        <v>0.92113599999999995</v>
      </c>
    </row>
    <row r="69" spans="1:6" ht="15" customHeight="1" x14ac:dyDescent="0.3">
      <c r="A69" s="9"/>
      <c r="B69" s="10">
        <v>3</v>
      </c>
      <c r="C69" s="11">
        <v>0.38452700000000001</v>
      </c>
      <c r="D69" s="12">
        <f t="shared" si="18"/>
        <v>2.0557932212822507</v>
      </c>
      <c r="E69" s="12">
        <f t="shared" si="19"/>
        <v>0.68526440709408354</v>
      </c>
      <c r="F69" s="12">
        <f t="shared" si="20"/>
        <v>1.153581</v>
      </c>
    </row>
    <row r="70" spans="1:6" ht="15" customHeight="1" x14ac:dyDescent="0.3">
      <c r="A70" s="9"/>
      <c r="B70" s="10">
        <v>4</v>
      </c>
      <c r="C70" s="11">
        <v>0.33267799999999997</v>
      </c>
      <c r="D70" s="12">
        <f t="shared" si="18"/>
        <v>2.3761956005506826</v>
      </c>
      <c r="E70" s="12">
        <f t="shared" si="19"/>
        <v>0.59404890013767064</v>
      </c>
      <c r="F70" s="12">
        <f t="shared" si="20"/>
        <v>1.3307119999999999</v>
      </c>
    </row>
    <row r="71" spans="1:6" ht="15" customHeight="1" x14ac:dyDescent="0.3">
      <c r="A71" s="6" t="s">
        <v>12</v>
      </c>
      <c r="B71" s="7"/>
      <c r="C71" s="8">
        <v>0.73586399999999996</v>
      </c>
      <c r="D71" s="7"/>
      <c r="E71" s="7"/>
      <c r="F71" s="7"/>
    </row>
    <row r="72" spans="1:6" ht="15" customHeight="1" x14ac:dyDescent="0.3">
      <c r="A72" s="9" t="s">
        <v>13</v>
      </c>
      <c r="B72" s="10">
        <v>2</v>
      </c>
      <c r="C72" s="11">
        <v>0.41604000000000002</v>
      </c>
      <c r="D72" s="12">
        <f t="shared" ref="D72:D77" si="21">$C$71/C72</f>
        <v>1.7687337755985</v>
      </c>
      <c r="E72" s="12">
        <f t="shared" ref="E72:E77" si="22">D72/B72</f>
        <v>0.88436688779924999</v>
      </c>
      <c r="F72" s="12">
        <f t="shared" ref="F72:F77" si="23">B72*C72</f>
        <v>0.83208000000000004</v>
      </c>
    </row>
    <row r="73" spans="1:6" ht="15" customHeight="1" x14ac:dyDescent="0.3">
      <c r="A73" s="9"/>
      <c r="B73" s="10">
        <v>3</v>
      </c>
      <c r="C73" s="11">
        <v>0.34</v>
      </c>
      <c r="D73" s="12">
        <f t="shared" si="21"/>
        <v>2.1643058823529411</v>
      </c>
      <c r="E73" s="12">
        <f t="shared" si="22"/>
        <v>0.72143529411764706</v>
      </c>
      <c r="F73" s="12">
        <f t="shared" si="23"/>
        <v>1.02</v>
      </c>
    </row>
    <row r="74" spans="1:6" ht="15" customHeight="1" x14ac:dyDescent="0.3">
      <c r="A74" s="9"/>
      <c r="B74" s="10">
        <v>4</v>
      </c>
      <c r="C74" s="11">
        <v>0.280887</v>
      </c>
      <c r="D74" s="12">
        <f t="shared" si="21"/>
        <v>2.6197866045776412</v>
      </c>
      <c r="E74" s="12">
        <f t="shared" si="22"/>
        <v>0.65494665114441031</v>
      </c>
      <c r="F74" s="12">
        <f t="shared" si="23"/>
        <v>1.123548</v>
      </c>
    </row>
    <row r="75" spans="1:6" ht="15" customHeight="1" x14ac:dyDescent="0.3">
      <c r="A75" s="9" t="s">
        <v>14</v>
      </c>
      <c r="B75" s="10">
        <v>2</v>
      </c>
      <c r="C75" s="11">
        <v>0.425238</v>
      </c>
      <c r="D75" s="12">
        <f t="shared" si="21"/>
        <v>1.7304756395242193</v>
      </c>
      <c r="E75" s="12">
        <f t="shared" si="22"/>
        <v>0.86523781976210967</v>
      </c>
      <c r="F75" s="12">
        <f t="shared" si="23"/>
        <v>0.85047600000000001</v>
      </c>
    </row>
    <row r="76" spans="1:6" ht="15" customHeight="1" x14ac:dyDescent="0.3">
      <c r="A76" s="9"/>
      <c r="B76" s="10">
        <v>3</v>
      </c>
      <c r="C76" s="11">
        <v>0.35672700000000002</v>
      </c>
      <c r="D76" s="12">
        <f t="shared" si="21"/>
        <v>2.0628211489458321</v>
      </c>
      <c r="E76" s="12">
        <f t="shared" si="22"/>
        <v>0.68760704964861075</v>
      </c>
      <c r="F76" s="12">
        <f t="shared" si="23"/>
        <v>1.070181</v>
      </c>
    </row>
    <row r="77" spans="1:6" ht="15" customHeight="1" x14ac:dyDescent="0.3">
      <c r="A77" s="9"/>
      <c r="B77" s="10">
        <v>4</v>
      </c>
      <c r="C77" s="11">
        <v>0.31186399999999997</v>
      </c>
      <c r="D77" s="12">
        <f t="shared" si="21"/>
        <v>2.3595669907395531</v>
      </c>
      <c r="E77" s="12">
        <f t="shared" si="22"/>
        <v>0.58989174768488828</v>
      </c>
      <c r="F77" s="12">
        <f t="shared" si="23"/>
        <v>1.2474559999999999</v>
      </c>
    </row>
  </sheetData>
  <mergeCells count="24">
    <mergeCell ref="A65:A67"/>
    <mergeCell ref="A68:A70"/>
    <mergeCell ref="A72:A74"/>
    <mergeCell ref="A75:A77"/>
    <mergeCell ref="A49:A51"/>
    <mergeCell ref="A53:A55"/>
    <mergeCell ref="A56:A58"/>
    <mergeCell ref="A59:F59"/>
    <mergeCell ref="A61:A63"/>
    <mergeCell ref="A34:A36"/>
    <mergeCell ref="A37:A39"/>
    <mergeCell ref="A40:F40"/>
    <mergeCell ref="A42:A44"/>
    <mergeCell ref="A46:A48"/>
    <mergeCell ref="A18:A20"/>
    <mergeCell ref="A21:F21"/>
    <mergeCell ref="A23:A25"/>
    <mergeCell ref="A27:A29"/>
    <mergeCell ref="A30:A32"/>
    <mergeCell ref="A2:F2"/>
    <mergeCell ref="A4:A6"/>
    <mergeCell ref="A8:A10"/>
    <mergeCell ref="A11:A13"/>
    <mergeCell ref="A15:A17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zoomScaleNormal="100" workbookViewId="0"/>
  </sheetViews>
  <sheetFormatPr defaultColWidth="8.6640625" defaultRowHeight="14.4" x14ac:dyDescent="0.3"/>
  <cols>
    <col min="1" max="1" width="110" customWidth="1"/>
  </cols>
  <sheetData>
    <row r="1" spans="1:1" ht="15" customHeight="1" x14ac:dyDescent="0.3">
      <c r="A1" s="1" t="s">
        <v>18</v>
      </c>
    </row>
    <row r="2" spans="1:1" ht="26.25" customHeight="1" x14ac:dyDescent="0.3">
      <c r="A2" s="2" t="s">
        <v>19</v>
      </c>
    </row>
    <row r="3" spans="1:1" ht="15" customHeight="1" x14ac:dyDescent="0.3">
      <c r="A3" s="2" t="s">
        <v>20</v>
      </c>
    </row>
    <row r="4" spans="1:1" ht="15" customHeight="1" x14ac:dyDescent="0.3">
      <c r="A4" s="2" t="s">
        <v>21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Таблица 1.2</vt:lpstr>
      <vt:lpstr>Легенда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Vlad G</cp:lastModifiedBy>
  <cp:revision>0</cp:revision>
  <dcterms:created xsi:type="dcterms:W3CDTF">2026-09-18T02:02:09Z</dcterms:created>
  <dcterms:modified xsi:type="dcterms:W3CDTF">2026-09-18T02:20:01Z</dcterms:modified>
  <dc:language>en-US</dc:language>
</cp:coreProperties>
</file>