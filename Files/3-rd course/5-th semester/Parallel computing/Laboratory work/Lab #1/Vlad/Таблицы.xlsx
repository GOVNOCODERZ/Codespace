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Владислав\Downloads\"/>
    </mc:Choice>
  </mc:AlternateContent>
  <xr:revisionPtr revIDLastSave="0" documentId="13_ncr:1_{E16781DA-FFCA-4D2C-BF0B-E8946DC7125D}" xr6:coauthVersionLast="47" xr6:coauthVersionMax="47" xr10:uidLastSave="{00000000-0000-0000-0000-000000000000}"/>
  <bookViews>
    <workbookView xWindow="38280" yWindow="5640" windowWidth="26700" windowHeight="16440" tabRatio="500" activeTab="1" xr2:uid="{00000000-000D-0000-FFFF-FFFF00000000}"/>
  </bookViews>
  <sheets>
    <sheet name="Таблица 1.2" sheetId="1" r:id="rId1"/>
    <sheet name="Таблица 1.3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1" i="2" l="1"/>
  <c r="F41" i="2" s="1"/>
  <c r="C40" i="2"/>
  <c r="C33" i="2"/>
  <c r="C32" i="2"/>
  <c r="F77" i="1"/>
  <c r="E77" i="1"/>
  <c r="D77" i="1"/>
  <c r="F76" i="1"/>
  <c r="D76" i="1"/>
  <c r="E76" i="1" s="1"/>
  <c r="F75" i="1"/>
  <c r="E75" i="1"/>
  <c r="D75" i="1"/>
  <c r="F74" i="1"/>
  <c r="D74" i="1"/>
  <c r="E74" i="1" s="1"/>
  <c r="F73" i="1"/>
  <c r="E73" i="1"/>
  <c r="D73" i="1"/>
  <c r="F72" i="1"/>
  <c r="D72" i="1"/>
  <c r="E72" i="1" s="1"/>
  <c r="F70" i="1"/>
  <c r="E70" i="1"/>
  <c r="D70" i="1"/>
  <c r="F69" i="1"/>
  <c r="D69" i="1"/>
  <c r="E69" i="1" s="1"/>
  <c r="F68" i="1"/>
  <c r="E68" i="1"/>
  <c r="D68" i="1"/>
  <c r="F67" i="1"/>
  <c r="D67" i="1"/>
  <c r="E67" i="1" s="1"/>
  <c r="F66" i="1"/>
  <c r="E66" i="1"/>
  <c r="D66" i="1"/>
  <c r="F65" i="1"/>
  <c r="D65" i="1"/>
  <c r="E65" i="1" s="1"/>
  <c r="F63" i="1"/>
  <c r="E63" i="1"/>
  <c r="D63" i="1"/>
  <c r="F62" i="1"/>
  <c r="D62" i="1"/>
  <c r="E62" i="1" s="1"/>
  <c r="F61" i="1"/>
  <c r="E61" i="1"/>
  <c r="D61" i="1"/>
  <c r="F58" i="1"/>
  <c r="D58" i="1"/>
  <c r="E58" i="1" s="1"/>
  <c r="F57" i="1"/>
  <c r="E57" i="1"/>
  <c r="D57" i="1"/>
  <c r="F56" i="1"/>
  <c r="D56" i="1"/>
  <c r="E56" i="1" s="1"/>
  <c r="F55" i="1"/>
  <c r="E55" i="1"/>
  <c r="D55" i="1"/>
  <c r="F54" i="1"/>
  <c r="D54" i="1"/>
  <c r="E54" i="1" s="1"/>
  <c r="F53" i="1"/>
  <c r="E53" i="1"/>
  <c r="D53" i="1"/>
  <c r="F51" i="1"/>
  <c r="D51" i="1"/>
  <c r="E51" i="1" s="1"/>
  <c r="F50" i="1"/>
  <c r="E50" i="1"/>
  <c r="D50" i="1"/>
  <c r="F49" i="1"/>
  <c r="D49" i="1"/>
  <c r="E49" i="1" s="1"/>
  <c r="F48" i="1"/>
  <c r="E48" i="1"/>
  <c r="D48" i="1"/>
  <c r="F47" i="1"/>
  <c r="D47" i="1"/>
  <c r="E47" i="1" s="1"/>
  <c r="F46" i="1"/>
  <c r="E46" i="1"/>
  <c r="D46" i="1"/>
  <c r="F44" i="1"/>
  <c r="D44" i="1"/>
  <c r="E44" i="1" s="1"/>
  <c r="F43" i="1"/>
  <c r="E43" i="1"/>
  <c r="D43" i="1"/>
  <c r="F42" i="1"/>
  <c r="D42" i="1"/>
  <c r="E42" i="1" s="1"/>
  <c r="F39" i="1"/>
  <c r="E39" i="1"/>
  <c r="D39" i="1"/>
  <c r="F38" i="1"/>
  <c r="D38" i="1"/>
  <c r="E38" i="1" s="1"/>
  <c r="F37" i="1"/>
  <c r="E37" i="1"/>
  <c r="D37" i="1"/>
  <c r="F36" i="1"/>
  <c r="D36" i="1"/>
  <c r="E36" i="1" s="1"/>
  <c r="F35" i="1"/>
  <c r="E35" i="1"/>
  <c r="D35" i="1"/>
  <c r="F34" i="1"/>
  <c r="D34" i="1"/>
  <c r="E34" i="1" s="1"/>
  <c r="F32" i="1"/>
  <c r="E32" i="1"/>
  <c r="D32" i="1"/>
  <c r="F31" i="1"/>
  <c r="D31" i="1"/>
  <c r="E31" i="1" s="1"/>
  <c r="F30" i="1"/>
  <c r="E30" i="1"/>
  <c r="D30" i="1"/>
  <c r="F29" i="1"/>
  <c r="D29" i="1"/>
  <c r="E29" i="1" s="1"/>
  <c r="F28" i="1"/>
  <c r="E28" i="1"/>
  <c r="D28" i="1"/>
  <c r="F27" i="1"/>
  <c r="D27" i="1"/>
  <c r="E27" i="1" s="1"/>
  <c r="F25" i="1"/>
  <c r="E25" i="1"/>
  <c r="D25" i="1"/>
  <c r="F24" i="1"/>
  <c r="D24" i="1"/>
  <c r="E24" i="1" s="1"/>
  <c r="F23" i="1"/>
  <c r="E23" i="1"/>
  <c r="D23" i="1"/>
  <c r="F20" i="1"/>
  <c r="D20" i="1"/>
  <c r="E20" i="1" s="1"/>
  <c r="F19" i="1"/>
  <c r="E19" i="1"/>
  <c r="D19" i="1"/>
  <c r="F18" i="1"/>
  <c r="D18" i="1"/>
  <c r="E18" i="1" s="1"/>
  <c r="F17" i="1"/>
  <c r="E17" i="1"/>
  <c r="D17" i="1"/>
  <c r="F16" i="1"/>
  <c r="D16" i="1"/>
  <c r="E16" i="1" s="1"/>
  <c r="F15" i="1"/>
  <c r="E15" i="1"/>
  <c r="D15" i="1"/>
  <c r="F13" i="1"/>
  <c r="D13" i="1"/>
  <c r="E13" i="1" s="1"/>
  <c r="F12" i="1"/>
  <c r="E12" i="1"/>
  <c r="D12" i="1"/>
  <c r="F11" i="1"/>
  <c r="D11" i="1"/>
  <c r="E11" i="1" s="1"/>
  <c r="F10" i="1"/>
  <c r="E10" i="1"/>
  <c r="D10" i="1"/>
  <c r="F9" i="1"/>
  <c r="D9" i="1"/>
  <c r="E9" i="1" s="1"/>
  <c r="F8" i="1"/>
  <c r="E8" i="1"/>
  <c r="D8" i="1"/>
  <c r="F6" i="1"/>
  <c r="D6" i="1"/>
  <c r="E6" i="1" s="1"/>
  <c r="F5" i="1"/>
  <c r="E5" i="1"/>
  <c r="D5" i="1"/>
  <c r="F4" i="1"/>
  <c r="D4" i="1"/>
  <c r="E4" i="1" s="1"/>
  <c r="C45" i="2"/>
  <c r="F45" i="2" s="1"/>
  <c r="C44" i="2"/>
  <c r="F44" i="2" s="1"/>
  <c r="C43" i="2"/>
  <c r="F43" i="2" s="1"/>
  <c r="C42" i="2"/>
  <c r="F42" i="2" s="1"/>
  <c r="F40" i="2"/>
  <c r="C39" i="2"/>
  <c r="F39" i="2" s="1"/>
  <c r="C38" i="2"/>
  <c r="F38" i="2" s="1"/>
  <c r="C37" i="2"/>
  <c r="F37" i="2" s="1"/>
  <c r="C36" i="2"/>
  <c r="C34" i="2"/>
  <c r="F34" i="2" s="1"/>
  <c r="F33" i="2"/>
  <c r="F32" i="2"/>
  <c r="C31" i="2"/>
  <c r="F31" i="2" s="1"/>
  <c r="C30" i="2"/>
  <c r="F30" i="2" s="1"/>
  <c r="C29" i="2"/>
  <c r="F29" i="2" s="1"/>
  <c r="C28" i="2"/>
  <c r="F28" i="2" s="1"/>
  <c r="C27" i="2"/>
  <c r="F27" i="2" s="1"/>
  <c r="C26" i="2"/>
  <c r="F26" i="2" s="1"/>
  <c r="C25" i="2"/>
  <c r="C23" i="2"/>
  <c r="F23" i="2" s="1"/>
  <c r="C22" i="2"/>
  <c r="F22" i="2" s="1"/>
  <c r="C21" i="2"/>
  <c r="F21" i="2" s="1"/>
  <c r="C20" i="2"/>
  <c r="F20" i="2" s="1"/>
  <c r="C19" i="2"/>
  <c r="F19" i="2" s="1"/>
  <c r="C18" i="2"/>
  <c r="F18" i="2" s="1"/>
  <c r="C17" i="2"/>
  <c r="F17" i="2" s="1"/>
  <c r="C16" i="2"/>
  <c r="F16" i="2" s="1"/>
  <c r="C15" i="2"/>
  <c r="F15" i="2" s="1"/>
  <c r="C14" i="2"/>
  <c r="C12" i="2"/>
  <c r="F12" i="2" s="1"/>
  <c r="C11" i="2"/>
  <c r="F11" i="2" s="1"/>
  <c r="C10" i="2"/>
  <c r="C9" i="2"/>
  <c r="F9" i="2" s="1"/>
  <c r="C8" i="2"/>
  <c r="F8" i="2" s="1"/>
  <c r="C7" i="2"/>
  <c r="C6" i="2"/>
  <c r="F6" i="2" s="1"/>
  <c r="C5" i="2"/>
  <c r="F5" i="2" s="1"/>
  <c r="C4" i="2"/>
  <c r="C3" i="2"/>
  <c r="D11" i="2" s="1"/>
  <c r="E11" i="2" s="1"/>
  <c r="D10" i="2" l="1"/>
  <c r="E10" i="2" s="1"/>
  <c r="D43" i="2"/>
  <c r="E43" i="2" s="1"/>
  <c r="D22" i="2"/>
  <c r="E22" i="2" s="1"/>
  <c r="D4" i="2"/>
  <c r="E4" i="2" s="1"/>
  <c r="D7" i="2"/>
  <c r="E7" i="2" s="1"/>
  <c r="D33" i="2"/>
  <c r="E33" i="2" s="1"/>
  <c r="D39" i="2"/>
  <c r="E39" i="2" s="1"/>
  <c r="D42" i="2"/>
  <c r="E42" i="2" s="1"/>
  <c r="D45" i="2"/>
  <c r="E45" i="2" s="1"/>
  <c r="D19" i="2"/>
  <c r="E19" i="2" s="1"/>
  <c r="D18" i="2"/>
  <c r="E18" i="2" s="1"/>
  <c r="D21" i="2"/>
  <c r="E21" i="2" s="1"/>
  <c r="D38" i="2"/>
  <c r="E38" i="2" s="1"/>
  <c r="D41" i="2"/>
  <c r="E41" i="2" s="1"/>
  <c r="F4" i="2"/>
  <c r="D6" i="2"/>
  <c r="E6" i="2" s="1"/>
  <c r="F7" i="2"/>
  <c r="D9" i="2"/>
  <c r="E9" i="2" s="1"/>
  <c r="F10" i="2"/>
  <c r="D12" i="2"/>
  <c r="E12" i="2" s="1"/>
  <c r="D26" i="2"/>
  <c r="E26" i="2" s="1"/>
  <c r="D29" i="2"/>
  <c r="E29" i="2" s="1"/>
  <c r="D32" i="2"/>
  <c r="E32" i="2" s="1"/>
  <c r="D16" i="2"/>
  <c r="E16" i="2" s="1"/>
  <c r="D15" i="2"/>
  <c r="E15" i="2" s="1"/>
  <c r="D44" i="2"/>
  <c r="E44" i="2" s="1"/>
  <c r="D17" i="2"/>
  <c r="E17" i="2" s="1"/>
  <c r="D20" i="2"/>
  <c r="E20" i="2" s="1"/>
  <c r="D23" i="2"/>
  <c r="E23" i="2" s="1"/>
  <c r="D37" i="2"/>
  <c r="E37" i="2" s="1"/>
  <c r="D40" i="2"/>
  <c r="E40" i="2" s="1"/>
  <c r="D5" i="2"/>
  <c r="E5" i="2" s="1"/>
  <c r="D8" i="2"/>
  <c r="E8" i="2" s="1"/>
  <c r="D28" i="2"/>
  <c r="E28" i="2" s="1"/>
  <c r="D31" i="2"/>
  <c r="E31" i="2" s="1"/>
  <c r="D34" i="2"/>
  <c r="E34" i="2" s="1"/>
  <c r="D27" i="2"/>
  <c r="E27" i="2" s="1"/>
  <c r="D30" i="2"/>
  <c r="E30" i="2" s="1"/>
</calcChain>
</file>

<file path=xl/sharedStrings.xml><?xml version="1.0" encoding="utf-8"?>
<sst xmlns="http://schemas.openxmlformats.org/spreadsheetml/2006/main" count="92" uniqueCount="25">
  <si>
    <t>Потоков</t>
  </si>
  <si>
    <t>Функция (реализация)</t>
  </si>
  <si>
    <t>Время, мс,</t>
  </si>
  <si>
    <t>Sp(n)</t>
  </si>
  <si>
    <t>Ep(n)</t>
  </si>
  <si>
    <t>Cp(n)</t>
  </si>
  <si>
    <t>НД 100000</t>
  </si>
  <si>
    <t>Комбинация (все последовательно)</t>
  </si>
  <si>
    <t>Лучшая комбинация 1: парал. FOR, парал. FOR, парал. Редуктор</t>
  </si>
  <si>
    <t>Лучшая комбинация 2: парал. FOR, парал. Sections, парал. Редуктор</t>
  </si>
  <si>
    <t>Худшая комбинация: посл., посл., посл.</t>
  </si>
  <si>
    <t>Лучшая комбинация 2: парал. FOR, парал. FOR, парал. Крит. секция</t>
  </si>
  <si>
    <t>НД 170000</t>
  </si>
  <si>
    <t>НД 240000</t>
  </si>
  <si>
    <t>Лучшая комбинация 1: парал. FOR, парал. Sections, парал. Редуктор</t>
  </si>
  <si>
    <t>Лучшая комбинация 2: парал. FOR, парал. FOR, парал. Редуктор</t>
  </si>
  <si>
    <t>НД 310000</t>
  </si>
  <si>
    <t>Заполнение массивов (посл.)</t>
  </si>
  <si>
    <t>Заполнение массивов (парал. FOR)</t>
  </si>
  <si>
    <t>Сложение массивов (посл.)</t>
  </si>
  <si>
    <t>Сложение массивов (парал. FOR)</t>
  </si>
  <si>
    <t>Сложение массивов (парал. Sections)</t>
  </si>
  <si>
    <t>Подсчет суммы элементов итогового массива (посл.)</t>
  </si>
  <si>
    <t>Подсчет суммы элементов итогового массива (парал. редуктор)</t>
  </si>
  <si>
    <t>Подсчет суммы элементов итогового массива (парал. критическая секция)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</si>
</sst>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charset val="1"/>
    </font>
    <font>
      <sz val="11"/>
      <color theme="1"/>
      <name val="Arial"/>
      <family val="2"/>
      <charset val="204"/>
    </font>
    <font>
      <b/>
      <sz val="11"/>
      <name val="Arial"/>
      <family val="2"/>
      <charset val="204"/>
    </font>
    <font>
      <sz val="1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vertical="center"/>
    </xf>
    <xf numFmtId="2" fontId="0" fillId="2" borderId="0" xfId="0" applyNumberFormat="1" applyFill="1"/>
    <xf numFmtId="2" fontId="1" fillId="2" borderId="0" xfId="0" applyNumberFormat="1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0" fontId="1" fillId="2" borderId="0" xfId="0" applyNumberFormat="1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10" fontId="1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0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2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2" fillId="2" borderId="6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7"/>
  <sheetViews>
    <sheetView zoomScaleNormal="100" workbookViewId="0">
      <pane ySplit="1" topLeftCell="A2" activePane="bottomLeft" state="frozen"/>
      <selection pane="bottomLeft" activeCell="I10" sqref="I10"/>
    </sheetView>
  </sheetViews>
  <sheetFormatPr defaultColWidth="8.6640625" defaultRowHeight="14.4" x14ac:dyDescent="0.3"/>
  <cols>
    <col min="1" max="1" width="53.88671875" style="1" customWidth="1"/>
    <col min="2" max="2" width="10" style="2" customWidth="1"/>
    <col min="3" max="3" width="12" style="4" customWidth="1"/>
    <col min="4" max="4" width="10" style="2" customWidth="1"/>
    <col min="5" max="5" width="10" style="7" customWidth="1"/>
    <col min="6" max="6" width="10" style="2" customWidth="1"/>
    <col min="7" max="8" width="8.6640625" style="1" customWidth="1"/>
    <col min="9" max="10" width="32.44140625" style="1" bestFit="1" customWidth="1"/>
    <col min="11" max="14" width="8.6640625" style="1" customWidth="1"/>
    <col min="15" max="15" width="22" style="1" customWidth="1"/>
    <col min="16" max="16" width="8.6640625" style="1" customWidth="1"/>
    <col min="17" max="17" width="10.44140625" style="3" customWidth="1"/>
    <col min="18" max="18" width="8.6640625" style="1" customWidth="1"/>
    <col min="19" max="16384" width="8.6640625" style="1"/>
  </cols>
  <sheetData>
    <row r="1" spans="1:6" ht="30" customHeight="1" x14ac:dyDescent="0.3">
      <c r="A1" s="8" t="s">
        <v>1</v>
      </c>
      <c r="B1" s="8" t="s">
        <v>0</v>
      </c>
      <c r="C1" s="8" t="s">
        <v>2</v>
      </c>
      <c r="D1" s="8" t="s">
        <v>3</v>
      </c>
      <c r="E1" s="8" t="s">
        <v>4</v>
      </c>
      <c r="F1" s="8" t="s">
        <v>5</v>
      </c>
    </row>
    <row r="2" spans="1:6" ht="15" customHeight="1" x14ac:dyDescent="0.3">
      <c r="A2" s="22" t="s">
        <v>6</v>
      </c>
      <c r="B2" s="23"/>
      <c r="C2" s="23"/>
      <c r="D2" s="23"/>
      <c r="E2" s="23"/>
      <c r="F2" s="24"/>
    </row>
    <row r="3" spans="1:6" ht="15" customHeight="1" x14ac:dyDescent="0.3">
      <c r="A3" s="9" t="s">
        <v>17</v>
      </c>
      <c r="B3" s="10">
        <v>1</v>
      </c>
      <c r="C3" s="6">
        <v>9</v>
      </c>
      <c r="D3" s="10"/>
      <c r="E3" s="11"/>
      <c r="F3" s="10"/>
    </row>
    <row r="4" spans="1:6" x14ac:dyDescent="0.3">
      <c r="A4" s="25" t="s">
        <v>18</v>
      </c>
      <c r="B4" s="12">
        <v>2</v>
      </c>
      <c r="C4" s="5">
        <v>5</v>
      </c>
      <c r="D4" s="5">
        <f>$C$3/C4</f>
        <v>1.8</v>
      </c>
      <c r="E4" s="13">
        <f>D4/B4</f>
        <v>0.9</v>
      </c>
      <c r="F4" s="5">
        <f>B4*C4</f>
        <v>10</v>
      </c>
    </row>
    <row r="5" spans="1:6" ht="15" customHeight="1" x14ac:dyDescent="0.3">
      <c r="A5" s="26"/>
      <c r="B5" s="12">
        <v>3</v>
      </c>
      <c r="C5" s="5">
        <v>3.1554000000000002</v>
      </c>
      <c r="D5" s="5">
        <f>$C$3/C5</f>
        <v>2.8522532800912721</v>
      </c>
      <c r="E5" s="13">
        <f>D5/B5</f>
        <v>0.9507510933637574</v>
      </c>
      <c r="F5" s="5">
        <f>B5*C5</f>
        <v>9.4662000000000006</v>
      </c>
    </row>
    <row r="6" spans="1:6" ht="15" customHeight="1" x14ac:dyDescent="0.3">
      <c r="A6" s="27"/>
      <c r="B6" s="12">
        <v>4</v>
      </c>
      <c r="C6" s="5">
        <v>3</v>
      </c>
      <c r="D6" s="5">
        <f>$C$3/C6</f>
        <v>3</v>
      </c>
      <c r="E6" s="13">
        <f>D6/B6</f>
        <v>0.75</v>
      </c>
      <c r="F6" s="5">
        <f>B6*C6</f>
        <v>12</v>
      </c>
    </row>
    <row r="7" spans="1:6" ht="15" customHeight="1" x14ac:dyDescent="0.3">
      <c r="A7" s="9" t="s">
        <v>19</v>
      </c>
      <c r="B7" s="10"/>
      <c r="C7" s="6">
        <v>0.24</v>
      </c>
      <c r="D7" s="10"/>
      <c r="E7" s="11"/>
      <c r="F7" s="10"/>
    </row>
    <row r="8" spans="1:6" x14ac:dyDescent="0.3">
      <c r="A8" s="25" t="s">
        <v>20</v>
      </c>
      <c r="B8" s="12">
        <v>2</v>
      </c>
      <c r="C8" s="6">
        <v>0.15670000000000001</v>
      </c>
      <c r="D8" s="5">
        <f t="shared" ref="D8:D13" si="0">$C$7/C8</f>
        <v>1.5315890236119973</v>
      </c>
      <c r="E8" s="13">
        <f>D8/B8</f>
        <v>0.76579451180599867</v>
      </c>
      <c r="F8" s="5">
        <f>B8*C8</f>
        <v>0.31340000000000001</v>
      </c>
    </row>
    <row r="9" spans="1:6" ht="15" customHeight="1" x14ac:dyDescent="0.3">
      <c r="A9" s="26"/>
      <c r="B9" s="12">
        <v>3</v>
      </c>
      <c r="C9" s="6">
        <v>0.14000000000000001</v>
      </c>
      <c r="D9" s="5">
        <f t="shared" si="0"/>
        <v>1.714285714285714</v>
      </c>
      <c r="E9" s="13">
        <f>D9/B9</f>
        <v>0.57142857142857129</v>
      </c>
      <c r="F9" s="5">
        <f>B9*C9</f>
        <v>0.42000000000000004</v>
      </c>
    </row>
    <row r="10" spans="1:6" ht="15" customHeight="1" x14ac:dyDescent="0.3">
      <c r="A10" s="27"/>
      <c r="B10" s="12">
        <v>4</v>
      </c>
      <c r="C10" s="6">
        <v>0.12</v>
      </c>
      <c r="D10" s="5">
        <f t="shared" si="0"/>
        <v>2</v>
      </c>
      <c r="E10" s="13">
        <f>D10/B10</f>
        <v>0.5</v>
      </c>
      <c r="F10" s="5">
        <f>B10*C10</f>
        <v>0.48</v>
      </c>
    </row>
    <row r="11" spans="1:6" x14ac:dyDescent="0.3">
      <c r="A11" s="25" t="s">
        <v>21</v>
      </c>
      <c r="B11" s="12">
        <v>2</v>
      </c>
      <c r="C11" s="6">
        <v>0.16</v>
      </c>
      <c r="D11" s="5">
        <f t="shared" si="0"/>
        <v>1.5</v>
      </c>
      <c r="E11" s="13">
        <f>D11/B11</f>
        <v>0.75</v>
      </c>
      <c r="F11" s="5">
        <f>B11*C11</f>
        <v>0.32</v>
      </c>
    </row>
    <row r="12" spans="1:6" ht="15" customHeight="1" x14ac:dyDescent="0.3">
      <c r="A12" s="26"/>
      <c r="B12" s="12">
        <v>3</v>
      </c>
      <c r="C12" s="6">
        <v>0.14000000000000001</v>
      </c>
      <c r="D12" s="5">
        <f t="shared" si="0"/>
        <v>1.714285714285714</v>
      </c>
      <c r="E12" s="13">
        <f>D12/B12</f>
        <v>0.57142857142857129</v>
      </c>
      <c r="F12" s="5">
        <f>B12*C12</f>
        <v>0.42000000000000004</v>
      </c>
    </row>
    <row r="13" spans="1:6" ht="15" customHeight="1" x14ac:dyDescent="0.3">
      <c r="A13" s="27"/>
      <c r="B13" s="12">
        <v>4</v>
      </c>
      <c r="C13" s="6">
        <v>0.12</v>
      </c>
      <c r="D13" s="5">
        <f t="shared" si="0"/>
        <v>2</v>
      </c>
      <c r="E13" s="13">
        <f>D13/B13</f>
        <v>0.5</v>
      </c>
      <c r="F13" s="5">
        <f>B13*C13</f>
        <v>0.48</v>
      </c>
    </row>
    <row r="14" spans="1:6" ht="15" customHeight="1" x14ac:dyDescent="0.3">
      <c r="A14" s="9" t="s">
        <v>22</v>
      </c>
      <c r="B14" s="10">
        <v>1</v>
      </c>
      <c r="C14" s="6">
        <v>0.23551800000000001</v>
      </c>
      <c r="D14" s="10"/>
      <c r="E14" s="11"/>
      <c r="F14" s="10"/>
    </row>
    <row r="15" spans="1:6" x14ac:dyDescent="0.3">
      <c r="A15" s="25" t="s">
        <v>23</v>
      </c>
      <c r="B15" s="12">
        <v>2</v>
      </c>
      <c r="C15" s="6">
        <v>0.15721099999999999</v>
      </c>
      <c r="D15" s="5">
        <f t="shared" ref="D15:D20" si="1">$C$14/C15</f>
        <v>1.4981012779004015</v>
      </c>
      <c r="E15" s="13">
        <f>D15/B15</f>
        <v>0.74905063895020074</v>
      </c>
      <c r="F15" s="5">
        <f>B15*C15</f>
        <v>0.31442199999999998</v>
      </c>
    </row>
    <row r="16" spans="1:6" ht="15" customHeight="1" x14ac:dyDescent="0.3">
      <c r="A16" s="26"/>
      <c r="B16" s="12">
        <v>3</v>
      </c>
      <c r="C16" s="6">
        <v>0.12</v>
      </c>
      <c r="D16" s="5">
        <f t="shared" si="1"/>
        <v>1.96265</v>
      </c>
      <c r="E16" s="13">
        <f>D16/B16</f>
        <v>0.65421666666666667</v>
      </c>
      <c r="F16" s="5">
        <f>B16*C16</f>
        <v>0.36</v>
      </c>
    </row>
    <row r="17" spans="1:6" ht="15" customHeight="1" x14ac:dyDescent="0.3">
      <c r="A17" s="27"/>
      <c r="B17" s="12">
        <v>4</v>
      </c>
      <c r="C17" s="6">
        <v>0.10936</v>
      </c>
      <c r="D17" s="5">
        <f t="shared" si="1"/>
        <v>2.1536027798098027</v>
      </c>
      <c r="E17" s="13">
        <f>D17/B17</f>
        <v>0.53840069495245069</v>
      </c>
      <c r="F17" s="5">
        <f>B17*C17</f>
        <v>0.43744</v>
      </c>
    </row>
    <row r="18" spans="1:6" x14ac:dyDescent="0.3">
      <c r="A18" s="25" t="s">
        <v>24</v>
      </c>
      <c r="B18" s="12">
        <v>2</v>
      </c>
      <c r="C18" s="6">
        <v>0.16</v>
      </c>
      <c r="D18" s="5">
        <f t="shared" si="1"/>
        <v>1.4719875</v>
      </c>
      <c r="E18" s="13">
        <f>D18/B18</f>
        <v>0.73599375</v>
      </c>
      <c r="F18" s="5">
        <f>B18*C18</f>
        <v>0.32</v>
      </c>
    </row>
    <row r="19" spans="1:6" ht="15" customHeight="1" x14ac:dyDescent="0.3">
      <c r="A19" s="26"/>
      <c r="B19" s="12">
        <v>3</v>
      </c>
      <c r="C19" s="6">
        <v>0.15737400000000001</v>
      </c>
      <c r="D19" s="5">
        <f t="shared" si="1"/>
        <v>1.4965496206489</v>
      </c>
      <c r="E19" s="13">
        <f>D19/B19</f>
        <v>0.49884987354963334</v>
      </c>
      <c r="F19" s="5">
        <f>B19*C19</f>
        <v>0.47212200000000004</v>
      </c>
    </row>
    <row r="20" spans="1:6" ht="15" customHeight="1" x14ac:dyDescent="0.3">
      <c r="A20" s="27"/>
      <c r="B20" s="12">
        <v>4</v>
      </c>
      <c r="C20" s="6">
        <v>0.14000000000000001</v>
      </c>
      <c r="D20" s="5">
        <f t="shared" si="1"/>
        <v>1.6822714285714284</v>
      </c>
      <c r="E20" s="13">
        <f>D20/B20</f>
        <v>0.4205678571428571</v>
      </c>
      <c r="F20" s="5">
        <f>B20*C20</f>
        <v>0.56000000000000005</v>
      </c>
    </row>
    <row r="21" spans="1:6" ht="15" customHeight="1" x14ac:dyDescent="0.3">
      <c r="A21" s="22" t="s">
        <v>12</v>
      </c>
      <c r="B21" s="23"/>
      <c r="C21" s="23"/>
      <c r="D21" s="23"/>
      <c r="E21" s="23"/>
      <c r="F21" s="24"/>
    </row>
    <row r="22" spans="1:6" ht="15" customHeight="1" x14ac:dyDescent="0.3">
      <c r="A22" s="9" t="s">
        <v>17</v>
      </c>
      <c r="B22" s="10">
        <v>1</v>
      </c>
      <c r="C22" s="6">
        <v>15</v>
      </c>
      <c r="D22" s="6"/>
      <c r="E22" s="11"/>
      <c r="F22" s="6"/>
    </row>
    <row r="23" spans="1:6" x14ac:dyDescent="0.3">
      <c r="A23" s="25" t="s">
        <v>18</v>
      </c>
      <c r="B23" s="12">
        <v>2</v>
      </c>
      <c r="C23" s="5">
        <v>7.6161599999999998</v>
      </c>
      <c r="D23" s="5">
        <f>$C$22/C23</f>
        <v>1.9694964391504381</v>
      </c>
      <c r="E23" s="13">
        <f>D23/B23</f>
        <v>0.98474821957521907</v>
      </c>
      <c r="F23" s="5">
        <f>B23*C23</f>
        <v>15.23232</v>
      </c>
    </row>
    <row r="24" spans="1:6" ht="15" customHeight="1" x14ac:dyDescent="0.3">
      <c r="A24" s="26"/>
      <c r="B24" s="12">
        <v>3</v>
      </c>
      <c r="C24" s="5">
        <v>5.3846100000000003</v>
      </c>
      <c r="D24" s="5">
        <f>$C$22/C24</f>
        <v>2.7857170714313568</v>
      </c>
      <c r="E24" s="13">
        <f>D24/B24</f>
        <v>0.92857235714378561</v>
      </c>
      <c r="F24" s="5">
        <f>B24*C24</f>
        <v>16.153829999999999</v>
      </c>
    </row>
    <row r="25" spans="1:6" ht="15" customHeight="1" x14ac:dyDescent="0.3">
      <c r="A25" s="27"/>
      <c r="B25" s="12">
        <v>4</v>
      </c>
      <c r="C25" s="5">
        <v>4.2852399999999999</v>
      </c>
      <c r="D25" s="5">
        <f>$C$22/C25</f>
        <v>3.5003873762029665</v>
      </c>
      <c r="E25" s="13">
        <f>D25/B25</f>
        <v>0.87509684405074162</v>
      </c>
      <c r="F25" s="5">
        <f>B25*C25</f>
        <v>17.14096</v>
      </c>
    </row>
    <row r="26" spans="1:6" ht="15" customHeight="1" x14ac:dyDescent="0.3">
      <c r="A26" s="9" t="s">
        <v>19</v>
      </c>
      <c r="B26" s="10">
        <v>1</v>
      </c>
      <c r="C26" s="6">
        <v>0.43071199999999998</v>
      </c>
      <c r="D26" s="6"/>
      <c r="E26" s="11"/>
      <c r="F26" s="6"/>
    </row>
    <row r="27" spans="1:6" x14ac:dyDescent="0.3">
      <c r="A27" s="25" t="s">
        <v>20</v>
      </c>
      <c r="B27" s="12">
        <v>2</v>
      </c>
      <c r="C27" s="5">
        <v>0.24993299999999999</v>
      </c>
      <c r="D27" s="5">
        <f t="shared" ref="D27:D32" si="2">$C$26/C27</f>
        <v>1.7233098470390065</v>
      </c>
      <c r="E27" s="13">
        <f>D27/B27</f>
        <v>0.86165492351950324</v>
      </c>
      <c r="F27" s="5">
        <f>B27*C27</f>
        <v>0.49986599999999998</v>
      </c>
    </row>
    <row r="28" spans="1:6" ht="15" customHeight="1" x14ac:dyDescent="0.3">
      <c r="A28" s="26"/>
      <c r="B28" s="12">
        <v>3</v>
      </c>
      <c r="C28" s="5">
        <v>0.2</v>
      </c>
      <c r="D28" s="5">
        <f t="shared" si="2"/>
        <v>2.1535599999999997</v>
      </c>
      <c r="E28" s="13">
        <f>D28/B28</f>
        <v>0.71785333333333323</v>
      </c>
      <c r="F28" s="5">
        <f>B28*C28</f>
        <v>0.60000000000000009</v>
      </c>
    </row>
    <row r="29" spans="1:6" ht="15" customHeight="1" x14ac:dyDescent="0.3">
      <c r="A29" s="27"/>
      <c r="B29" s="12">
        <v>4</v>
      </c>
      <c r="C29" s="5">
        <v>0.164106</v>
      </c>
      <c r="D29" s="5">
        <f t="shared" si="2"/>
        <v>2.6245962975150205</v>
      </c>
      <c r="E29" s="13">
        <f>D29/B29</f>
        <v>0.65614907437875514</v>
      </c>
      <c r="F29" s="5">
        <f>B29*C29</f>
        <v>0.65642400000000001</v>
      </c>
    </row>
    <row r="30" spans="1:6" x14ac:dyDescent="0.3">
      <c r="A30" s="25" t="s">
        <v>21</v>
      </c>
      <c r="B30" s="12">
        <v>2</v>
      </c>
      <c r="C30" s="5">
        <v>0.26536900000000002</v>
      </c>
      <c r="D30" s="5">
        <f t="shared" si="2"/>
        <v>1.6230682559002745</v>
      </c>
      <c r="E30" s="13">
        <f>D30/B30</f>
        <v>0.81153412795013724</v>
      </c>
      <c r="F30" s="5">
        <f>B30*C30</f>
        <v>0.53073800000000004</v>
      </c>
    </row>
    <row r="31" spans="1:6" ht="15" customHeight="1" x14ac:dyDescent="0.3">
      <c r="A31" s="26"/>
      <c r="B31" s="12">
        <v>3</v>
      </c>
      <c r="C31" s="5">
        <v>0.20443</v>
      </c>
      <c r="D31" s="5">
        <f t="shared" si="2"/>
        <v>2.1068923347845225</v>
      </c>
      <c r="E31" s="13">
        <f>D31/B31</f>
        <v>0.70229744492817414</v>
      </c>
      <c r="F31" s="5">
        <f>B31*C31</f>
        <v>0.61329</v>
      </c>
    </row>
    <row r="32" spans="1:6" ht="15" customHeight="1" x14ac:dyDescent="0.3">
      <c r="A32" s="27"/>
      <c r="B32" s="12">
        <v>4</v>
      </c>
      <c r="C32" s="5">
        <v>0.172593</v>
      </c>
      <c r="D32" s="5">
        <f t="shared" si="2"/>
        <v>2.4955357401516864</v>
      </c>
      <c r="E32" s="13">
        <f>D32/B32</f>
        <v>0.62388393503792161</v>
      </c>
      <c r="F32" s="5">
        <f>B32*C32</f>
        <v>0.69037199999999999</v>
      </c>
    </row>
    <row r="33" spans="1:6" ht="15" customHeight="1" x14ac:dyDescent="0.3">
      <c r="A33" s="9" t="s">
        <v>22</v>
      </c>
      <c r="B33" s="10">
        <v>1</v>
      </c>
      <c r="C33" s="6">
        <v>0.4</v>
      </c>
      <c r="D33" s="6"/>
      <c r="E33" s="11"/>
      <c r="F33" s="6"/>
    </row>
    <row r="34" spans="1:6" x14ac:dyDescent="0.3">
      <c r="A34" s="25" t="s">
        <v>23</v>
      </c>
      <c r="B34" s="12">
        <v>2</v>
      </c>
      <c r="C34" s="5">
        <v>0.241757</v>
      </c>
      <c r="D34" s="5">
        <f t="shared" ref="D34:D39" si="3">$C$33/C34</f>
        <v>1.654553952936213</v>
      </c>
      <c r="E34" s="13">
        <f>D34/B34</f>
        <v>0.8272769764681065</v>
      </c>
      <c r="F34" s="5">
        <f>B34*C34</f>
        <v>0.483514</v>
      </c>
    </row>
    <row r="35" spans="1:6" ht="15" customHeight="1" x14ac:dyDescent="0.3">
      <c r="A35" s="26"/>
      <c r="B35" s="12">
        <v>3</v>
      </c>
      <c r="C35" s="5">
        <v>0.19428599999999999</v>
      </c>
      <c r="D35" s="5">
        <f t="shared" si="3"/>
        <v>2.0588205017345564</v>
      </c>
      <c r="E35" s="13">
        <f>D35/B35</f>
        <v>0.68627350057818548</v>
      </c>
      <c r="F35" s="5">
        <f>B35*C35</f>
        <v>0.58285799999999999</v>
      </c>
    </row>
    <row r="36" spans="1:6" ht="15" customHeight="1" x14ac:dyDescent="0.3">
      <c r="A36" s="27"/>
      <c r="B36" s="12">
        <v>4</v>
      </c>
      <c r="C36" s="5">
        <v>0.16136</v>
      </c>
      <c r="D36" s="5">
        <f t="shared" si="3"/>
        <v>2.478929102627665</v>
      </c>
      <c r="E36" s="13">
        <f>D36/B36</f>
        <v>0.61973227565691624</v>
      </c>
      <c r="F36" s="5">
        <f>B36*C36</f>
        <v>0.64544000000000001</v>
      </c>
    </row>
    <row r="37" spans="1:6" x14ac:dyDescent="0.3">
      <c r="A37" s="25" t="s">
        <v>24</v>
      </c>
      <c r="B37" s="12">
        <v>2</v>
      </c>
      <c r="C37" s="5">
        <v>0.24821499999999999</v>
      </c>
      <c r="D37" s="5">
        <f t="shared" si="3"/>
        <v>1.6115061539391256</v>
      </c>
      <c r="E37" s="13">
        <f>D37/B37</f>
        <v>0.80575307696956278</v>
      </c>
      <c r="F37" s="5">
        <f>B37*C37</f>
        <v>0.49642999999999998</v>
      </c>
    </row>
    <row r="38" spans="1:6" ht="15" customHeight="1" x14ac:dyDescent="0.3">
      <c r="A38" s="26"/>
      <c r="B38" s="12">
        <v>3</v>
      </c>
      <c r="C38" s="5">
        <v>0.222222</v>
      </c>
      <c r="D38" s="5">
        <f t="shared" si="3"/>
        <v>1.8000018000018001</v>
      </c>
      <c r="E38" s="13">
        <f>D38/B38</f>
        <v>0.60000060000060007</v>
      </c>
      <c r="F38" s="5">
        <f>B38*C38</f>
        <v>0.66666599999999998</v>
      </c>
    </row>
    <row r="39" spans="1:6" ht="15" customHeight="1" x14ac:dyDescent="0.3">
      <c r="A39" s="27"/>
      <c r="B39" s="12">
        <v>4</v>
      </c>
      <c r="C39" s="5">
        <v>0.198188</v>
      </c>
      <c r="D39" s="5">
        <f t="shared" si="3"/>
        <v>2.0182856681534704</v>
      </c>
      <c r="E39" s="13">
        <f>D39/B39</f>
        <v>0.50457141703836761</v>
      </c>
      <c r="F39" s="5">
        <f>B39*C39</f>
        <v>0.79275200000000001</v>
      </c>
    </row>
    <row r="40" spans="1:6" ht="15" customHeight="1" x14ac:dyDescent="0.3">
      <c r="A40" s="22" t="s">
        <v>13</v>
      </c>
      <c r="B40" s="23"/>
      <c r="C40" s="23"/>
      <c r="D40" s="23"/>
      <c r="E40" s="23"/>
      <c r="F40" s="24"/>
    </row>
    <row r="41" spans="1:6" ht="15" customHeight="1" x14ac:dyDescent="0.3">
      <c r="A41" s="9" t="s">
        <v>17</v>
      </c>
      <c r="B41" s="10">
        <v>1</v>
      </c>
      <c r="C41" s="6">
        <v>21</v>
      </c>
      <c r="D41" s="6"/>
      <c r="E41" s="11"/>
      <c r="F41" s="6"/>
    </row>
    <row r="42" spans="1:6" x14ac:dyDescent="0.3">
      <c r="A42" s="25" t="s">
        <v>18</v>
      </c>
      <c r="B42" s="12">
        <v>2</v>
      </c>
      <c r="C42" s="5">
        <v>10.6195</v>
      </c>
      <c r="D42" s="5">
        <f>$C$41/C42</f>
        <v>1.977494232308489</v>
      </c>
      <c r="E42" s="13">
        <f>D42/B42</f>
        <v>0.98874711615424449</v>
      </c>
      <c r="F42" s="5">
        <f>B42*C42</f>
        <v>21.239000000000001</v>
      </c>
    </row>
    <row r="43" spans="1:6" ht="15" customHeight="1" x14ac:dyDescent="0.3">
      <c r="A43" s="26"/>
      <c r="B43" s="12">
        <v>3</v>
      </c>
      <c r="C43" s="5">
        <v>7.3741500000000002</v>
      </c>
      <c r="D43" s="5">
        <f>$C$41/C43</f>
        <v>2.8477858465043426</v>
      </c>
      <c r="E43" s="13">
        <f>D43/B43</f>
        <v>0.94926194883478088</v>
      </c>
      <c r="F43" s="5">
        <f>B43*C43</f>
        <v>22.122450000000001</v>
      </c>
    </row>
    <row r="44" spans="1:6" ht="15" customHeight="1" x14ac:dyDescent="0.3">
      <c r="A44" s="27"/>
      <c r="B44" s="12">
        <v>4</v>
      </c>
      <c r="C44" s="5">
        <v>6</v>
      </c>
      <c r="D44" s="5">
        <f>$C$41/C44</f>
        <v>3.5</v>
      </c>
      <c r="E44" s="13">
        <f>D44/B44</f>
        <v>0.875</v>
      </c>
      <c r="F44" s="5">
        <f>B44*C44</f>
        <v>24</v>
      </c>
    </row>
    <row r="45" spans="1:6" ht="15" customHeight="1" x14ac:dyDescent="0.3">
      <c r="A45" s="9" t="s">
        <v>19</v>
      </c>
      <c r="B45" s="10">
        <v>1</v>
      </c>
      <c r="C45" s="6">
        <v>0.60387500000000005</v>
      </c>
      <c r="D45" s="6"/>
      <c r="E45" s="11"/>
      <c r="F45" s="6"/>
    </row>
    <row r="46" spans="1:6" x14ac:dyDescent="0.3">
      <c r="A46" s="25" t="s">
        <v>20</v>
      </c>
      <c r="B46" s="12">
        <v>2</v>
      </c>
      <c r="C46" s="5">
        <v>0.34060600000000002</v>
      </c>
      <c r="D46" s="5">
        <f t="shared" ref="D46:D51" si="4">$C$45/C46</f>
        <v>1.7729429311286355</v>
      </c>
      <c r="E46" s="13">
        <f>D46/B46</f>
        <v>0.88647146556431777</v>
      </c>
      <c r="F46" s="5">
        <f>B46*C46</f>
        <v>0.68121200000000004</v>
      </c>
    </row>
    <row r="47" spans="1:6" ht="15" customHeight="1" x14ac:dyDescent="0.3">
      <c r="A47" s="26"/>
      <c r="B47" s="12">
        <v>3</v>
      </c>
      <c r="C47" s="5">
        <v>0.26461000000000001</v>
      </c>
      <c r="D47" s="5">
        <f t="shared" si="4"/>
        <v>2.2821321945504707</v>
      </c>
      <c r="E47" s="13">
        <f>D47/B47</f>
        <v>0.76071073151682356</v>
      </c>
      <c r="F47" s="5">
        <f>B47*C47</f>
        <v>0.79383000000000004</v>
      </c>
    </row>
    <row r="48" spans="1:6" ht="15" customHeight="1" x14ac:dyDescent="0.3">
      <c r="A48" s="27"/>
      <c r="B48" s="12">
        <v>4</v>
      </c>
      <c r="C48" s="5">
        <v>0.23552500000000001</v>
      </c>
      <c r="D48" s="5">
        <f t="shared" si="4"/>
        <v>2.5639528712450907</v>
      </c>
      <c r="E48" s="13">
        <f>D48/B48</f>
        <v>0.64098821781127269</v>
      </c>
      <c r="F48" s="5">
        <f>B48*C48</f>
        <v>0.94210000000000005</v>
      </c>
    </row>
    <row r="49" spans="1:6" x14ac:dyDescent="0.3">
      <c r="A49" s="25" t="s">
        <v>21</v>
      </c>
      <c r="B49" s="12">
        <v>2</v>
      </c>
      <c r="C49" s="5">
        <v>0.36229699999999998</v>
      </c>
      <c r="D49" s="5">
        <f t="shared" si="4"/>
        <v>1.666795474431199</v>
      </c>
      <c r="E49" s="13">
        <f>D49/B49</f>
        <v>0.83339773721559951</v>
      </c>
      <c r="F49" s="5">
        <f>B49*C49</f>
        <v>0.72459399999999996</v>
      </c>
    </row>
    <row r="50" spans="1:6" ht="15" customHeight="1" x14ac:dyDescent="0.3">
      <c r="A50" s="26"/>
      <c r="B50" s="12">
        <v>3</v>
      </c>
      <c r="C50" s="5">
        <v>0.27878399999999998</v>
      </c>
      <c r="D50" s="5">
        <f t="shared" si="4"/>
        <v>2.1661035066574841</v>
      </c>
      <c r="E50" s="13">
        <f>D50/B50</f>
        <v>0.72203450221916132</v>
      </c>
      <c r="F50" s="5">
        <f>B50*C50</f>
        <v>0.83635199999999998</v>
      </c>
    </row>
    <row r="51" spans="1:6" ht="15" customHeight="1" x14ac:dyDescent="0.3">
      <c r="A51" s="27"/>
      <c r="B51" s="12">
        <v>4</v>
      </c>
      <c r="C51" s="5">
        <v>0.24474599999999999</v>
      </c>
      <c r="D51" s="5">
        <f t="shared" si="4"/>
        <v>2.4673539097676778</v>
      </c>
      <c r="E51" s="13">
        <f>D51/B51</f>
        <v>0.61683847744191944</v>
      </c>
      <c r="F51" s="5">
        <f>B51*C51</f>
        <v>0.97898399999999997</v>
      </c>
    </row>
    <row r="52" spans="1:6" ht="15" customHeight="1" x14ac:dyDescent="0.3">
      <c r="A52" s="9" t="s">
        <v>22</v>
      </c>
      <c r="B52" s="10">
        <v>1</v>
      </c>
      <c r="C52" s="6">
        <v>0.56577200000000005</v>
      </c>
      <c r="D52" s="6"/>
      <c r="E52" s="11"/>
      <c r="F52" s="6"/>
    </row>
    <row r="53" spans="1:6" x14ac:dyDescent="0.3">
      <c r="A53" s="25" t="s">
        <v>23</v>
      </c>
      <c r="B53" s="12">
        <v>2</v>
      </c>
      <c r="C53" s="5">
        <v>0.32949499999999998</v>
      </c>
      <c r="D53" s="5">
        <f t="shared" ref="D53:D58" si="5">$C$52/C53</f>
        <v>1.7170882714456974</v>
      </c>
      <c r="E53" s="13">
        <f>D53/B53</f>
        <v>0.85854413572284871</v>
      </c>
      <c r="F53" s="5">
        <f>B53*C53</f>
        <v>0.65898999999999996</v>
      </c>
    </row>
    <row r="54" spans="1:6" ht="15" customHeight="1" x14ac:dyDescent="0.3">
      <c r="A54" s="26"/>
      <c r="B54" s="12">
        <v>3</v>
      </c>
      <c r="C54" s="5">
        <v>0.25410500000000003</v>
      </c>
      <c r="D54" s="5">
        <f t="shared" si="5"/>
        <v>2.2265284036126798</v>
      </c>
      <c r="E54" s="13">
        <f>D54/B54</f>
        <v>0.74217613453755993</v>
      </c>
      <c r="F54" s="5">
        <f>B54*C54</f>
        <v>0.76231500000000008</v>
      </c>
    </row>
    <row r="55" spans="1:6" ht="15" customHeight="1" x14ac:dyDescent="0.3">
      <c r="A55" s="27"/>
      <c r="B55" s="12">
        <v>4</v>
      </c>
      <c r="C55" s="5">
        <v>0.20885899999999999</v>
      </c>
      <c r="D55" s="5">
        <f t="shared" si="5"/>
        <v>2.7088705777582009</v>
      </c>
      <c r="E55" s="13">
        <f>D55/B55</f>
        <v>0.67721764443955024</v>
      </c>
      <c r="F55" s="5">
        <f>B55*C55</f>
        <v>0.83543599999999996</v>
      </c>
    </row>
    <row r="56" spans="1:6" x14ac:dyDescent="0.3">
      <c r="A56" s="25" t="s">
        <v>24</v>
      </c>
      <c r="B56" s="12">
        <v>2</v>
      </c>
      <c r="C56" s="5">
        <v>0.33824900000000002</v>
      </c>
      <c r="D56" s="5">
        <f t="shared" si="5"/>
        <v>1.6726494387270916</v>
      </c>
      <c r="E56" s="13">
        <f>D56/B56</f>
        <v>0.8363247193635458</v>
      </c>
      <c r="F56" s="5">
        <f>B56*C56</f>
        <v>0.67649800000000004</v>
      </c>
    </row>
    <row r="57" spans="1:6" ht="15" customHeight="1" x14ac:dyDescent="0.3">
      <c r="A57" s="26"/>
      <c r="B57" s="12">
        <v>3</v>
      </c>
      <c r="C57" s="5">
        <v>0.27114899999999997</v>
      </c>
      <c r="D57" s="5">
        <f t="shared" si="5"/>
        <v>2.0865723273919508</v>
      </c>
      <c r="E57" s="13">
        <f>D57/B57</f>
        <v>0.69552410913065021</v>
      </c>
      <c r="F57" s="5">
        <f>B57*C57</f>
        <v>0.81344699999999992</v>
      </c>
    </row>
    <row r="58" spans="1:6" ht="15" customHeight="1" x14ac:dyDescent="0.3">
      <c r="A58" s="27"/>
      <c r="B58" s="12">
        <v>4</v>
      </c>
      <c r="C58" s="5">
        <v>0.241172</v>
      </c>
      <c r="D58" s="5">
        <f t="shared" si="5"/>
        <v>2.345927387922313</v>
      </c>
      <c r="E58" s="13">
        <f>D58/B58</f>
        <v>0.58648184698057826</v>
      </c>
      <c r="F58" s="5">
        <f>B58*C58</f>
        <v>0.96468799999999999</v>
      </c>
    </row>
    <row r="59" spans="1:6" ht="15" customHeight="1" x14ac:dyDescent="0.3">
      <c r="A59" s="22" t="s">
        <v>16</v>
      </c>
      <c r="B59" s="23"/>
      <c r="C59" s="23"/>
      <c r="D59" s="23"/>
      <c r="E59" s="23"/>
      <c r="F59" s="24"/>
    </row>
    <row r="60" spans="1:6" ht="15" customHeight="1" x14ac:dyDescent="0.3">
      <c r="A60" s="9" t="s">
        <v>17</v>
      </c>
      <c r="B60" s="10">
        <v>1</v>
      </c>
      <c r="C60" s="6">
        <v>26.761700000000001</v>
      </c>
      <c r="D60" s="6"/>
      <c r="E60" s="11"/>
      <c r="F60" s="6"/>
    </row>
    <row r="61" spans="1:6" x14ac:dyDescent="0.3">
      <c r="A61" s="25" t="s">
        <v>18</v>
      </c>
      <c r="B61" s="12">
        <v>2</v>
      </c>
      <c r="C61" s="5">
        <v>13.6915</v>
      </c>
      <c r="D61" s="5">
        <f>$C$60/C61</f>
        <v>1.9546214804805904</v>
      </c>
      <c r="E61" s="13">
        <f>D61/B61</f>
        <v>0.97731074024029518</v>
      </c>
      <c r="F61" s="5">
        <f>B61*C61</f>
        <v>27.382999999999999</v>
      </c>
    </row>
    <row r="62" spans="1:6" ht="15" customHeight="1" x14ac:dyDescent="0.3">
      <c r="A62" s="26"/>
      <c r="B62" s="12">
        <v>3</v>
      </c>
      <c r="C62" s="5">
        <v>9.3775499999999994</v>
      </c>
      <c r="D62" s="5">
        <f>$C$60/C62</f>
        <v>2.8538050983465832</v>
      </c>
      <c r="E62" s="13">
        <f>D62/B62</f>
        <v>0.95126836611552779</v>
      </c>
      <c r="F62" s="5">
        <f>B62*C62</f>
        <v>28.132649999999998</v>
      </c>
    </row>
    <row r="63" spans="1:6" ht="15" customHeight="1" x14ac:dyDescent="0.3">
      <c r="A63" s="27"/>
      <c r="B63" s="12">
        <v>4</v>
      </c>
      <c r="C63" s="5">
        <v>7.4662100000000002</v>
      </c>
      <c r="D63" s="5">
        <f>$C$60/C63</f>
        <v>3.5843754729641946</v>
      </c>
      <c r="E63" s="13">
        <f>D63/B63</f>
        <v>0.89609386824104864</v>
      </c>
      <c r="F63" s="5">
        <f>B63*C63</f>
        <v>29.864840000000001</v>
      </c>
    </row>
    <row r="64" spans="1:6" ht="15" customHeight="1" x14ac:dyDescent="0.3">
      <c r="A64" s="9" t="s">
        <v>19</v>
      </c>
      <c r="B64" s="10"/>
      <c r="C64" s="6">
        <v>0.78087799999999996</v>
      </c>
      <c r="D64" s="6"/>
      <c r="E64" s="11"/>
      <c r="F64" s="6"/>
    </row>
    <row r="65" spans="1:6" x14ac:dyDescent="0.3">
      <c r="A65" s="25" t="s">
        <v>20</v>
      </c>
      <c r="B65" s="12">
        <v>2</v>
      </c>
      <c r="C65" s="5">
        <v>0.43651000000000001</v>
      </c>
      <c r="D65" s="5">
        <f t="shared" ref="D65:D70" si="6">$C$64/C65</f>
        <v>1.788912052415752</v>
      </c>
      <c r="E65" s="13">
        <f>D65/B65</f>
        <v>0.89445602620787601</v>
      </c>
      <c r="F65" s="5">
        <f>B65*C65</f>
        <v>0.87302000000000002</v>
      </c>
    </row>
    <row r="66" spans="1:6" ht="15" customHeight="1" x14ac:dyDescent="0.3">
      <c r="A66" s="26"/>
      <c r="B66" s="12">
        <v>3</v>
      </c>
      <c r="C66" s="5">
        <v>0.33165</v>
      </c>
      <c r="D66" s="5">
        <f t="shared" si="6"/>
        <v>2.3545243479571836</v>
      </c>
      <c r="E66" s="13">
        <f>D66/B66</f>
        <v>0.78484144931906119</v>
      </c>
      <c r="F66" s="5">
        <f>B66*C66</f>
        <v>0.99495</v>
      </c>
    </row>
    <row r="67" spans="1:6" ht="15" customHeight="1" x14ac:dyDescent="0.3">
      <c r="A67" s="27"/>
      <c r="B67" s="12">
        <v>4</v>
      </c>
      <c r="C67" s="5">
        <v>0.30708299999999999</v>
      </c>
      <c r="D67" s="5">
        <f t="shared" si="6"/>
        <v>2.5428890560532493</v>
      </c>
      <c r="E67" s="13">
        <f>D67/B67</f>
        <v>0.63572226401331233</v>
      </c>
      <c r="F67" s="5">
        <f>B67*C67</f>
        <v>1.228332</v>
      </c>
    </row>
    <row r="68" spans="1:6" x14ac:dyDescent="0.3">
      <c r="A68" s="25" t="s">
        <v>21</v>
      </c>
      <c r="B68" s="12">
        <v>2</v>
      </c>
      <c r="C68" s="5">
        <v>0.460949</v>
      </c>
      <c r="D68" s="5">
        <f t="shared" si="6"/>
        <v>1.6940659378803293</v>
      </c>
      <c r="E68" s="13">
        <f>D68/B68</f>
        <v>0.84703296894016467</v>
      </c>
      <c r="F68" s="5">
        <f>B68*C68</f>
        <v>0.921898</v>
      </c>
    </row>
    <row r="69" spans="1:6" ht="15" customHeight="1" x14ac:dyDescent="0.3">
      <c r="A69" s="26"/>
      <c r="B69" s="12">
        <v>3</v>
      </c>
      <c r="C69" s="5">
        <v>0.35429500000000003</v>
      </c>
      <c r="D69" s="5">
        <f t="shared" si="6"/>
        <v>2.2040333620288175</v>
      </c>
      <c r="E69" s="13">
        <f>D69/B69</f>
        <v>0.7346777873429392</v>
      </c>
      <c r="F69" s="5">
        <f>B69*C69</f>
        <v>1.0628850000000001</v>
      </c>
    </row>
    <row r="70" spans="1:6" ht="15" customHeight="1" x14ac:dyDescent="0.3">
      <c r="A70" s="27"/>
      <c r="B70" s="12">
        <v>4</v>
      </c>
      <c r="C70" s="5">
        <v>0.31742399999999998</v>
      </c>
      <c r="D70" s="5">
        <f t="shared" si="6"/>
        <v>2.4600471293916022</v>
      </c>
      <c r="E70" s="13">
        <f>D70/B70</f>
        <v>0.61501178234790055</v>
      </c>
      <c r="F70" s="5">
        <f>B70*C70</f>
        <v>1.2696959999999999</v>
      </c>
    </row>
    <row r="71" spans="1:6" ht="15" customHeight="1" x14ac:dyDescent="0.3">
      <c r="A71" s="9" t="s">
        <v>22</v>
      </c>
      <c r="B71" s="10">
        <v>1</v>
      </c>
      <c r="C71" s="6">
        <v>0.73024</v>
      </c>
      <c r="D71" s="6"/>
      <c r="E71" s="11"/>
      <c r="F71" s="6"/>
    </row>
    <row r="72" spans="1:6" x14ac:dyDescent="0.3">
      <c r="A72" s="25" t="s">
        <v>23</v>
      </c>
      <c r="B72" s="12">
        <v>2</v>
      </c>
      <c r="C72" s="5">
        <v>0.40779700000000002</v>
      </c>
      <c r="D72" s="5">
        <f t="shared" ref="D72:D77" si="7">$C$71/C72</f>
        <v>1.7906948800506133</v>
      </c>
      <c r="E72" s="13">
        <f>D72/B72</f>
        <v>0.89534744002530664</v>
      </c>
      <c r="F72" s="5">
        <f>B72*C72</f>
        <v>0.81559400000000004</v>
      </c>
    </row>
    <row r="73" spans="1:6" ht="15" customHeight="1" x14ac:dyDescent="0.3">
      <c r="A73" s="26"/>
      <c r="B73" s="12">
        <v>3</v>
      </c>
      <c r="C73" s="5">
        <v>0.29832199999999998</v>
      </c>
      <c r="D73" s="5">
        <f t="shared" si="7"/>
        <v>2.4478248335690966</v>
      </c>
      <c r="E73" s="13">
        <f>D73/B73</f>
        <v>0.81594161118969888</v>
      </c>
      <c r="F73" s="5">
        <f>B73*C73</f>
        <v>0.89496599999999993</v>
      </c>
    </row>
    <row r="74" spans="1:6" ht="15" customHeight="1" x14ac:dyDescent="0.3">
      <c r="A74" s="27"/>
      <c r="B74" s="12">
        <v>4</v>
      </c>
      <c r="C74" s="5">
        <v>0.25993300000000003</v>
      </c>
      <c r="D74" s="5">
        <f t="shared" si="7"/>
        <v>2.8093393297503586</v>
      </c>
      <c r="E74" s="13">
        <f>D74/B74</f>
        <v>0.70233483243758965</v>
      </c>
      <c r="F74" s="5">
        <f>B74*C74</f>
        <v>1.0397320000000001</v>
      </c>
    </row>
    <row r="75" spans="1:6" x14ac:dyDescent="0.3">
      <c r="A75" s="25" t="s">
        <v>24</v>
      </c>
      <c r="B75" s="12">
        <v>2</v>
      </c>
      <c r="C75" s="5">
        <v>0.41727900000000001</v>
      </c>
      <c r="D75" s="5">
        <f t="shared" si="7"/>
        <v>1.7500041938367374</v>
      </c>
      <c r="E75" s="13">
        <f>D75/B75</f>
        <v>0.87500209691836872</v>
      </c>
      <c r="F75" s="5">
        <f>B75*C75</f>
        <v>0.83455800000000002</v>
      </c>
    </row>
    <row r="76" spans="1:6" ht="15" customHeight="1" x14ac:dyDescent="0.3">
      <c r="A76" s="26"/>
      <c r="B76" s="12">
        <v>3</v>
      </c>
      <c r="C76" s="5">
        <v>0.32187900000000003</v>
      </c>
      <c r="D76" s="5">
        <f t="shared" si="7"/>
        <v>2.2686786028290133</v>
      </c>
      <c r="E76" s="13">
        <f>D76/B76</f>
        <v>0.75622620094300441</v>
      </c>
      <c r="F76" s="5">
        <f>B76*C76</f>
        <v>0.96563700000000008</v>
      </c>
    </row>
    <row r="77" spans="1:6" ht="15" customHeight="1" x14ac:dyDescent="0.3">
      <c r="A77" s="27"/>
      <c r="B77" s="12">
        <v>4</v>
      </c>
      <c r="C77" s="5">
        <v>0.29456399999999999</v>
      </c>
      <c r="D77" s="5">
        <f t="shared" si="7"/>
        <v>2.4790537879713748</v>
      </c>
      <c r="E77" s="13">
        <f>D77/B77</f>
        <v>0.61976344699284369</v>
      </c>
      <c r="F77" s="5">
        <f>B77*C77</f>
        <v>1.178256</v>
      </c>
    </row>
  </sheetData>
  <mergeCells count="24">
    <mergeCell ref="A75:A77"/>
    <mergeCell ref="A37:A39"/>
    <mergeCell ref="A46:A48"/>
    <mergeCell ref="A42:A44"/>
    <mergeCell ref="A18:A20"/>
    <mergeCell ref="A27:A29"/>
    <mergeCell ref="A2:F2"/>
    <mergeCell ref="A53:A55"/>
    <mergeCell ref="A4:A6"/>
    <mergeCell ref="A34:A36"/>
    <mergeCell ref="A56:A58"/>
    <mergeCell ref="A15:A17"/>
    <mergeCell ref="A49:A51"/>
    <mergeCell ref="A30:A32"/>
    <mergeCell ref="A11:A13"/>
    <mergeCell ref="A40:F40"/>
    <mergeCell ref="A8:A10"/>
    <mergeCell ref="A72:A74"/>
    <mergeCell ref="A23:A25"/>
    <mergeCell ref="A21:F21"/>
    <mergeCell ref="A68:A70"/>
    <mergeCell ref="A65:A67"/>
    <mergeCell ref="A61:A63"/>
    <mergeCell ref="A59:F5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80"/>
  <sheetViews>
    <sheetView tabSelected="1" topLeftCell="A13" workbookViewId="0">
      <selection activeCell="I39" sqref="I39"/>
    </sheetView>
  </sheetViews>
  <sheetFormatPr defaultColWidth="8.6640625" defaultRowHeight="14.4" x14ac:dyDescent="0.3"/>
  <cols>
    <col min="1" max="1" width="9.33203125" style="1" bestFit="1" customWidth="1"/>
    <col min="2" max="2" width="72.5546875" style="2" bestFit="1" customWidth="1"/>
    <col min="3" max="3" width="12" style="4" customWidth="1"/>
    <col min="4" max="4" width="10" style="2" customWidth="1"/>
    <col min="5" max="5" width="10" style="7" customWidth="1"/>
    <col min="6" max="6" width="10" style="2" customWidth="1"/>
    <col min="7" max="8" width="8.6640625" style="1" customWidth="1"/>
    <col min="9" max="9" width="72.5546875" style="1" bestFit="1" customWidth="1"/>
    <col min="10" max="10" width="32.44140625" style="1" bestFit="1" customWidth="1"/>
    <col min="11" max="14" width="8.6640625" style="1" customWidth="1"/>
    <col min="15" max="15" width="22" style="1" customWidth="1"/>
    <col min="16" max="16" width="8.6640625" style="1" customWidth="1"/>
    <col min="17" max="17" width="10.44140625" style="3" customWidth="1"/>
    <col min="18" max="19" width="8.6640625" style="1" customWidth="1"/>
    <col min="20" max="16384" width="8.6640625" style="1"/>
  </cols>
  <sheetData>
    <row r="1" spans="1:17" ht="30" customHeight="1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K1" s="3"/>
      <c r="Q1" s="1"/>
    </row>
    <row r="2" spans="1:17" ht="15" customHeight="1" x14ac:dyDescent="0.3">
      <c r="A2" s="19" t="s">
        <v>6</v>
      </c>
      <c r="B2" s="20"/>
      <c r="C2" s="20"/>
      <c r="D2" s="20"/>
      <c r="E2" s="20"/>
      <c r="F2" s="21"/>
      <c r="K2" s="3"/>
      <c r="Q2" s="1"/>
    </row>
    <row r="3" spans="1:17" ht="15" customHeight="1" x14ac:dyDescent="0.3">
      <c r="A3" s="10">
        <v>1</v>
      </c>
      <c r="B3" s="14" t="s">
        <v>7</v>
      </c>
      <c r="C3" s="6">
        <f>'Таблица 1.2'!C3+'Таблица 1.2'!C7+'Таблица 1.2'!C14</f>
        <v>9.475518000000001</v>
      </c>
      <c r="D3" s="16"/>
      <c r="E3" s="20"/>
      <c r="F3" s="21"/>
      <c r="K3" s="3"/>
      <c r="Q3" s="1"/>
    </row>
    <row r="4" spans="1:17" ht="15" customHeight="1" x14ac:dyDescent="0.3">
      <c r="A4" s="16">
        <v>2</v>
      </c>
      <c r="B4" s="15" t="s">
        <v>8</v>
      </c>
      <c r="C4" s="6">
        <f>'Таблица 1.2'!C4+'Таблица 1.2'!C8+'Таблица 1.2'!C15</f>
        <v>5.3139110000000001</v>
      </c>
      <c r="D4" s="10">
        <f t="shared" ref="D4:D12" si="0">$C$3/C4</f>
        <v>1.7831533121273579</v>
      </c>
      <c r="E4" s="11">
        <f>D4/$A$4</f>
        <v>0.89157665606367897</v>
      </c>
      <c r="F4" s="10">
        <f>C4*$A$4</f>
        <v>10.627822</v>
      </c>
      <c r="K4" s="3"/>
      <c r="Q4" s="1"/>
    </row>
    <row r="5" spans="1:17" ht="15" customHeight="1" x14ac:dyDescent="0.3">
      <c r="A5" s="17"/>
      <c r="B5" s="15" t="s">
        <v>9</v>
      </c>
      <c r="C5" s="6">
        <f>'Таблица 1.2'!C4+'Таблица 1.2'!C11+'Таблица 1.2'!C15</f>
        <v>5.3172110000000004</v>
      </c>
      <c r="D5" s="10">
        <f t="shared" si="0"/>
        <v>1.7820466406166693</v>
      </c>
      <c r="E5" s="11">
        <f>D5/$A$4</f>
        <v>0.89102332030833464</v>
      </c>
      <c r="F5" s="10">
        <f>C5*$A$4</f>
        <v>10.634422000000001</v>
      </c>
      <c r="K5" s="3"/>
      <c r="Q5" s="1"/>
    </row>
    <row r="6" spans="1:17" ht="15" customHeight="1" x14ac:dyDescent="0.3">
      <c r="A6" s="18"/>
      <c r="B6" s="15" t="s">
        <v>10</v>
      </c>
      <c r="C6" s="6">
        <f>'Таблица 1.2'!C3+'Таблица 1.2'!C7+'Таблица 1.2'!C14</f>
        <v>9.475518000000001</v>
      </c>
      <c r="D6" s="10">
        <f t="shared" si="0"/>
        <v>1</v>
      </c>
      <c r="E6" s="11">
        <f>D6/$A$4</f>
        <v>0.5</v>
      </c>
      <c r="F6" s="10">
        <f>C6*$A$4</f>
        <v>18.951036000000002</v>
      </c>
      <c r="K6" s="3"/>
      <c r="Q6" s="1"/>
    </row>
    <row r="7" spans="1:17" ht="15" customHeight="1" x14ac:dyDescent="0.3">
      <c r="A7" s="16">
        <v>3</v>
      </c>
      <c r="B7" s="15" t="s">
        <v>8</v>
      </c>
      <c r="C7" s="6">
        <f>'Таблица 1.2'!C5+'Таблица 1.2'!C9+'Таблица 1.2'!C16</f>
        <v>3.4154000000000004</v>
      </c>
      <c r="D7" s="10">
        <f t="shared" si="0"/>
        <v>2.7743508813023365</v>
      </c>
      <c r="E7" s="11">
        <f>D7/$A$7</f>
        <v>0.92478362710077888</v>
      </c>
      <c r="F7" s="10">
        <f>C7*$A$7</f>
        <v>10.246200000000002</v>
      </c>
      <c r="K7" s="3"/>
      <c r="Q7" s="1"/>
    </row>
    <row r="8" spans="1:17" ht="15" customHeight="1" x14ac:dyDescent="0.3">
      <c r="A8" s="17"/>
      <c r="B8" s="15" t="s">
        <v>11</v>
      </c>
      <c r="C8" s="6">
        <f>'Таблица 1.2'!C5+'Таблица 1.2'!C9+'Таблица 1.2'!C19</f>
        <v>3.4527740000000002</v>
      </c>
      <c r="D8" s="10">
        <f t="shared" si="0"/>
        <v>2.7443203638581615</v>
      </c>
      <c r="E8" s="11">
        <f>D8/$A$7</f>
        <v>0.91477345461938719</v>
      </c>
      <c r="F8" s="10">
        <f>C8*$A$7</f>
        <v>10.358322000000001</v>
      </c>
      <c r="K8" s="3"/>
      <c r="Q8" s="1"/>
    </row>
    <row r="9" spans="1:17" ht="15" customHeight="1" x14ac:dyDescent="0.3">
      <c r="A9" s="18"/>
      <c r="B9" s="15" t="s">
        <v>10</v>
      </c>
      <c r="C9" s="6">
        <f>'Таблица 1.2'!C3+'Таблица 1.2'!C7+'Таблица 1.2'!C14</f>
        <v>9.475518000000001</v>
      </c>
      <c r="D9" s="10">
        <f t="shared" si="0"/>
        <v>1</v>
      </c>
      <c r="E9" s="11">
        <f>D9/$A$7</f>
        <v>0.33333333333333331</v>
      </c>
      <c r="F9" s="10">
        <f>C9*$A$7</f>
        <v>28.426554000000003</v>
      </c>
      <c r="K9" s="3"/>
      <c r="Q9" s="1"/>
    </row>
    <row r="10" spans="1:17" ht="15" customHeight="1" x14ac:dyDescent="0.3">
      <c r="A10" s="16">
        <v>4</v>
      </c>
      <c r="B10" s="15" t="s">
        <v>8</v>
      </c>
      <c r="C10" s="6">
        <f>'Таблица 1.2'!C6+'Таблица 1.2'!C10+'Таблица 1.2'!C17</f>
        <v>3.2293600000000002</v>
      </c>
      <c r="D10" s="10">
        <f t="shared" si="0"/>
        <v>2.934178289196621</v>
      </c>
      <c r="E10" s="11">
        <f>D10/$A$10</f>
        <v>0.73354457229915526</v>
      </c>
      <c r="F10" s="10">
        <f>C10*$A$10</f>
        <v>12.917440000000001</v>
      </c>
      <c r="K10" s="3"/>
      <c r="Q10" s="1"/>
    </row>
    <row r="11" spans="1:17" ht="15" customHeight="1" x14ac:dyDescent="0.3">
      <c r="A11" s="17"/>
      <c r="B11" s="15" t="s">
        <v>9</v>
      </c>
      <c r="C11" s="6">
        <f>'Таблица 1.2'!C6+'Таблица 1.2'!C13+'Таблица 1.2'!C17</f>
        <v>3.2293600000000002</v>
      </c>
      <c r="D11" s="10">
        <f t="shared" si="0"/>
        <v>2.934178289196621</v>
      </c>
      <c r="E11" s="11">
        <f>D11/$A$10</f>
        <v>0.73354457229915526</v>
      </c>
      <c r="F11" s="10">
        <f>C11*$A$10</f>
        <v>12.917440000000001</v>
      </c>
      <c r="K11" s="3"/>
      <c r="Q11" s="1"/>
    </row>
    <row r="12" spans="1:17" ht="15" customHeight="1" x14ac:dyDescent="0.3">
      <c r="A12" s="18"/>
      <c r="B12" s="15" t="s">
        <v>10</v>
      </c>
      <c r="C12" s="6">
        <f>'Таблица 1.2'!C3+'Таблица 1.2'!C7+'Таблица 1.2'!C14</f>
        <v>9.475518000000001</v>
      </c>
      <c r="D12" s="10">
        <f t="shared" si="0"/>
        <v>1</v>
      </c>
      <c r="E12" s="11">
        <f>D12/$A$10</f>
        <v>0.25</v>
      </c>
      <c r="F12" s="10">
        <f>C12*$A$10</f>
        <v>37.902072000000004</v>
      </c>
      <c r="K12" s="3"/>
      <c r="Q12" s="1"/>
    </row>
    <row r="13" spans="1:17" ht="15" customHeight="1" x14ac:dyDescent="0.3">
      <c r="A13" s="19" t="s">
        <v>12</v>
      </c>
      <c r="B13" s="20"/>
      <c r="C13" s="20"/>
      <c r="D13" s="20"/>
      <c r="E13" s="20"/>
      <c r="F13" s="21"/>
      <c r="K13" s="3"/>
      <c r="Q13" s="1"/>
    </row>
    <row r="14" spans="1:17" ht="15" customHeight="1" x14ac:dyDescent="0.3">
      <c r="A14" s="10">
        <v>1</v>
      </c>
      <c r="B14" s="14" t="s">
        <v>7</v>
      </c>
      <c r="C14" s="6">
        <f>'Таблица 1.2'!C22+'Таблица 1.2'!C26+'Таблица 1.2'!C33</f>
        <v>15.830712</v>
      </c>
      <c r="D14" s="16"/>
      <c r="E14" s="20"/>
      <c r="F14" s="21"/>
      <c r="K14" s="3"/>
      <c r="Q14" s="1"/>
    </row>
    <row r="15" spans="1:17" ht="15" customHeight="1" x14ac:dyDescent="0.3">
      <c r="A15" s="16">
        <v>2</v>
      </c>
      <c r="B15" s="15" t="s">
        <v>8</v>
      </c>
      <c r="C15" s="6">
        <f>'Таблица 1.2'!C23+'Таблица 1.2'!C27+'Таблица 1.2'!C34</f>
        <v>8.1078500000000009</v>
      </c>
      <c r="D15" s="10">
        <f t="shared" ref="D15:D23" si="1">$C$14/C15</f>
        <v>1.9525166351128842</v>
      </c>
      <c r="E15" s="11">
        <f>D15/$A$15</f>
        <v>0.9762583175564421</v>
      </c>
      <c r="F15" s="10">
        <f>C15*$A$15</f>
        <v>16.215700000000002</v>
      </c>
      <c r="K15" s="3"/>
      <c r="Q15" s="1"/>
    </row>
    <row r="16" spans="1:17" ht="15" customHeight="1" x14ac:dyDescent="0.3">
      <c r="A16" s="17"/>
      <c r="B16" s="15" t="s">
        <v>9</v>
      </c>
      <c r="C16" s="6">
        <f>'Таблица 1.2'!C23+'Таблица 1.2'!C30+'Таблица 1.2'!C34</f>
        <v>8.1232860000000002</v>
      </c>
      <c r="D16" s="10">
        <f t="shared" si="1"/>
        <v>1.9488064312890128</v>
      </c>
      <c r="E16" s="11">
        <f>D16/$A$15</f>
        <v>0.97440321564450638</v>
      </c>
      <c r="F16" s="10">
        <f>C16*$A$15</f>
        <v>16.246572</v>
      </c>
      <c r="K16" s="3"/>
      <c r="Q16" s="1"/>
    </row>
    <row r="17" spans="1:17" ht="15" customHeight="1" x14ac:dyDescent="0.3">
      <c r="A17" s="18"/>
      <c r="B17" s="15" t="s">
        <v>10</v>
      </c>
      <c r="C17" s="6">
        <f>'Таблица 1.2'!C22+'Таблица 1.2'!C26+'Таблица 1.2'!C33</f>
        <v>15.830712</v>
      </c>
      <c r="D17" s="10">
        <f t="shared" si="1"/>
        <v>1</v>
      </c>
      <c r="E17" s="11">
        <f>D17/$A$15</f>
        <v>0.5</v>
      </c>
      <c r="F17" s="10">
        <f>C17*$A$15</f>
        <v>31.661424</v>
      </c>
      <c r="K17" s="3"/>
      <c r="Q17" s="1"/>
    </row>
    <row r="18" spans="1:17" ht="15" customHeight="1" x14ac:dyDescent="0.3">
      <c r="A18" s="16">
        <v>3</v>
      </c>
      <c r="B18" s="15" t="s">
        <v>8</v>
      </c>
      <c r="C18" s="6">
        <f>'Таблица 1.2'!C24+'Таблица 1.2'!C28+'Таблица 1.2'!C35</f>
        <v>5.7788960000000005</v>
      </c>
      <c r="D18" s="10">
        <f t="shared" si="1"/>
        <v>2.7394007436714554</v>
      </c>
      <c r="E18" s="11">
        <f>D18/$A$18</f>
        <v>0.91313358122381849</v>
      </c>
      <c r="F18" s="10">
        <f>C18*$A$18</f>
        <v>17.336688000000002</v>
      </c>
      <c r="K18" s="3"/>
      <c r="Q18" s="1"/>
    </row>
    <row r="19" spans="1:17" ht="15" customHeight="1" x14ac:dyDescent="0.3">
      <c r="A19" s="17"/>
      <c r="B19" s="15" t="s">
        <v>9</v>
      </c>
      <c r="C19" s="6">
        <f>'Таблица 1.2'!C24+'Таблица 1.2'!C31+'Таблица 1.2'!C35</f>
        <v>5.7833260000000006</v>
      </c>
      <c r="D19" s="10">
        <f t="shared" si="1"/>
        <v>2.7373023758301018</v>
      </c>
      <c r="E19" s="11">
        <f>D19/$A$18</f>
        <v>0.91243412527670065</v>
      </c>
      <c r="F19" s="10">
        <f>C19*$A$18</f>
        <v>17.349978</v>
      </c>
      <c r="K19" s="3"/>
      <c r="Q19" s="1"/>
    </row>
    <row r="20" spans="1:17" ht="15" customHeight="1" x14ac:dyDescent="0.3">
      <c r="A20" s="18"/>
      <c r="B20" s="15" t="s">
        <v>10</v>
      </c>
      <c r="C20" s="6">
        <f>'Таблица 1.2'!C22+'Таблица 1.2'!C26+'Таблица 1.2'!C33</f>
        <v>15.830712</v>
      </c>
      <c r="D20" s="10">
        <f t="shared" si="1"/>
        <v>1</v>
      </c>
      <c r="E20" s="11">
        <f>D20/$A$18</f>
        <v>0.33333333333333331</v>
      </c>
      <c r="F20" s="10">
        <f>C20*$A$18</f>
        <v>47.492136000000002</v>
      </c>
      <c r="Q20" s="1"/>
    </row>
    <row r="21" spans="1:17" ht="15" customHeight="1" x14ac:dyDescent="0.3">
      <c r="A21" s="16">
        <v>4</v>
      </c>
      <c r="B21" s="15" t="s">
        <v>8</v>
      </c>
      <c r="C21" s="6">
        <f>'Таблица 1.2'!C25+'Таблица 1.2'!C29+'Таблица 1.2'!C36</f>
        <v>4.6107060000000004</v>
      </c>
      <c r="D21" s="10">
        <f t="shared" si="1"/>
        <v>3.4334681066196802</v>
      </c>
      <c r="E21" s="11">
        <f>D21/$A$21</f>
        <v>0.85836702665492004</v>
      </c>
      <c r="F21" s="10">
        <f>C21*$A$21</f>
        <v>18.442824000000002</v>
      </c>
      <c r="Q21" s="1"/>
    </row>
    <row r="22" spans="1:17" ht="15" customHeight="1" x14ac:dyDescent="0.3">
      <c r="A22" s="17"/>
      <c r="B22" s="15" t="s">
        <v>9</v>
      </c>
      <c r="C22" s="6">
        <f>'Таблица 1.2'!C25+'Таблица 1.2'!C32+'Таблица 1.2'!C36</f>
        <v>4.6191930000000001</v>
      </c>
      <c r="D22" s="10">
        <f t="shared" si="1"/>
        <v>3.4271596791907157</v>
      </c>
      <c r="E22" s="11">
        <f>D22/$A$21</f>
        <v>0.85678991979767893</v>
      </c>
      <c r="F22" s="10">
        <f>C22*$A$21</f>
        <v>18.476772</v>
      </c>
      <c r="Q22" s="1"/>
    </row>
    <row r="23" spans="1:17" ht="15" customHeight="1" x14ac:dyDescent="0.3">
      <c r="A23" s="18"/>
      <c r="B23" s="15" t="s">
        <v>10</v>
      </c>
      <c r="C23" s="6">
        <f>'Таблица 1.2'!C22+'Таблица 1.2'!C26+'Таблица 1.2'!C33</f>
        <v>15.830712</v>
      </c>
      <c r="D23" s="10">
        <f t="shared" si="1"/>
        <v>1</v>
      </c>
      <c r="E23" s="11">
        <f>D23/$A$21</f>
        <v>0.25</v>
      </c>
      <c r="F23" s="10">
        <f>C23*$A$21</f>
        <v>63.322848</v>
      </c>
      <c r="Q23" s="1"/>
    </row>
    <row r="24" spans="1:17" ht="15" customHeight="1" x14ac:dyDescent="0.3">
      <c r="A24" s="19" t="s">
        <v>13</v>
      </c>
      <c r="B24" s="20"/>
      <c r="C24" s="20"/>
      <c r="D24" s="20"/>
      <c r="E24" s="20"/>
      <c r="F24" s="21"/>
      <c r="K24" s="3"/>
      <c r="Q24" s="1"/>
    </row>
    <row r="25" spans="1:17" ht="15" customHeight="1" x14ac:dyDescent="0.3">
      <c r="A25" s="10">
        <v>1</v>
      </c>
      <c r="B25" s="14" t="s">
        <v>7</v>
      </c>
      <c r="C25" s="6">
        <f>'Таблица 1.2'!C41+'Таблица 1.2'!C45+'Таблица 1.2'!C52</f>
        <v>22.169646999999998</v>
      </c>
      <c r="D25" s="16"/>
      <c r="E25" s="20"/>
      <c r="F25" s="21"/>
      <c r="K25" s="3"/>
      <c r="Q25" s="1"/>
    </row>
    <row r="26" spans="1:17" ht="15" customHeight="1" x14ac:dyDescent="0.3">
      <c r="A26" s="16">
        <v>2</v>
      </c>
      <c r="B26" s="15" t="s">
        <v>8</v>
      </c>
      <c r="C26" s="6">
        <f>'Таблица 1.2'!C42+'Таблица 1.2'!C46+'Таблица 1.2'!C53</f>
        <v>11.289600999999999</v>
      </c>
      <c r="D26" s="10">
        <f t="shared" ref="D26:D34" si="2">$C$25/C26</f>
        <v>1.9637228100443938</v>
      </c>
      <c r="E26" s="11">
        <f>D26/$A$26</f>
        <v>0.98186140502219688</v>
      </c>
      <c r="F26" s="10">
        <f>C26*$A$26</f>
        <v>22.579201999999999</v>
      </c>
      <c r="K26" s="3"/>
      <c r="Q26" s="1"/>
    </row>
    <row r="27" spans="1:17" ht="15" customHeight="1" x14ac:dyDescent="0.3">
      <c r="A27" s="17"/>
      <c r="B27" s="15" t="s">
        <v>11</v>
      </c>
      <c r="C27" s="6">
        <f>'Таблица 1.2'!C42+'Таблица 1.2'!C46+'Таблица 1.2'!C56</f>
        <v>11.298354999999999</v>
      </c>
      <c r="D27" s="10">
        <f t="shared" si="2"/>
        <v>1.9622013116068666</v>
      </c>
      <c r="E27" s="11">
        <f>D27/$A$26</f>
        <v>0.98110065580343331</v>
      </c>
      <c r="F27" s="10">
        <f>C27*$A$26</f>
        <v>22.596709999999998</v>
      </c>
      <c r="K27" s="3"/>
      <c r="Q27" s="1"/>
    </row>
    <row r="28" spans="1:17" ht="15" customHeight="1" x14ac:dyDescent="0.3">
      <c r="A28" s="18"/>
      <c r="B28" s="15" t="s">
        <v>10</v>
      </c>
      <c r="C28" s="6">
        <f>'Таблица 1.2'!C41+'Таблица 1.2'!C45+'Таблица 1.2'!C52</f>
        <v>22.169646999999998</v>
      </c>
      <c r="D28" s="10">
        <f t="shared" si="2"/>
        <v>1</v>
      </c>
      <c r="E28" s="11">
        <f>D28/$A$26</f>
        <v>0.5</v>
      </c>
      <c r="F28" s="10">
        <f>C28*$A$26</f>
        <v>44.339293999999995</v>
      </c>
      <c r="I28" s="3"/>
      <c r="Q28" s="1"/>
    </row>
    <row r="29" spans="1:17" ht="15" customHeight="1" x14ac:dyDescent="0.3">
      <c r="A29" s="16">
        <v>3</v>
      </c>
      <c r="B29" s="15" t="s">
        <v>8</v>
      </c>
      <c r="C29" s="6">
        <f>'Таблица 1.2'!C43+'Таблица 1.2'!C47+'Таблица 1.2'!C54</f>
        <v>7.8928650000000005</v>
      </c>
      <c r="D29" s="10">
        <f t="shared" si="2"/>
        <v>2.8088212581869825</v>
      </c>
      <c r="E29" s="11">
        <f>D29/$A$29</f>
        <v>0.93627375272899416</v>
      </c>
      <c r="F29" s="10">
        <f>C29*$A$29</f>
        <v>23.678595000000001</v>
      </c>
      <c r="I29" s="3"/>
      <c r="Q29" s="1"/>
    </row>
    <row r="30" spans="1:17" ht="15" customHeight="1" x14ac:dyDescent="0.3">
      <c r="A30" s="17"/>
      <c r="B30" s="15" t="s">
        <v>11</v>
      </c>
      <c r="C30" s="6">
        <f>'Таблица 1.2'!C43+'Таблица 1.2'!C47+'Таблица 1.2'!C57</f>
        <v>7.9099090000000007</v>
      </c>
      <c r="D30" s="10">
        <f t="shared" si="2"/>
        <v>2.8027689066966506</v>
      </c>
      <c r="E30" s="11">
        <f>D30/$A$29</f>
        <v>0.9342563022322169</v>
      </c>
      <c r="F30" s="10">
        <f>C30*$A$29</f>
        <v>23.729727000000004</v>
      </c>
      <c r="I30" s="3"/>
      <c r="Q30" s="1"/>
    </row>
    <row r="31" spans="1:17" ht="15" customHeight="1" x14ac:dyDescent="0.3">
      <c r="A31" s="18"/>
      <c r="B31" s="15" t="s">
        <v>10</v>
      </c>
      <c r="C31" s="6">
        <f>'Таблица 1.2'!C41+'Таблица 1.2'!C45+'Таблица 1.2'!C52</f>
        <v>22.169646999999998</v>
      </c>
      <c r="D31" s="10">
        <f t="shared" si="2"/>
        <v>1</v>
      </c>
      <c r="E31" s="11">
        <f>D31/$A$29</f>
        <v>0.33333333333333331</v>
      </c>
      <c r="F31" s="10">
        <f>C31*$A$29</f>
        <v>66.508940999999993</v>
      </c>
      <c r="I31" s="3"/>
      <c r="Q31" s="1"/>
    </row>
    <row r="32" spans="1:17" ht="15" customHeight="1" x14ac:dyDescent="0.3">
      <c r="A32" s="16">
        <v>4</v>
      </c>
      <c r="B32" s="15" t="s">
        <v>14</v>
      </c>
      <c r="C32" s="6">
        <f>'Таблица 1.2'!C44+'Таблица 1.2'!C48+'Таблица 1.2'!C55</f>
        <v>6.4443840000000003</v>
      </c>
      <c r="D32" s="10">
        <f t="shared" si="2"/>
        <v>3.4401499041646177</v>
      </c>
      <c r="E32" s="11">
        <f>D32/$A$32</f>
        <v>0.86003747604115444</v>
      </c>
      <c r="F32" s="10">
        <f>C32*$A$32</f>
        <v>25.777536000000001</v>
      </c>
      <c r="I32" s="3"/>
      <c r="Q32" s="1"/>
    </row>
    <row r="33" spans="1:17" ht="15" customHeight="1" x14ac:dyDescent="0.3">
      <c r="A33" s="17"/>
      <c r="B33" s="15" t="s">
        <v>15</v>
      </c>
      <c r="C33" s="6">
        <f>'Таблица 1.2'!C44+'Таблица 1.2'!C51+'Таблица 1.2'!C55</f>
        <v>6.4536050000000005</v>
      </c>
      <c r="D33" s="10">
        <f t="shared" si="2"/>
        <v>3.4352345704455103</v>
      </c>
      <c r="E33" s="11">
        <f>D33/$A$32</f>
        <v>0.85880864261137757</v>
      </c>
      <c r="F33" s="10">
        <f>C33*$A$32</f>
        <v>25.814420000000002</v>
      </c>
      <c r="I33" s="3"/>
      <c r="Q33" s="1"/>
    </row>
    <row r="34" spans="1:17" ht="15" customHeight="1" x14ac:dyDescent="0.3">
      <c r="A34" s="18"/>
      <c r="B34" s="15" t="s">
        <v>10</v>
      </c>
      <c r="C34" s="6">
        <f>'Таблица 1.2'!C41+'Таблица 1.2'!C45+'Таблица 1.2'!C52</f>
        <v>22.169646999999998</v>
      </c>
      <c r="D34" s="10">
        <f t="shared" si="2"/>
        <v>1</v>
      </c>
      <c r="E34" s="11">
        <f>D34/$A$32</f>
        <v>0.25</v>
      </c>
      <c r="F34" s="10">
        <f>C34*$A$32</f>
        <v>88.678587999999991</v>
      </c>
      <c r="I34" s="3"/>
      <c r="Q34" s="1"/>
    </row>
    <row r="35" spans="1:17" ht="15" customHeight="1" x14ac:dyDescent="0.3">
      <c r="A35" s="19" t="s">
        <v>16</v>
      </c>
      <c r="B35" s="20"/>
      <c r="C35" s="20"/>
      <c r="D35" s="20"/>
      <c r="E35" s="20"/>
      <c r="F35" s="21"/>
      <c r="I35" s="3"/>
      <c r="Q35" s="1"/>
    </row>
    <row r="36" spans="1:17" ht="15" customHeight="1" x14ac:dyDescent="0.3">
      <c r="A36" s="10">
        <v>1</v>
      </c>
      <c r="B36" s="14" t="s">
        <v>7</v>
      </c>
      <c r="C36" s="6">
        <f>'Таблица 1.2'!C60+'Таблица 1.2'!C64+'Таблица 1.2'!C71</f>
        <v>28.272818000000001</v>
      </c>
      <c r="D36" s="16"/>
      <c r="E36" s="20"/>
      <c r="F36" s="21"/>
      <c r="I36" s="3"/>
      <c r="Q36" s="1"/>
    </row>
    <row r="37" spans="1:17" ht="15" customHeight="1" x14ac:dyDescent="0.3">
      <c r="A37" s="16">
        <v>2</v>
      </c>
      <c r="B37" s="15" t="s">
        <v>8</v>
      </c>
      <c r="C37" s="6">
        <f>'Таблица 1.2'!C61+'Таблица 1.2'!C65+'Таблица 1.2'!C72</f>
        <v>14.535807</v>
      </c>
      <c r="D37" s="10">
        <f t="shared" ref="D37:D45" si="3">$C$36/C37</f>
        <v>1.9450463259453019</v>
      </c>
      <c r="E37" s="11">
        <f>D37/$A$37</f>
        <v>0.97252316297265096</v>
      </c>
      <c r="F37" s="10">
        <f>C37*$A$37</f>
        <v>29.071614</v>
      </c>
      <c r="I37" s="3"/>
      <c r="Q37" s="1"/>
    </row>
    <row r="38" spans="1:17" ht="15" customHeight="1" x14ac:dyDescent="0.3">
      <c r="A38" s="17"/>
      <c r="B38" s="15" t="s">
        <v>11</v>
      </c>
      <c r="C38" s="6">
        <f>'Таблица 1.2'!C61+'Таблица 1.2'!C65+'Таблица 1.2'!C75</f>
        <v>14.545289</v>
      </c>
      <c r="D38" s="10">
        <f t="shared" si="3"/>
        <v>1.9437783601274612</v>
      </c>
      <c r="E38" s="11">
        <f>D38/$A$37</f>
        <v>0.9718891800637306</v>
      </c>
      <c r="F38" s="10">
        <f>C38*$A$37</f>
        <v>29.090578000000001</v>
      </c>
      <c r="K38" s="3"/>
      <c r="Q38" s="1"/>
    </row>
    <row r="39" spans="1:17" ht="15" customHeight="1" x14ac:dyDescent="0.3">
      <c r="A39" s="18"/>
      <c r="B39" s="15" t="s">
        <v>10</v>
      </c>
      <c r="C39" s="6">
        <f>'Таблица 1.2'!C60+'Таблица 1.2'!C64+'Таблица 1.2'!C71</f>
        <v>28.272818000000001</v>
      </c>
      <c r="D39" s="10">
        <f t="shared" si="3"/>
        <v>1</v>
      </c>
      <c r="E39" s="11">
        <f>D39/$A$37</f>
        <v>0.5</v>
      </c>
      <c r="F39" s="10">
        <f>C39*$A$37</f>
        <v>56.545636000000002</v>
      </c>
      <c r="K39" s="3"/>
      <c r="Q39" s="1"/>
    </row>
    <row r="40" spans="1:17" ht="15" customHeight="1" x14ac:dyDescent="0.3">
      <c r="A40" s="16">
        <v>3</v>
      </c>
      <c r="B40" s="15" t="s">
        <v>14</v>
      </c>
      <c r="C40" s="6">
        <f>'Таблица 1.2'!C62+'Таблица 1.2'!C66+'Таблица 1.2'!C73</f>
        <v>10.007522</v>
      </c>
      <c r="D40" s="10">
        <f t="shared" si="3"/>
        <v>2.8251567171173844</v>
      </c>
      <c r="E40" s="11">
        <f>D40/$A$40</f>
        <v>0.94171890570579475</v>
      </c>
      <c r="F40" s="10">
        <f>C40*$A$40</f>
        <v>30.022565999999998</v>
      </c>
      <c r="K40" s="3"/>
      <c r="Q40" s="1"/>
    </row>
    <row r="41" spans="1:17" ht="15" customHeight="1" x14ac:dyDescent="0.3">
      <c r="A41" s="17"/>
      <c r="B41" s="15" t="s">
        <v>15</v>
      </c>
      <c r="C41" s="6">
        <f>'Таблица 1.2'!C62+'Таблица 1.2'!C69+'Таблица 1.2'!C73</f>
        <v>10.030167</v>
      </c>
      <c r="D41" s="10">
        <f t="shared" si="3"/>
        <v>2.8187783912271849</v>
      </c>
      <c r="E41" s="11">
        <f>D41/$A$40</f>
        <v>0.93959279707572829</v>
      </c>
      <c r="F41" s="10">
        <f>C41*$A$40</f>
        <v>30.090501000000003</v>
      </c>
      <c r="K41" s="3"/>
      <c r="Q41" s="1"/>
    </row>
    <row r="42" spans="1:17" ht="15" customHeight="1" x14ac:dyDescent="0.3">
      <c r="A42" s="18"/>
      <c r="B42" s="15" t="s">
        <v>10</v>
      </c>
      <c r="C42" s="6">
        <f>'Таблица 1.2'!C60+'Таблица 1.2'!C64+'Таблица 1.2'!C71</f>
        <v>28.272818000000001</v>
      </c>
      <c r="D42" s="10">
        <f t="shared" si="3"/>
        <v>1</v>
      </c>
      <c r="E42" s="11">
        <f>D42/$A$40</f>
        <v>0.33333333333333331</v>
      </c>
      <c r="F42" s="10">
        <f>C42*$A$40</f>
        <v>84.818454000000003</v>
      </c>
      <c r="K42" s="3"/>
      <c r="Q42" s="1"/>
    </row>
    <row r="43" spans="1:17" ht="15" customHeight="1" x14ac:dyDescent="0.3">
      <c r="A43" s="16">
        <v>4</v>
      </c>
      <c r="B43" s="15" t="s">
        <v>8</v>
      </c>
      <c r="C43" s="6">
        <f>'Таблица 1.2'!C63+'Таблица 1.2'!C67+'Таблица 1.2'!C74</f>
        <v>8.0332260000000009</v>
      </c>
      <c r="D43" s="10">
        <f t="shared" si="3"/>
        <v>3.5194849491350046</v>
      </c>
      <c r="E43" s="11">
        <f>D43/$A$43</f>
        <v>0.87987123728375116</v>
      </c>
      <c r="F43" s="10">
        <f>C43*$A$43</f>
        <v>32.132904000000003</v>
      </c>
      <c r="K43" s="3"/>
      <c r="Q43" s="1"/>
    </row>
    <row r="44" spans="1:17" ht="15" customHeight="1" x14ac:dyDescent="0.3">
      <c r="A44" s="17"/>
      <c r="B44" s="15" t="s">
        <v>9</v>
      </c>
      <c r="C44" s="6">
        <f>'Таблица 1.2'!C63+'Таблица 1.2'!C70+'Таблица 1.2'!C74</f>
        <v>8.0435669999999995</v>
      </c>
      <c r="D44" s="10">
        <f t="shared" si="3"/>
        <v>3.5149602160335087</v>
      </c>
      <c r="E44" s="11">
        <f>D44/$A$43</f>
        <v>0.87874005400837718</v>
      </c>
      <c r="F44" s="10">
        <f>C44*$A$43</f>
        <v>32.174267999999998</v>
      </c>
      <c r="K44" s="3"/>
      <c r="Q44" s="1"/>
    </row>
    <row r="45" spans="1:17" ht="15" customHeight="1" x14ac:dyDescent="0.3">
      <c r="A45" s="18"/>
      <c r="B45" s="15" t="s">
        <v>10</v>
      </c>
      <c r="C45" s="6">
        <f>'Таблица 1.2'!C60+'Таблица 1.2'!C64+'Таблица 1.2'!C71</f>
        <v>28.272818000000001</v>
      </c>
      <c r="D45" s="10">
        <f t="shared" si="3"/>
        <v>1</v>
      </c>
      <c r="E45" s="11">
        <f>D45/$A$43</f>
        <v>0.25</v>
      </c>
      <c r="F45" s="10">
        <f>C45*$A$43</f>
        <v>113.091272</v>
      </c>
      <c r="K45" s="3"/>
      <c r="Q45" s="1"/>
    </row>
    <row r="46" spans="1:17" ht="15" customHeight="1" x14ac:dyDescent="0.3">
      <c r="B46" s="1"/>
      <c r="C46" s="1"/>
      <c r="D46" s="1"/>
      <c r="E46" s="1"/>
      <c r="F46" s="1"/>
      <c r="K46" s="3"/>
      <c r="Q46" s="1"/>
    </row>
    <row r="47" spans="1:17" ht="15" customHeight="1" x14ac:dyDescent="0.3">
      <c r="B47" s="1"/>
      <c r="C47" s="1"/>
      <c r="D47" s="1"/>
      <c r="E47" s="1"/>
      <c r="F47" s="1"/>
      <c r="K47" s="3"/>
      <c r="Q47" s="1"/>
    </row>
    <row r="48" spans="1:17" ht="15" customHeight="1" x14ac:dyDescent="0.3">
      <c r="B48" s="1"/>
      <c r="C48" s="1"/>
      <c r="D48" s="1"/>
      <c r="E48" s="1"/>
      <c r="F48" s="1"/>
      <c r="K48" s="3"/>
      <c r="Q48" s="1"/>
    </row>
    <row r="49" spans="11:11" s="1" customFormat="1" ht="15" customHeight="1" x14ac:dyDescent="0.3">
      <c r="K49" s="3"/>
    </row>
    <row r="50" spans="11:11" s="1" customFormat="1" ht="15" customHeight="1" x14ac:dyDescent="0.3">
      <c r="K50" s="3"/>
    </row>
    <row r="51" spans="11:11" s="1" customFormat="1" ht="15" customHeight="1" x14ac:dyDescent="0.3">
      <c r="K51" s="3"/>
    </row>
    <row r="52" spans="11:11" s="1" customFormat="1" ht="15" customHeight="1" x14ac:dyDescent="0.3">
      <c r="K52" s="3"/>
    </row>
    <row r="53" spans="11:11" s="1" customFormat="1" ht="15" customHeight="1" x14ac:dyDescent="0.3">
      <c r="K53" s="3"/>
    </row>
    <row r="54" spans="11:11" s="1" customFormat="1" ht="15" customHeight="1" x14ac:dyDescent="0.3">
      <c r="K54" s="3"/>
    </row>
    <row r="55" spans="11:11" s="1" customFormat="1" ht="15" customHeight="1" x14ac:dyDescent="0.3">
      <c r="K55" s="3"/>
    </row>
    <row r="56" spans="11:11" s="1" customFormat="1" ht="15" customHeight="1" x14ac:dyDescent="0.3">
      <c r="K56" s="3"/>
    </row>
    <row r="57" spans="11:11" s="1" customFormat="1" ht="15" customHeight="1" x14ac:dyDescent="0.3">
      <c r="K57" s="3"/>
    </row>
    <row r="58" spans="11:11" s="1" customFormat="1" ht="15" customHeight="1" x14ac:dyDescent="0.3">
      <c r="K58" s="3"/>
    </row>
    <row r="59" spans="11:11" s="1" customFormat="1" ht="15" customHeight="1" x14ac:dyDescent="0.3">
      <c r="K59" s="3"/>
    </row>
    <row r="60" spans="11:11" s="1" customFormat="1" ht="15" customHeight="1" x14ac:dyDescent="0.3">
      <c r="K60" s="3"/>
    </row>
    <row r="61" spans="11:11" s="1" customFormat="1" ht="15" customHeight="1" x14ac:dyDescent="0.3">
      <c r="K61" s="3"/>
    </row>
    <row r="62" spans="11:11" s="1" customFormat="1" ht="15" customHeight="1" x14ac:dyDescent="0.3">
      <c r="K62" s="3"/>
    </row>
    <row r="63" spans="11:11" s="1" customFormat="1" ht="15" customHeight="1" x14ac:dyDescent="0.3">
      <c r="K63" s="3"/>
    </row>
    <row r="64" spans="11:11" s="1" customFormat="1" ht="15" customHeight="1" x14ac:dyDescent="0.3">
      <c r="K64" s="3"/>
    </row>
    <row r="65" spans="11:11" s="1" customFormat="1" ht="15" customHeight="1" x14ac:dyDescent="0.3">
      <c r="K65" s="3"/>
    </row>
    <row r="66" spans="11:11" s="1" customFormat="1" ht="15" customHeight="1" x14ac:dyDescent="0.3">
      <c r="K66" s="3"/>
    </row>
    <row r="67" spans="11:11" s="1" customFormat="1" ht="15" customHeight="1" x14ac:dyDescent="0.3">
      <c r="K67" s="3"/>
    </row>
    <row r="68" spans="11:11" s="1" customFormat="1" ht="15" customHeight="1" x14ac:dyDescent="0.3">
      <c r="K68" s="3"/>
    </row>
    <row r="69" spans="11:11" s="1" customFormat="1" ht="15" customHeight="1" x14ac:dyDescent="0.3">
      <c r="K69" s="3"/>
    </row>
    <row r="70" spans="11:11" s="1" customFormat="1" ht="15" customHeight="1" x14ac:dyDescent="0.3">
      <c r="K70" s="3"/>
    </row>
    <row r="71" spans="11:11" s="1" customFormat="1" ht="15" customHeight="1" x14ac:dyDescent="0.3">
      <c r="K71" s="3"/>
    </row>
    <row r="72" spans="11:11" s="1" customFormat="1" ht="15" customHeight="1" x14ac:dyDescent="0.3">
      <c r="K72" s="3"/>
    </row>
    <row r="73" spans="11:11" s="1" customFormat="1" ht="15" customHeight="1" x14ac:dyDescent="0.3">
      <c r="K73" s="3"/>
    </row>
    <row r="74" spans="11:11" s="1" customFormat="1" ht="15" customHeight="1" x14ac:dyDescent="0.3">
      <c r="K74" s="3"/>
    </row>
    <row r="75" spans="11:11" s="1" customFormat="1" ht="15" customHeight="1" x14ac:dyDescent="0.3">
      <c r="K75" s="3"/>
    </row>
    <row r="76" spans="11:11" s="1" customFormat="1" ht="15" customHeight="1" x14ac:dyDescent="0.3">
      <c r="K76" s="3"/>
    </row>
    <row r="77" spans="11:11" s="1" customFormat="1" ht="15" customHeight="1" x14ac:dyDescent="0.3">
      <c r="K77" s="3"/>
    </row>
    <row r="78" spans="11:11" s="1" customFormat="1" x14ac:dyDescent="0.3">
      <c r="K78" s="3"/>
    </row>
    <row r="79" spans="11:11" s="1" customFormat="1" x14ac:dyDescent="0.3">
      <c r="K79" s="3"/>
    </row>
    <row r="80" spans="11:11" s="1" customFormat="1" x14ac:dyDescent="0.3">
      <c r="K80" s="3"/>
    </row>
  </sheetData>
  <mergeCells count="20">
    <mergeCell ref="A43:A45"/>
    <mergeCell ref="A10:A12"/>
    <mergeCell ref="A15:A17"/>
    <mergeCell ref="D3:F3"/>
    <mergeCell ref="A35:F35"/>
    <mergeCell ref="D25:F25"/>
    <mergeCell ref="A40:A42"/>
    <mergeCell ref="D14:F14"/>
    <mergeCell ref="A13:F13"/>
    <mergeCell ref="A24:F24"/>
    <mergeCell ref="A7:A9"/>
    <mergeCell ref="D36:F36"/>
    <mergeCell ref="A37:A39"/>
    <mergeCell ref="A18:A20"/>
    <mergeCell ref="A21:A23"/>
    <mergeCell ref="A26:A28"/>
    <mergeCell ref="A29:A31"/>
    <mergeCell ref="A32:A34"/>
    <mergeCell ref="A2:F2"/>
    <mergeCell ref="A4:A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Таблица 1.2</vt:lpstr>
      <vt:lpstr>Таблица 1.3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 G</cp:lastModifiedBy>
  <cp:revision>0</cp:revision>
  <dcterms:created xsi:type="dcterms:W3CDTF">2026-09-18T02:02:09Z</dcterms:created>
  <dcterms:modified xsi:type="dcterms:W3CDTF">2026-09-22T12:23:42Z</dcterms:modified>
  <dc:language>en-US</dc:language>
</cp:coreProperties>
</file>