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322F7A-7407-42EA-99CC-D03F1F147214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Таблица 2.1" sheetId="1" r:id="rId1"/>
    <sheet name="Таблица 2.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5" i="2" l="1"/>
  <c r="E85" i="2" s="1"/>
  <c r="D84" i="2"/>
  <c r="E84" i="2" s="1"/>
  <c r="E83" i="2"/>
  <c r="D83" i="2"/>
  <c r="D81" i="2"/>
  <c r="E81" i="2" s="1"/>
  <c r="D80" i="2"/>
  <c r="E80" i="2" s="1"/>
  <c r="D79" i="2"/>
  <c r="E79" i="2" s="1"/>
  <c r="D78" i="2"/>
  <c r="E78" i="2" s="1"/>
  <c r="D77" i="2"/>
  <c r="E77" i="2" s="1"/>
  <c r="E76" i="2"/>
  <c r="D76" i="2"/>
  <c r="D74" i="2"/>
  <c r="E74" i="2" s="1"/>
  <c r="D73" i="2"/>
  <c r="E73" i="2" s="1"/>
  <c r="D72" i="2"/>
  <c r="E72" i="2" s="1"/>
  <c r="D71" i="2"/>
  <c r="E71" i="2" s="1"/>
  <c r="D70" i="2"/>
  <c r="E70" i="2" s="1"/>
  <c r="E69" i="2"/>
  <c r="D69" i="2"/>
  <c r="D64" i="2"/>
  <c r="E64" i="2" s="1"/>
  <c r="D63" i="2"/>
  <c r="E63" i="2" s="1"/>
  <c r="D62" i="2"/>
  <c r="E62" i="2" s="1"/>
  <c r="D60" i="2"/>
  <c r="E60" i="2" s="1"/>
  <c r="D59" i="2"/>
  <c r="E59" i="2" s="1"/>
  <c r="E58" i="2"/>
  <c r="D58" i="2"/>
  <c r="D57" i="2"/>
  <c r="E57" i="2" s="1"/>
  <c r="D56" i="2"/>
  <c r="E56" i="2" s="1"/>
  <c r="D55" i="2"/>
  <c r="E55" i="2" s="1"/>
  <c r="D53" i="2"/>
  <c r="E53" i="2" s="1"/>
  <c r="D52" i="2"/>
  <c r="E52" i="2" s="1"/>
  <c r="E51" i="2"/>
  <c r="D51" i="2"/>
  <c r="D50" i="2"/>
  <c r="E50" i="2" s="1"/>
  <c r="D49" i="2"/>
  <c r="E49" i="2" s="1"/>
  <c r="D48" i="2"/>
  <c r="E48" i="2" s="1"/>
  <c r="D43" i="2"/>
  <c r="E43" i="2" s="1"/>
  <c r="D42" i="2"/>
  <c r="E42" i="2" s="1"/>
  <c r="E41" i="2"/>
  <c r="D41" i="2"/>
  <c r="D39" i="2"/>
  <c r="E39" i="2" s="1"/>
  <c r="D38" i="2"/>
  <c r="E38" i="2" s="1"/>
  <c r="D37" i="2"/>
  <c r="E37" i="2" s="1"/>
  <c r="D36" i="2"/>
  <c r="E36" i="2" s="1"/>
  <c r="D35" i="2"/>
  <c r="E35" i="2" s="1"/>
  <c r="E34" i="2"/>
  <c r="D34" i="2"/>
  <c r="D32" i="2"/>
  <c r="E32" i="2" s="1"/>
  <c r="D31" i="2"/>
  <c r="E31" i="2" s="1"/>
  <c r="D30" i="2"/>
  <c r="E30" i="2" s="1"/>
  <c r="D29" i="2"/>
  <c r="E29" i="2" s="1"/>
  <c r="D28" i="2"/>
  <c r="E28" i="2" s="1"/>
  <c r="E27" i="2"/>
  <c r="D27" i="2"/>
  <c r="D22" i="2"/>
  <c r="E22" i="2" s="1"/>
  <c r="D21" i="2"/>
  <c r="E21" i="2" s="1"/>
  <c r="D20" i="2"/>
  <c r="E20" i="2" s="1"/>
  <c r="D18" i="2"/>
  <c r="E18" i="2" s="1"/>
  <c r="D17" i="2"/>
  <c r="E17" i="2" s="1"/>
  <c r="E16" i="2"/>
  <c r="D16" i="2"/>
  <c r="D15" i="2"/>
  <c r="E15" i="2" s="1"/>
  <c r="D14" i="2"/>
  <c r="E14" i="2" s="1"/>
  <c r="D13" i="2"/>
  <c r="E13" i="2" s="1"/>
  <c r="D11" i="2"/>
  <c r="E11" i="2" s="1"/>
  <c r="D10" i="2"/>
  <c r="E10" i="2" s="1"/>
  <c r="E9" i="2"/>
  <c r="D9" i="2"/>
  <c r="D8" i="2"/>
  <c r="E8" i="2" s="1"/>
  <c r="D7" i="2"/>
  <c r="E7" i="2" s="1"/>
  <c r="D6" i="2"/>
  <c r="E6" i="2" s="1"/>
  <c r="M16" i="1"/>
  <c r="L16" i="1"/>
  <c r="J16" i="1"/>
  <c r="N16" i="1" s="1"/>
  <c r="I16" i="1"/>
  <c r="H16" i="1"/>
  <c r="G16" i="1"/>
  <c r="K16" i="1" s="1"/>
  <c r="N15" i="1"/>
  <c r="M15" i="1"/>
  <c r="J15" i="1"/>
  <c r="I15" i="1"/>
  <c r="H15" i="1"/>
  <c r="L15" i="1" s="1"/>
  <c r="G15" i="1"/>
  <c r="K15" i="1" s="1"/>
  <c r="L14" i="1"/>
  <c r="K14" i="1"/>
  <c r="J14" i="1"/>
  <c r="N14" i="1" s="1"/>
  <c r="I14" i="1"/>
  <c r="M14" i="1" s="1"/>
  <c r="H14" i="1"/>
  <c r="G14" i="1"/>
  <c r="M13" i="1"/>
  <c r="J13" i="1"/>
  <c r="N13" i="1" s="1"/>
  <c r="I13" i="1"/>
  <c r="H13" i="1"/>
  <c r="L13" i="1" s="1"/>
  <c r="G13" i="1"/>
  <c r="K13" i="1" s="1"/>
  <c r="N12" i="1"/>
  <c r="M12" i="1"/>
  <c r="J12" i="1"/>
  <c r="I12" i="1"/>
  <c r="H12" i="1"/>
  <c r="L12" i="1" s="1"/>
  <c r="G12" i="1"/>
  <c r="K12" i="1" s="1"/>
  <c r="L11" i="1"/>
  <c r="K11" i="1"/>
  <c r="J11" i="1"/>
  <c r="N11" i="1" s="1"/>
  <c r="I11" i="1"/>
  <c r="M11" i="1" s="1"/>
  <c r="H11" i="1"/>
  <c r="G11" i="1"/>
  <c r="M10" i="1"/>
  <c r="J10" i="1"/>
  <c r="N10" i="1" s="1"/>
  <c r="I10" i="1"/>
  <c r="H10" i="1"/>
  <c r="L10" i="1" s="1"/>
  <c r="G10" i="1"/>
  <c r="K10" i="1" s="1"/>
  <c r="N9" i="1"/>
  <c r="M9" i="1"/>
  <c r="J9" i="1"/>
  <c r="I9" i="1"/>
  <c r="H9" i="1"/>
  <c r="L9" i="1" s="1"/>
  <c r="G9" i="1"/>
  <c r="K9" i="1" s="1"/>
  <c r="L8" i="1"/>
  <c r="K8" i="1"/>
  <c r="J8" i="1"/>
  <c r="N8" i="1" s="1"/>
  <c r="I8" i="1"/>
  <c r="M8" i="1" s="1"/>
  <c r="H8" i="1"/>
  <c r="G8" i="1"/>
  <c r="M7" i="1"/>
  <c r="L7" i="1"/>
  <c r="J7" i="1"/>
  <c r="N7" i="1" s="1"/>
  <c r="I7" i="1"/>
  <c r="H7" i="1"/>
  <c r="G7" i="1"/>
  <c r="K7" i="1" s="1"/>
  <c r="N6" i="1"/>
  <c r="M6" i="1"/>
  <c r="J6" i="1"/>
  <c r="I6" i="1"/>
  <c r="H6" i="1"/>
  <c r="L6" i="1" s="1"/>
  <c r="G6" i="1"/>
  <c r="K6" i="1" s="1"/>
  <c r="L5" i="1"/>
  <c r="K5" i="1"/>
  <c r="J5" i="1"/>
  <c r="N5" i="1" s="1"/>
  <c r="I5" i="1"/>
  <c r="M5" i="1" s="1"/>
  <c r="H5" i="1"/>
  <c r="G5" i="1"/>
</calcChain>
</file>

<file path=xl/sharedStrings.xml><?xml version="1.0" encoding="utf-8"?>
<sst xmlns="http://schemas.openxmlformats.org/spreadsheetml/2006/main" count="125" uniqueCount="37">
  <si>
    <t>Таблица 2.1 — Время вычисления числа Pi (мс), Sp(n), Ep(n) [300 запусков]</t>
  </si>
  <si>
    <t>Функция (реализация)</t>
  </si>
  <si>
    <t>Потоков</t>
  </si>
  <si>
    <t>НД1 (200 000), мс</t>
  </si>
  <si>
    <t>НД2 (500 000), мс</t>
  </si>
  <si>
    <t>НД3 (1 000 000), мс</t>
  </si>
  <si>
    <t>НД4 (2 000 000), мс</t>
  </si>
  <si>
    <t>Sp НД1 (200 000)</t>
  </si>
  <si>
    <t>Sp НД2 (500 000)</t>
  </si>
  <si>
    <t>Sp НД3 (1 000 000)</t>
  </si>
  <si>
    <t>Sp НД4 (2 000 000)</t>
  </si>
  <si>
    <t>Ep НД1 (200 000)</t>
  </si>
  <si>
    <t>Ep НД2 (500 000)</t>
  </si>
  <si>
    <t>Ep НД3 (1 000 000)</t>
  </si>
  <si>
    <t>Ep НД4 (2 000 000)</t>
  </si>
  <si>
    <t>Последовательная реализация</t>
  </si>
  <si>
    <t>Параллельная реализация FOR (static)</t>
  </si>
  <si>
    <t>Параллельная реализация FOR (dynamic)</t>
  </si>
  <si>
    <t>Параллельная реализация FOR (guided)</t>
  </si>
  <si>
    <t>Параллельная реализация Section</t>
  </si>
  <si>
    <t>Таблица 2.2 — Результаты экспериментального исследования перемножения матриц</t>
  </si>
  <si>
    <t>НД1 (А = 1000×1000, В = 1000×1000) | Штрассен: 1008×1008</t>
  </si>
  <si>
    <t>Поток</t>
  </si>
  <si>
    <t>Время, мс</t>
  </si>
  <si>
    <t>Sp(n)</t>
  </si>
  <si>
    <t>Ep(n)</t>
  </si>
  <si>
    <t>Заполнение матриц (посл.)</t>
  </si>
  <si>
    <t>Заполнение (парал.) omp for</t>
  </si>
  <si>
    <t>Заполнение (парал.) omp sections</t>
  </si>
  <si>
    <t>Перемножение матриц (посл.)</t>
  </si>
  <si>
    <t>Перемножение Вариант 1 (omp for)</t>
  </si>
  <si>
    <t>Перемножение Вариант 2 (sections)</t>
  </si>
  <si>
    <t>Перемножение Штрассен (посл.)</t>
  </si>
  <si>
    <t>Перемножение Штрассен (парал.)</t>
  </si>
  <si>
    <t>НД2 (А = 1320×1800, В = 1800×1471) | Штрассен: 1824×1824</t>
  </si>
  <si>
    <t>НД3 (А = 2420×1971, В = 1971×2500) | Штрассен: 2560×2560</t>
  </si>
  <si>
    <t>НД4 (А = 2420×2500, В = 2500×2370) | Штрассен: 2560×2560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</si>
</sst>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charset val="1"/>
    </font>
    <font>
      <b/>
      <sz val="12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sz val="11"/>
      <color rgb="FF0000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9" sqref="A39"/>
    </sheetView>
  </sheetViews>
  <sheetFormatPr defaultColWidth="8.6640625" defaultRowHeight="14.4" x14ac:dyDescent="0.3"/>
  <cols>
    <col min="1" max="1" width="36" customWidth="1"/>
    <col min="2" max="2" width="9" customWidth="1"/>
    <col min="3" max="6" width="12" customWidth="1"/>
    <col min="7" max="14" width="9" customWidth="1"/>
  </cols>
  <sheetData>
    <row r="1" spans="1:14" ht="15.6" x14ac:dyDescent="0.3">
      <c r="A1" s="2" t="s">
        <v>0</v>
      </c>
    </row>
    <row r="3" spans="1:14" ht="41.4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x14ac:dyDescent="0.3">
      <c r="A4" s="4" t="s">
        <v>15</v>
      </c>
      <c r="B4" s="4">
        <v>1</v>
      </c>
      <c r="C4" s="5">
        <v>0.1943</v>
      </c>
      <c r="D4" s="5">
        <v>0.48659999999999998</v>
      </c>
      <c r="E4" s="5">
        <v>0.97189999999999999</v>
      </c>
      <c r="F4" s="5">
        <v>1.9965999999999999</v>
      </c>
      <c r="G4" s="4"/>
      <c r="H4" s="4"/>
      <c r="I4" s="4"/>
      <c r="J4" s="4"/>
      <c r="K4" s="4"/>
      <c r="L4" s="4"/>
      <c r="M4" s="4"/>
      <c r="N4" s="4"/>
    </row>
    <row r="5" spans="1:14" x14ac:dyDescent="0.3">
      <c r="A5" s="4" t="s">
        <v>16</v>
      </c>
      <c r="B5" s="4">
        <v>2</v>
      </c>
      <c r="C5" s="6">
        <v>0.12559999999999999</v>
      </c>
      <c r="D5" s="6">
        <v>0.2767</v>
      </c>
      <c r="E5" s="6">
        <v>0.53469999999999995</v>
      </c>
      <c r="F5" s="6">
        <v>1.0851999999999999</v>
      </c>
      <c r="G5" s="7">
        <f>C4/C5</f>
        <v>1.5469745222929938</v>
      </c>
      <c r="H5" s="7">
        <f>D4/D5</f>
        <v>1.7585833032164799</v>
      </c>
      <c r="I5" s="7">
        <f>E4/E5</f>
        <v>1.8176547596783243</v>
      </c>
      <c r="J5" s="7">
        <f>F4/F5</f>
        <v>1.83984518982676</v>
      </c>
      <c r="K5" s="7">
        <f t="shared" ref="K5:K16" si="0">G5/B5</f>
        <v>0.77348726114649691</v>
      </c>
      <c r="L5" s="7">
        <f t="shared" ref="L5:L16" si="1">H5/B5</f>
        <v>0.87929165160823997</v>
      </c>
      <c r="M5" s="7">
        <f t="shared" ref="M5:M16" si="2">I5/B5</f>
        <v>0.90882737983916217</v>
      </c>
      <c r="N5" s="7">
        <f t="shared" ref="N5:N16" si="3">J5/B5</f>
        <v>0.91992259491338002</v>
      </c>
    </row>
    <row r="6" spans="1:14" x14ac:dyDescent="0.3">
      <c r="A6" s="4" t="s">
        <v>16</v>
      </c>
      <c r="B6" s="4">
        <v>3</v>
      </c>
      <c r="C6" s="6">
        <v>9.5399999999999999E-2</v>
      </c>
      <c r="D6" s="6">
        <v>0.19020000000000001</v>
      </c>
      <c r="E6" s="6">
        <v>0.38779999999999998</v>
      </c>
      <c r="F6" s="6">
        <v>0.76529999999999998</v>
      </c>
      <c r="G6" s="7">
        <f>C4/C6</f>
        <v>2.0366876310272537</v>
      </c>
      <c r="H6" s="7">
        <f>D4/D6</f>
        <v>2.5583596214511037</v>
      </c>
      <c r="I6" s="7">
        <f>E4/E6</f>
        <v>2.5061887570912842</v>
      </c>
      <c r="J6" s="7">
        <f>F4/F6</f>
        <v>2.6089115379589702</v>
      </c>
      <c r="K6" s="7">
        <f t="shared" si="0"/>
        <v>0.6788958770090846</v>
      </c>
      <c r="L6" s="7">
        <f t="shared" si="1"/>
        <v>0.85278654048370128</v>
      </c>
      <c r="M6" s="7">
        <f t="shared" si="2"/>
        <v>0.83539625236376136</v>
      </c>
      <c r="N6" s="7">
        <f t="shared" si="3"/>
        <v>0.86963717931965678</v>
      </c>
    </row>
    <row r="7" spans="1:14" x14ac:dyDescent="0.3">
      <c r="A7" s="4" t="s">
        <v>16</v>
      </c>
      <c r="B7" s="4">
        <v>4</v>
      </c>
      <c r="C7" s="6">
        <v>7.9000000000000001E-2</v>
      </c>
      <c r="D7" s="6">
        <v>0.15490000000000001</v>
      </c>
      <c r="E7" s="6">
        <v>0.31130000000000002</v>
      </c>
      <c r="F7" s="6">
        <v>0.58279999999999998</v>
      </c>
      <c r="G7" s="7">
        <f>C4/C7</f>
        <v>2.4594936708860757</v>
      </c>
      <c r="H7" s="7">
        <f>D4/D7</f>
        <v>3.1413815364751447</v>
      </c>
      <c r="I7" s="7">
        <f>E4/E7</f>
        <v>3.1220687439768708</v>
      </c>
      <c r="J7" s="7">
        <f>F4/F7</f>
        <v>3.4258750857927249</v>
      </c>
      <c r="K7" s="7">
        <f t="shared" si="0"/>
        <v>0.61487341772151893</v>
      </c>
      <c r="L7" s="7">
        <f t="shared" si="1"/>
        <v>0.78534538411878618</v>
      </c>
      <c r="M7" s="7">
        <f t="shared" si="2"/>
        <v>0.78051718599421771</v>
      </c>
      <c r="N7" s="7">
        <f t="shared" si="3"/>
        <v>0.85646877144818123</v>
      </c>
    </row>
    <row r="8" spans="1:14" ht="27.6" x14ac:dyDescent="0.3">
      <c r="A8" s="4" t="s">
        <v>17</v>
      </c>
      <c r="B8" s="4">
        <v>2</v>
      </c>
      <c r="C8" s="6">
        <v>0.12720000000000001</v>
      </c>
      <c r="D8" s="6">
        <v>0.27150000000000002</v>
      </c>
      <c r="E8" s="6">
        <v>0.5242</v>
      </c>
      <c r="F8" s="6">
        <v>1.0444</v>
      </c>
      <c r="G8" s="7">
        <f>C4/C8</f>
        <v>1.5275157232704402</v>
      </c>
      <c r="H8" s="7">
        <f>D4/D8</f>
        <v>1.7922651933701654</v>
      </c>
      <c r="I8" s="7">
        <f>E4/E8</f>
        <v>1.8540633346051125</v>
      </c>
      <c r="J8" s="7">
        <f>F4/F8</f>
        <v>1.9117196476445806</v>
      </c>
      <c r="K8" s="7">
        <f t="shared" si="0"/>
        <v>0.76375786163522008</v>
      </c>
      <c r="L8" s="7">
        <f t="shared" si="1"/>
        <v>0.89613259668508272</v>
      </c>
      <c r="M8" s="7">
        <f t="shared" si="2"/>
        <v>0.92703166730255626</v>
      </c>
      <c r="N8" s="7">
        <f t="shared" si="3"/>
        <v>0.95585982382229029</v>
      </c>
    </row>
    <row r="9" spans="1:14" ht="27.6" x14ac:dyDescent="0.3">
      <c r="A9" s="4" t="s">
        <v>17</v>
      </c>
      <c r="B9" s="4">
        <v>3</v>
      </c>
      <c r="C9" s="6">
        <v>9.2499999999999999E-2</v>
      </c>
      <c r="D9" s="6">
        <v>0.18770000000000001</v>
      </c>
      <c r="E9" s="6">
        <v>0.35830000000000001</v>
      </c>
      <c r="F9" s="6">
        <v>0.69599999999999995</v>
      </c>
      <c r="G9" s="7">
        <f>C4/C9</f>
        <v>2.1005405405405404</v>
      </c>
      <c r="H9" s="7">
        <f>D4/D9</f>
        <v>2.5924347362812998</v>
      </c>
      <c r="I9" s="7">
        <f>E4/E9</f>
        <v>2.7125313982696064</v>
      </c>
      <c r="J9" s="7">
        <f>F4/F9</f>
        <v>2.8686781609195404</v>
      </c>
      <c r="K9" s="7">
        <f t="shared" si="0"/>
        <v>0.70018018018018013</v>
      </c>
      <c r="L9" s="7">
        <f t="shared" si="1"/>
        <v>0.86414491209376665</v>
      </c>
      <c r="M9" s="7">
        <f t="shared" si="2"/>
        <v>0.90417713275653544</v>
      </c>
      <c r="N9" s="7">
        <f t="shared" si="3"/>
        <v>0.95622605363984681</v>
      </c>
    </row>
    <row r="10" spans="1:14" ht="27.6" x14ac:dyDescent="0.3">
      <c r="A10" s="4" t="s">
        <v>17</v>
      </c>
      <c r="B10" s="4">
        <v>4</v>
      </c>
      <c r="C10" s="6">
        <v>7.6700000000000004E-2</v>
      </c>
      <c r="D10" s="6">
        <v>0.1474</v>
      </c>
      <c r="E10" s="6">
        <v>0.2702</v>
      </c>
      <c r="F10" s="6">
        <v>0.51910000000000001</v>
      </c>
      <c r="G10" s="7">
        <f>C4/C10</f>
        <v>2.5332464146023468</v>
      </c>
      <c r="H10" s="7">
        <f>D4/D10</f>
        <v>3.3012211668928084</v>
      </c>
      <c r="I10" s="7">
        <f>E4/E10</f>
        <v>3.5969652109548482</v>
      </c>
      <c r="J10" s="7">
        <f>F4/F10</f>
        <v>3.8462723945289925</v>
      </c>
      <c r="K10" s="7">
        <f t="shared" si="0"/>
        <v>0.6333116036505867</v>
      </c>
      <c r="L10" s="7">
        <f t="shared" si="1"/>
        <v>0.82530529172320211</v>
      </c>
      <c r="M10" s="7">
        <f t="shared" si="2"/>
        <v>0.89924130273871206</v>
      </c>
      <c r="N10" s="7">
        <f t="shared" si="3"/>
        <v>0.96156809863224812</v>
      </c>
    </row>
    <row r="11" spans="1:14" x14ac:dyDescent="0.3">
      <c r="A11" s="4" t="s">
        <v>18</v>
      </c>
      <c r="B11" s="4">
        <v>2</v>
      </c>
      <c r="C11" s="6">
        <v>0.1179</v>
      </c>
      <c r="D11" s="6">
        <v>0.26979999999999998</v>
      </c>
      <c r="E11" s="6">
        <v>0.50960000000000005</v>
      </c>
      <c r="F11" s="6">
        <v>1.0157</v>
      </c>
      <c r="G11" s="7">
        <f>C4/C11</f>
        <v>1.6480067854113656</v>
      </c>
      <c r="H11" s="7">
        <f>D4/D11</f>
        <v>1.8035581912527798</v>
      </c>
      <c r="I11" s="7">
        <f>E4/E11</f>
        <v>1.9071821036106749</v>
      </c>
      <c r="J11" s="7">
        <f>F4/F11</f>
        <v>1.9657379147386038</v>
      </c>
      <c r="K11" s="7">
        <f t="shared" si="0"/>
        <v>0.82400339270568279</v>
      </c>
      <c r="L11" s="7">
        <f t="shared" si="1"/>
        <v>0.90177909562638991</v>
      </c>
      <c r="M11" s="7">
        <f t="shared" si="2"/>
        <v>0.95359105180533743</v>
      </c>
      <c r="N11" s="7">
        <f t="shared" si="3"/>
        <v>0.98286895736930191</v>
      </c>
    </row>
    <row r="12" spans="1:14" x14ac:dyDescent="0.3">
      <c r="A12" s="4" t="s">
        <v>18</v>
      </c>
      <c r="B12" s="4">
        <v>3</v>
      </c>
      <c r="C12" s="6">
        <v>9.1399999999999995E-2</v>
      </c>
      <c r="D12" s="6">
        <v>0.18360000000000001</v>
      </c>
      <c r="E12" s="6">
        <v>0.34860000000000002</v>
      </c>
      <c r="F12" s="6">
        <v>0.68489999999999995</v>
      </c>
      <c r="G12" s="7">
        <f>C4/C12</f>
        <v>2.1258205689277903</v>
      </c>
      <c r="H12" s="7">
        <f>D4/D12</f>
        <v>2.6503267973856204</v>
      </c>
      <c r="I12" s="7">
        <f>E4/E12</f>
        <v>2.7880091795754445</v>
      </c>
      <c r="J12" s="7">
        <f>F4/F12</f>
        <v>2.9151700978244999</v>
      </c>
      <c r="K12" s="7">
        <f t="shared" si="0"/>
        <v>0.70860685630926346</v>
      </c>
      <c r="L12" s="7">
        <f t="shared" si="1"/>
        <v>0.88344226579520679</v>
      </c>
      <c r="M12" s="7">
        <f t="shared" si="2"/>
        <v>0.92933639319181482</v>
      </c>
      <c r="N12" s="7">
        <f t="shared" si="3"/>
        <v>0.97172336594149999</v>
      </c>
    </row>
    <row r="13" spans="1:14" x14ac:dyDescent="0.3">
      <c r="A13" s="4" t="s">
        <v>18</v>
      </c>
      <c r="B13" s="4">
        <v>4</v>
      </c>
      <c r="C13" s="6">
        <v>7.5899999999999995E-2</v>
      </c>
      <c r="D13" s="6">
        <v>0.14879999999999999</v>
      </c>
      <c r="E13" s="6">
        <v>0.26700000000000002</v>
      </c>
      <c r="F13" s="6">
        <v>0.51559999999999995</v>
      </c>
      <c r="G13" s="7">
        <f>C4/C13</f>
        <v>2.5599472990777339</v>
      </c>
      <c r="H13" s="7">
        <f>D4/D13</f>
        <v>3.270161290322581</v>
      </c>
      <c r="I13" s="7">
        <f>E4/E13</f>
        <v>3.6400749063670408</v>
      </c>
      <c r="J13" s="7">
        <f>F4/F13</f>
        <v>3.8723816912335147</v>
      </c>
      <c r="K13" s="7">
        <f t="shared" si="0"/>
        <v>0.63998682476943347</v>
      </c>
      <c r="L13" s="7">
        <f t="shared" si="1"/>
        <v>0.81754032258064524</v>
      </c>
      <c r="M13" s="7">
        <f t="shared" si="2"/>
        <v>0.9100187265917602</v>
      </c>
      <c r="N13" s="7">
        <f t="shared" si="3"/>
        <v>0.96809542280837868</v>
      </c>
    </row>
    <row r="14" spans="1:14" x14ac:dyDescent="0.3">
      <c r="A14" s="4" t="s">
        <v>19</v>
      </c>
      <c r="B14" s="4">
        <v>2</v>
      </c>
      <c r="C14" s="6">
        <v>0.11459999999999999</v>
      </c>
      <c r="D14" s="6">
        <v>0.26069999999999999</v>
      </c>
      <c r="E14" s="6">
        <v>0.50790000000000002</v>
      </c>
      <c r="F14" s="6">
        <v>0.999</v>
      </c>
      <c r="G14" s="7">
        <f>C4/C14</f>
        <v>1.6954624781849914</v>
      </c>
      <c r="H14" s="7">
        <f>D4/D14</f>
        <v>1.8665132336018413</v>
      </c>
      <c r="I14" s="7">
        <f>E4/E14</f>
        <v>1.9135656625319943</v>
      </c>
      <c r="J14" s="7">
        <f>F4/F14</f>
        <v>1.9985985985985986</v>
      </c>
      <c r="K14" s="7">
        <f t="shared" si="0"/>
        <v>0.8477312390924957</v>
      </c>
      <c r="L14" s="7">
        <f t="shared" si="1"/>
        <v>0.93325661680092065</v>
      </c>
      <c r="M14" s="7">
        <f t="shared" si="2"/>
        <v>0.95678283126599717</v>
      </c>
      <c r="N14" s="7">
        <f t="shared" si="3"/>
        <v>0.99929929929929928</v>
      </c>
    </row>
    <row r="15" spans="1:14" x14ac:dyDescent="0.3">
      <c r="A15" s="4" t="s">
        <v>19</v>
      </c>
      <c r="B15" s="4">
        <v>3</v>
      </c>
      <c r="C15" s="6">
        <v>9.2999999999999999E-2</v>
      </c>
      <c r="D15" s="6">
        <v>0.18360000000000001</v>
      </c>
      <c r="E15" s="6">
        <v>0.35310000000000002</v>
      </c>
      <c r="F15" s="6">
        <v>0.68089999999999995</v>
      </c>
      <c r="G15" s="7">
        <f>C4/C15</f>
        <v>2.0892473118279571</v>
      </c>
      <c r="H15" s="7">
        <f>D4/D15</f>
        <v>2.6503267973856204</v>
      </c>
      <c r="I15" s="7">
        <f>E4/E15</f>
        <v>2.7524780515434717</v>
      </c>
      <c r="J15" s="7">
        <f>F4/F15</f>
        <v>2.9322954912615655</v>
      </c>
      <c r="K15" s="7">
        <f t="shared" si="0"/>
        <v>0.69641577060931903</v>
      </c>
      <c r="L15" s="7">
        <f t="shared" si="1"/>
        <v>0.88344226579520679</v>
      </c>
      <c r="M15" s="7">
        <f t="shared" si="2"/>
        <v>0.9174926838478239</v>
      </c>
      <c r="N15" s="7">
        <f t="shared" si="3"/>
        <v>0.97743183042052184</v>
      </c>
    </row>
    <row r="16" spans="1:14" x14ac:dyDescent="0.3">
      <c r="A16" s="4" t="s">
        <v>19</v>
      </c>
      <c r="B16" s="4">
        <v>4</v>
      </c>
      <c r="C16" s="6">
        <v>7.9600000000000004E-2</v>
      </c>
      <c r="D16" s="6">
        <v>0.14649999999999999</v>
      </c>
      <c r="E16" s="6">
        <v>0.2681</v>
      </c>
      <c r="F16" s="6">
        <v>0.51470000000000005</v>
      </c>
      <c r="G16" s="7">
        <f>C4/C16</f>
        <v>2.4409547738693465</v>
      </c>
      <c r="H16" s="7">
        <f>D4/D16</f>
        <v>3.3215017064846415</v>
      </c>
      <c r="I16" s="7">
        <f>E4/E16</f>
        <v>3.6251398731816487</v>
      </c>
      <c r="J16" s="7">
        <f>F4/F16</f>
        <v>3.8791529046046236</v>
      </c>
      <c r="K16" s="7">
        <f t="shared" si="0"/>
        <v>0.61023869346733661</v>
      </c>
      <c r="L16" s="7">
        <f t="shared" si="1"/>
        <v>0.83037542662116037</v>
      </c>
      <c r="M16" s="7">
        <f t="shared" si="2"/>
        <v>0.90628496829541216</v>
      </c>
      <c r="N16" s="7">
        <f t="shared" si="3"/>
        <v>0.9697882261511559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9" customWidth="1"/>
    <col min="3" max="3" width="14" customWidth="1"/>
    <col min="4" max="5" width="10" customWidth="1"/>
  </cols>
  <sheetData>
    <row r="1" spans="1:5" ht="15.6" x14ac:dyDescent="0.3">
      <c r="A1" s="2" t="s">
        <v>20</v>
      </c>
    </row>
    <row r="3" spans="1:5" ht="15" customHeight="1" x14ac:dyDescent="0.3">
      <c r="A3" s="1" t="s">
        <v>21</v>
      </c>
      <c r="B3" s="1"/>
      <c r="C3" s="1"/>
      <c r="D3" s="1"/>
      <c r="E3" s="1"/>
    </row>
    <row r="4" spans="1:5" x14ac:dyDescent="0.3">
      <c r="A4" s="3" t="s">
        <v>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5" x14ac:dyDescent="0.3">
      <c r="A5" s="4" t="s">
        <v>26</v>
      </c>
      <c r="B5" s="4">
        <v>1</v>
      </c>
      <c r="C5" s="7">
        <v>14.2</v>
      </c>
      <c r="D5" s="4"/>
      <c r="E5" s="4"/>
    </row>
    <row r="6" spans="1:5" x14ac:dyDescent="0.3">
      <c r="A6" s="4" t="s">
        <v>27</v>
      </c>
      <c r="B6" s="4">
        <v>2</v>
      </c>
      <c r="C6" s="7">
        <v>7.4</v>
      </c>
      <c r="D6" s="7">
        <f>C5/C6</f>
        <v>1.9189189189189186</v>
      </c>
      <c r="E6" s="7">
        <f t="shared" ref="E6:E11" si="0">D6/B6</f>
        <v>0.95945945945945932</v>
      </c>
    </row>
    <row r="7" spans="1:5" x14ac:dyDescent="0.3">
      <c r="A7" s="4" t="s">
        <v>27</v>
      </c>
      <c r="B7" s="4">
        <v>3</v>
      </c>
      <c r="C7" s="7">
        <v>5.13</v>
      </c>
      <c r="D7" s="7">
        <f>C5/C7</f>
        <v>2.7680311890838207</v>
      </c>
      <c r="E7" s="7">
        <f t="shared" si="0"/>
        <v>0.92267706302794028</v>
      </c>
    </row>
    <row r="8" spans="1:5" x14ac:dyDescent="0.3">
      <c r="A8" s="4" t="s">
        <v>27</v>
      </c>
      <c r="B8" s="4">
        <v>4</v>
      </c>
      <c r="C8" s="7">
        <v>3.8</v>
      </c>
      <c r="D8" s="7">
        <f>C5/C8</f>
        <v>3.736842105263158</v>
      </c>
      <c r="E8" s="7">
        <f t="shared" si="0"/>
        <v>0.93421052631578949</v>
      </c>
    </row>
    <row r="9" spans="1:5" x14ac:dyDescent="0.3">
      <c r="A9" s="4" t="s">
        <v>28</v>
      </c>
      <c r="B9" s="4">
        <v>2</v>
      </c>
      <c r="C9" s="7">
        <v>8.43</v>
      </c>
      <c r="D9" s="7">
        <f>C5/C9</f>
        <v>1.6844602609727164</v>
      </c>
      <c r="E9" s="7">
        <f t="shared" si="0"/>
        <v>0.8422301304863582</v>
      </c>
    </row>
    <row r="10" spans="1:5" x14ac:dyDescent="0.3">
      <c r="A10" s="4" t="s">
        <v>28</v>
      </c>
      <c r="B10" s="4">
        <v>3</v>
      </c>
      <c r="C10" s="7">
        <v>5.6</v>
      </c>
      <c r="D10" s="7">
        <f>C5/C10</f>
        <v>2.5357142857142856</v>
      </c>
      <c r="E10" s="7">
        <f t="shared" si="0"/>
        <v>0.84523809523809523</v>
      </c>
    </row>
    <row r="11" spans="1:5" x14ac:dyDescent="0.3">
      <c r="A11" s="4" t="s">
        <v>28</v>
      </c>
      <c r="B11" s="4">
        <v>4</v>
      </c>
      <c r="C11" s="7">
        <v>4.25</v>
      </c>
      <c r="D11" s="7">
        <f>C5/C11</f>
        <v>3.341176470588235</v>
      </c>
      <c r="E11" s="7">
        <f t="shared" si="0"/>
        <v>0.83529411764705874</v>
      </c>
    </row>
    <row r="12" spans="1:5" x14ac:dyDescent="0.3">
      <c r="A12" s="4" t="s">
        <v>29</v>
      </c>
      <c r="B12" s="4">
        <v>1</v>
      </c>
      <c r="C12" s="7">
        <v>2638.55</v>
      </c>
      <c r="D12" s="4"/>
      <c r="E12" s="4"/>
    </row>
    <row r="13" spans="1:5" x14ac:dyDescent="0.3">
      <c r="A13" s="4" t="s">
        <v>30</v>
      </c>
      <c r="B13" s="4">
        <v>2</v>
      </c>
      <c r="C13" s="7">
        <v>1338.84</v>
      </c>
      <c r="D13" s="7">
        <f>C12/C13</f>
        <v>1.9707732066565089</v>
      </c>
      <c r="E13" s="7">
        <f t="shared" ref="E13:E18" si="1">D13/B13</f>
        <v>0.98538660332825445</v>
      </c>
    </row>
    <row r="14" spans="1:5" x14ac:dyDescent="0.3">
      <c r="A14" s="4" t="s">
        <v>30</v>
      </c>
      <c r="B14" s="4">
        <v>3</v>
      </c>
      <c r="C14" s="7">
        <v>889.59</v>
      </c>
      <c r="D14" s="7">
        <f>C12/C14</f>
        <v>2.9660292943940467</v>
      </c>
      <c r="E14" s="7">
        <f t="shared" si="1"/>
        <v>0.9886764314646822</v>
      </c>
    </row>
    <row r="15" spans="1:5" x14ac:dyDescent="0.3">
      <c r="A15" s="4" t="s">
        <v>30</v>
      </c>
      <c r="B15" s="4">
        <v>4</v>
      </c>
      <c r="C15" s="7">
        <v>678.25</v>
      </c>
      <c r="D15" s="7">
        <f>C12/C15</f>
        <v>3.8902322152598603</v>
      </c>
      <c r="E15" s="7">
        <f t="shared" si="1"/>
        <v>0.97255805381496507</v>
      </c>
    </row>
    <row r="16" spans="1:5" x14ac:dyDescent="0.3">
      <c r="A16" s="4" t="s">
        <v>31</v>
      </c>
      <c r="B16" s="4">
        <v>2</v>
      </c>
      <c r="C16" s="7">
        <v>1357.87</v>
      </c>
      <c r="D16" s="7">
        <f>C12/C16</f>
        <v>1.9431536155891216</v>
      </c>
      <c r="E16" s="7">
        <f t="shared" si="1"/>
        <v>0.97157680779456079</v>
      </c>
    </row>
    <row r="17" spans="1:5" x14ac:dyDescent="0.3">
      <c r="A17" s="4" t="s">
        <v>31</v>
      </c>
      <c r="B17" s="4">
        <v>3</v>
      </c>
      <c r="C17" s="7">
        <v>914.54</v>
      </c>
      <c r="D17" s="7">
        <f>C12/C17</f>
        <v>2.885111640824896</v>
      </c>
      <c r="E17" s="7">
        <f t="shared" si="1"/>
        <v>0.96170388027496534</v>
      </c>
    </row>
    <row r="18" spans="1:5" x14ac:dyDescent="0.3">
      <c r="A18" s="4" t="s">
        <v>31</v>
      </c>
      <c r="B18" s="4">
        <v>4</v>
      </c>
      <c r="C18" s="7">
        <v>701.92</v>
      </c>
      <c r="D18" s="7">
        <f>C12/C18</f>
        <v>3.7590466149988608</v>
      </c>
      <c r="E18" s="7">
        <f t="shared" si="1"/>
        <v>0.93976165374971521</v>
      </c>
    </row>
    <row r="19" spans="1:5" x14ac:dyDescent="0.3">
      <c r="A19" s="4" t="s">
        <v>32</v>
      </c>
      <c r="B19" s="4">
        <v>1</v>
      </c>
      <c r="C19" s="7">
        <v>1817.65</v>
      </c>
      <c r="D19" s="4"/>
      <c r="E19" s="4"/>
    </row>
    <row r="20" spans="1:5" x14ac:dyDescent="0.3">
      <c r="A20" s="4" t="s">
        <v>33</v>
      </c>
      <c r="B20" s="4">
        <v>2</v>
      </c>
      <c r="C20" s="7">
        <v>946.62</v>
      </c>
      <c r="D20" s="7">
        <f>C19/C20</f>
        <v>1.9201474720584819</v>
      </c>
      <c r="E20" s="7">
        <f>D20/B20</f>
        <v>0.96007373602924095</v>
      </c>
    </row>
    <row r="21" spans="1:5" x14ac:dyDescent="0.3">
      <c r="A21" s="4" t="s">
        <v>33</v>
      </c>
      <c r="B21" s="4">
        <v>3</v>
      </c>
      <c r="C21" s="7">
        <v>688.56</v>
      </c>
      <c r="D21" s="7">
        <f>C19/C21</f>
        <v>2.6397844777506685</v>
      </c>
      <c r="E21" s="7">
        <f>D21/B21</f>
        <v>0.87992815925022283</v>
      </c>
    </row>
    <row r="22" spans="1:5" x14ac:dyDescent="0.3">
      <c r="A22" s="4" t="s">
        <v>33</v>
      </c>
      <c r="B22" s="4">
        <v>4</v>
      </c>
      <c r="C22" s="7">
        <v>528.25</v>
      </c>
      <c r="D22" s="7">
        <f>C19/C22</f>
        <v>3.4408897302413632</v>
      </c>
      <c r="E22" s="7">
        <f>D22/B22</f>
        <v>0.86022243256034081</v>
      </c>
    </row>
    <row r="24" spans="1:5" ht="15" customHeight="1" x14ac:dyDescent="0.3">
      <c r="A24" s="1" t="s">
        <v>34</v>
      </c>
      <c r="B24" s="1"/>
      <c r="C24" s="1"/>
      <c r="D24" s="1"/>
      <c r="E24" s="1"/>
    </row>
    <row r="25" spans="1:5" x14ac:dyDescent="0.3">
      <c r="A25" s="3" t="s">
        <v>1</v>
      </c>
      <c r="B25" s="3" t="s">
        <v>22</v>
      </c>
      <c r="C25" s="3" t="s">
        <v>23</v>
      </c>
      <c r="D25" s="3" t="s">
        <v>24</v>
      </c>
      <c r="E25" s="3" t="s">
        <v>25</v>
      </c>
    </row>
    <row r="26" spans="1:5" x14ac:dyDescent="0.3">
      <c r="A26" s="4" t="s">
        <v>26</v>
      </c>
      <c r="B26" s="4">
        <v>1</v>
      </c>
      <c r="C26" s="7">
        <v>34.24</v>
      </c>
      <c r="D26" s="4"/>
      <c r="E26" s="4"/>
    </row>
    <row r="27" spans="1:5" x14ac:dyDescent="0.3">
      <c r="A27" s="4" t="s">
        <v>27</v>
      </c>
      <c r="B27" s="4">
        <v>2</v>
      </c>
      <c r="C27" s="7">
        <v>18.440000000000001</v>
      </c>
      <c r="D27" s="7">
        <f>C26/C27</f>
        <v>1.8568329718004337</v>
      </c>
      <c r="E27" s="7">
        <f t="shared" ref="E27:E32" si="2">D27/B27</f>
        <v>0.92841648590021686</v>
      </c>
    </row>
    <row r="28" spans="1:5" x14ac:dyDescent="0.3">
      <c r="A28" s="4" t="s">
        <v>27</v>
      </c>
      <c r="B28" s="4">
        <v>3</v>
      </c>
      <c r="C28" s="7">
        <v>11.94</v>
      </c>
      <c r="D28" s="7">
        <f>C26/C28</f>
        <v>2.8676716917922951</v>
      </c>
      <c r="E28" s="7">
        <f t="shared" si="2"/>
        <v>0.95589056393076499</v>
      </c>
    </row>
    <row r="29" spans="1:5" x14ac:dyDescent="0.3">
      <c r="A29" s="4" t="s">
        <v>27</v>
      </c>
      <c r="B29" s="4">
        <v>4</v>
      </c>
      <c r="C29" s="7">
        <v>9.43</v>
      </c>
      <c r="D29" s="7">
        <f>C26/C29</f>
        <v>3.6309650053022273</v>
      </c>
      <c r="E29" s="7">
        <f t="shared" si="2"/>
        <v>0.90774125132555683</v>
      </c>
    </row>
    <row r="30" spans="1:5" x14ac:dyDescent="0.3">
      <c r="A30" s="4" t="s">
        <v>28</v>
      </c>
      <c r="B30" s="4">
        <v>2</v>
      </c>
      <c r="C30" s="7">
        <v>19.79</v>
      </c>
      <c r="D30" s="7">
        <f>C26/C30</f>
        <v>1.7301667508842851</v>
      </c>
      <c r="E30" s="7">
        <f t="shared" si="2"/>
        <v>0.86508337544214253</v>
      </c>
    </row>
    <row r="31" spans="1:5" x14ac:dyDescent="0.3">
      <c r="A31" s="4" t="s">
        <v>28</v>
      </c>
      <c r="B31" s="4">
        <v>3</v>
      </c>
      <c r="C31" s="7">
        <v>19.72</v>
      </c>
      <c r="D31" s="7">
        <f>C26/C31</f>
        <v>1.7363083164300206</v>
      </c>
      <c r="E31" s="7">
        <f t="shared" si="2"/>
        <v>0.57876943881000686</v>
      </c>
    </row>
    <row r="32" spans="1:5" x14ac:dyDescent="0.3">
      <c r="A32" s="4" t="s">
        <v>28</v>
      </c>
      <c r="B32" s="4">
        <v>4</v>
      </c>
      <c r="C32" s="7">
        <v>15.24</v>
      </c>
      <c r="D32" s="7">
        <f>C26/C32</f>
        <v>2.2467191601049872</v>
      </c>
      <c r="E32" s="7">
        <f t="shared" si="2"/>
        <v>0.56167979002624679</v>
      </c>
    </row>
    <row r="33" spans="1:5" x14ac:dyDescent="0.3">
      <c r="A33" s="4" t="s">
        <v>29</v>
      </c>
      <c r="B33" s="4">
        <v>1</v>
      </c>
      <c r="C33" s="7">
        <v>9236.9</v>
      </c>
      <c r="D33" s="4"/>
      <c r="E33" s="4"/>
    </row>
    <row r="34" spans="1:5" x14ac:dyDescent="0.3">
      <c r="A34" s="4" t="s">
        <v>30</v>
      </c>
      <c r="B34" s="4">
        <v>2</v>
      </c>
      <c r="C34" s="7">
        <v>4763.5200000000004</v>
      </c>
      <c r="D34" s="7">
        <f>C33/C34</f>
        <v>1.9390912602445247</v>
      </c>
      <c r="E34" s="7">
        <f t="shared" ref="E34:E39" si="3">D34/B34</f>
        <v>0.96954563012226236</v>
      </c>
    </row>
    <row r="35" spans="1:5" x14ac:dyDescent="0.3">
      <c r="A35" s="4" t="s">
        <v>30</v>
      </c>
      <c r="B35" s="4">
        <v>3</v>
      </c>
      <c r="C35" s="7">
        <v>3087.53</v>
      </c>
      <c r="D35" s="7">
        <f>C33/C35</f>
        <v>2.9916794330743341</v>
      </c>
      <c r="E35" s="7">
        <f t="shared" si="3"/>
        <v>0.99722647769144468</v>
      </c>
    </row>
    <row r="36" spans="1:5" x14ac:dyDescent="0.3">
      <c r="A36" s="4" t="s">
        <v>30</v>
      </c>
      <c r="B36" s="4">
        <v>4</v>
      </c>
      <c r="C36" s="7">
        <v>2329.23</v>
      </c>
      <c r="D36" s="7">
        <f>C33/C36</f>
        <v>3.9656452990902573</v>
      </c>
      <c r="E36" s="7">
        <f t="shared" si="3"/>
        <v>0.99141132477256433</v>
      </c>
    </row>
    <row r="37" spans="1:5" x14ac:dyDescent="0.3">
      <c r="A37" s="4" t="s">
        <v>31</v>
      </c>
      <c r="B37" s="4">
        <v>2</v>
      </c>
      <c r="C37" s="7">
        <v>4743.3599999999997</v>
      </c>
      <c r="D37" s="7">
        <f>C33/C37</f>
        <v>1.9473326924374283</v>
      </c>
      <c r="E37" s="7">
        <f t="shared" si="3"/>
        <v>0.97366634621871417</v>
      </c>
    </row>
    <row r="38" spans="1:5" x14ac:dyDescent="0.3">
      <c r="A38" s="4" t="s">
        <v>31</v>
      </c>
      <c r="B38" s="4">
        <v>3</v>
      </c>
      <c r="C38" s="7">
        <v>3157.59</v>
      </c>
      <c r="D38" s="7">
        <f>C33/C38</f>
        <v>2.9253006248436306</v>
      </c>
      <c r="E38" s="7">
        <f t="shared" si="3"/>
        <v>0.97510020828121025</v>
      </c>
    </row>
    <row r="39" spans="1:5" x14ac:dyDescent="0.3">
      <c r="A39" s="4" t="s">
        <v>31</v>
      </c>
      <c r="B39" s="4">
        <v>4</v>
      </c>
      <c r="C39" s="7">
        <v>3530.57</v>
      </c>
      <c r="D39" s="7">
        <f>C33/C39</f>
        <v>2.6162630963272218</v>
      </c>
      <c r="E39" s="7">
        <f t="shared" si="3"/>
        <v>0.65406577408180544</v>
      </c>
    </row>
    <row r="40" spans="1:5" x14ac:dyDescent="0.3">
      <c r="A40" s="4" t="s">
        <v>32</v>
      </c>
      <c r="B40" s="4">
        <v>1</v>
      </c>
      <c r="C40" s="7">
        <v>9638.73</v>
      </c>
      <c r="D40" s="4"/>
      <c r="E40" s="4"/>
    </row>
    <row r="41" spans="1:5" x14ac:dyDescent="0.3">
      <c r="A41" s="4" t="s">
        <v>33</v>
      </c>
      <c r="B41" s="4">
        <v>2</v>
      </c>
      <c r="C41" s="7">
        <v>6102.29</v>
      </c>
      <c r="D41" s="7">
        <f>C40/C41</f>
        <v>1.5795267022707868</v>
      </c>
      <c r="E41" s="7">
        <f>D41/B41</f>
        <v>0.78976335113539342</v>
      </c>
    </row>
    <row r="42" spans="1:5" x14ac:dyDescent="0.3">
      <c r="A42" s="4" t="s">
        <v>33</v>
      </c>
      <c r="B42" s="4">
        <v>3</v>
      </c>
      <c r="C42" s="7">
        <v>3993.15</v>
      </c>
      <c r="D42" s="7">
        <f>C40/C42</f>
        <v>2.4138161601742985</v>
      </c>
      <c r="E42" s="7">
        <f>D42/B42</f>
        <v>0.80460538672476611</v>
      </c>
    </row>
    <row r="43" spans="1:5" x14ac:dyDescent="0.3">
      <c r="A43" s="4" t="s">
        <v>33</v>
      </c>
      <c r="B43" s="4">
        <v>4</v>
      </c>
      <c r="C43" s="7">
        <v>2994</v>
      </c>
      <c r="D43" s="7">
        <f>C40/C43</f>
        <v>3.2193486973947896</v>
      </c>
      <c r="E43" s="7">
        <f>D43/B43</f>
        <v>0.80483717434869739</v>
      </c>
    </row>
    <row r="45" spans="1:5" ht="15" customHeight="1" x14ac:dyDescent="0.3">
      <c r="A45" s="1" t="s">
        <v>35</v>
      </c>
      <c r="B45" s="1"/>
      <c r="C45" s="1"/>
      <c r="D45" s="1"/>
      <c r="E45" s="1"/>
    </row>
    <row r="46" spans="1:5" x14ac:dyDescent="0.3">
      <c r="A46" s="3" t="s">
        <v>1</v>
      </c>
      <c r="B46" s="3" t="s">
        <v>22</v>
      </c>
      <c r="C46" s="3" t="s">
        <v>23</v>
      </c>
      <c r="D46" s="3" t="s">
        <v>24</v>
      </c>
      <c r="E46" s="3" t="s">
        <v>25</v>
      </c>
    </row>
    <row r="47" spans="1:5" x14ac:dyDescent="0.3">
      <c r="A47" s="4" t="s">
        <v>26</v>
      </c>
      <c r="B47" s="4">
        <v>1</v>
      </c>
      <c r="C47" s="7">
        <v>73.34</v>
      </c>
      <c r="D47" s="4"/>
      <c r="E47" s="4"/>
    </row>
    <row r="48" spans="1:5" x14ac:dyDescent="0.3">
      <c r="A48" s="4" t="s">
        <v>27</v>
      </c>
      <c r="B48" s="4">
        <v>2</v>
      </c>
      <c r="C48" s="7">
        <v>48.42</v>
      </c>
      <c r="D48" s="7">
        <f>C47/C48</f>
        <v>1.5146633622470054</v>
      </c>
      <c r="E48" s="7">
        <f t="shared" ref="E48:E53" si="4">D48/B48</f>
        <v>0.75733168112350269</v>
      </c>
    </row>
    <row r="49" spans="1:5" x14ac:dyDescent="0.3">
      <c r="A49" s="4" t="s">
        <v>27</v>
      </c>
      <c r="B49" s="4">
        <v>3</v>
      </c>
      <c r="C49" s="7">
        <v>36.68</v>
      </c>
      <c r="D49" s="7">
        <f>C47/C49</f>
        <v>1.9994547437295529</v>
      </c>
      <c r="E49" s="7">
        <f t="shared" si="4"/>
        <v>0.6664849145765176</v>
      </c>
    </row>
    <row r="50" spans="1:5" x14ac:dyDescent="0.3">
      <c r="A50" s="4" t="s">
        <v>27</v>
      </c>
      <c r="B50" s="4">
        <v>4</v>
      </c>
      <c r="C50" s="7">
        <v>28.84</v>
      </c>
      <c r="D50" s="7">
        <f>C47/C50</f>
        <v>2.5429958391123439</v>
      </c>
      <c r="E50" s="7">
        <f t="shared" si="4"/>
        <v>0.63574895977808599</v>
      </c>
    </row>
    <row r="51" spans="1:5" x14ac:dyDescent="0.3">
      <c r="A51" s="4" t="s">
        <v>28</v>
      </c>
      <c r="B51" s="4">
        <v>2</v>
      </c>
      <c r="C51" s="7">
        <v>56.81</v>
      </c>
      <c r="D51" s="7">
        <f>C47/C51</f>
        <v>1.2909698996655519</v>
      </c>
      <c r="E51" s="7">
        <f t="shared" si="4"/>
        <v>0.64548494983277593</v>
      </c>
    </row>
    <row r="52" spans="1:5" x14ac:dyDescent="0.3">
      <c r="A52" s="4" t="s">
        <v>28</v>
      </c>
      <c r="B52" s="4">
        <v>3</v>
      </c>
      <c r="C52" s="7">
        <v>40.909999999999997</v>
      </c>
      <c r="D52" s="7">
        <f>C47/C52</f>
        <v>1.7927157174285018</v>
      </c>
      <c r="E52" s="7">
        <f t="shared" si="4"/>
        <v>0.59757190580950059</v>
      </c>
    </row>
    <row r="53" spans="1:5" x14ac:dyDescent="0.3">
      <c r="A53" s="4" t="s">
        <v>28</v>
      </c>
      <c r="B53" s="4">
        <v>4</v>
      </c>
      <c r="C53" s="7">
        <v>32.15</v>
      </c>
      <c r="D53" s="7">
        <f>C47/C53</f>
        <v>2.2811819595645413</v>
      </c>
      <c r="E53" s="7">
        <f t="shared" si="4"/>
        <v>0.57029548989113532</v>
      </c>
    </row>
    <row r="54" spans="1:5" x14ac:dyDescent="0.3">
      <c r="A54" s="4" t="s">
        <v>29</v>
      </c>
      <c r="B54" s="4">
        <v>1</v>
      </c>
      <c r="C54" s="7">
        <v>32288.33</v>
      </c>
      <c r="D54" s="4"/>
      <c r="E54" s="4"/>
    </row>
    <row r="55" spans="1:5" x14ac:dyDescent="0.3">
      <c r="A55" s="4" t="s">
        <v>30</v>
      </c>
      <c r="B55" s="4">
        <v>2</v>
      </c>
      <c r="C55" s="7">
        <v>16978.23</v>
      </c>
      <c r="D55" s="7">
        <f>C54/C55</f>
        <v>1.9017488866625085</v>
      </c>
      <c r="E55" s="7">
        <f t="shared" ref="E55:E60" si="5">D55/B55</f>
        <v>0.95087444333125426</v>
      </c>
    </row>
    <row r="56" spans="1:5" x14ac:dyDescent="0.3">
      <c r="A56" s="4" t="s">
        <v>30</v>
      </c>
      <c r="B56" s="4">
        <v>3</v>
      </c>
      <c r="C56" s="7">
        <v>11393.09</v>
      </c>
      <c r="D56" s="7">
        <f>C54/C56</f>
        <v>2.834027467526369</v>
      </c>
      <c r="E56" s="7">
        <f t="shared" si="5"/>
        <v>0.94467582250878968</v>
      </c>
    </row>
    <row r="57" spans="1:5" x14ac:dyDescent="0.3">
      <c r="A57" s="4" t="s">
        <v>30</v>
      </c>
      <c r="B57" s="4">
        <v>4</v>
      </c>
      <c r="C57" s="7">
        <v>8610.15</v>
      </c>
      <c r="D57" s="7">
        <f>C54/C57</f>
        <v>3.7500310679837172</v>
      </c>
      <c r="E57" s="7">
        <f t="shared" si="5"/>
        <v>0.9375077669959293</v>
      </c>
    </row>
    <row r="58" spans="1:5" x14ac:dyDescent="0.3">
      <c r="A58" s="4" t="s">
        <v>31</v>
      </c>
      <c r="B58" s="4">
        <v>2</v>
      </c>
      <c r="C58" s="7">
        <v>20781.73</v>
      </c>
      <c r="D58" s="7">
        <f>C54/C58</f>
        <v>1.5536882636816089</v>
      </c>
      <c r="E58" s="7">
        <f t="shared" si="5"/>
        <v>0.77684413184080447</v>
      </c>
    </row>
    <row r="59" spans="1:5" x14ac:dyDescent="0.3">
      <c r="A59" s="4" t="s">
        <v>31</v>
      </c>
      <c r="B59" s="4">
        <v>3</v>
      </c>
      <c r="C59" s="7">
        <v>13814.92</v>
      </c>
      <c r="D59" s="7">
        <f>C54/C59</f>
        <v>2.3372071644280243</v>
      </c>
      <c r="E59" s="7">
        <f t="shared" si="5"/>
        <v>0.77906905480934141</v>
      </c>
    </row>
    <row r="60" spans="1:5" x14ac:dyDescent="0.3">
      <c r="A60" s="4" t="s">
        <v>31</v>
      </c>
      <c r="B60" s="4">
        <v>4</v>
      </c>
      <c r="C60" s="7">
        <v>10901.27</v>
      </c>
      <c r="D60" s="7">
        <f>C54/C60</f>
        <v>2.9618870094952241</v>
      </c>
      <c r="E60" s="7">
        <f t="shared" si="5"/>
        <v>0.74047175237380602</v>
      </c>
    </row>
    <row r="61" spans="1:5" x14ac:dyDescent="0.3">
      <c r="A61" s="4" t="s">
        <v>32</v>
      </c>
      <c r="B61" s="4">
        <v>1</v>
      </c>
      <c r="C61" s="7">
        <v>24296.46</v>
      </c>
      <c r="D61" s="4"/>
      <c r="E61" s="4"/>
    </row>
    <row r="62" spans="1:5" x14ac:dyDescent="0.3">
      <c r="A62" s="4" t="s">
        <v>33</v>
      </c>
      <c r="B62" s="4">
        <v>2</v>
      </c>
      <c r="C62" s="7">
        <v>12704.34</v>
      </c>
      <c r="D62" s="7">
        <f>C61/C62</f>
        <v>1.9124535394991002</v>
      </c>
      <c r="E62" s="7">
        <f>D62/B62</f>
        <v>0.95622676974955012</v>
      </c>
    </row>
    <row r="63" spans="1:5" x14ac:dyDescent="0.3">
      <c r="A63" s="4" t="s">
        <v>33</v>
      </c>
      <c r="B63" s="4">
        <v>3</v>
      </c>
      <c r="C63" s="7">
        <v>9147.15</v>
      </c>
      <c r="D63" s="7">
        <f>C61/C63</f>
        <v>2.6561781538511995</v>
      </c>
      <c r="E63" s="7">
        <f>D63/B63</f>
        <v>0.88539271795039987</v>
      </c>
    </row>
    <row r="64" spans="1:5" x14ac:dyDescent="0.3">
      <c r="A64" s="4" t="s">
        <v>33</v>
      </c>
      <c r="B64" s="4">
        <v>4</v>
      </c>
      <c r="C64" s="7">
        <v>6765.93</v>
      </c>
      <c r="D64" s="7">
        <f>C61/C64</f>
        <v>3.5910007936824648</v>
      </c>
      <c r="E64" s="7">
        <f>D64/B64</f>
        <v>0.89775019842061621</v>
      </c>
    </row>
    <row r="66" spans="1:5" ht="15" customHeight="1" x14ac:dyDescent="0.3">
      <c r="A66" s="1" t="s">
        <v>36</v>
      </c>
      <c r="B66" s="1"/>
      <c r="C66" s="1"/>
      <c r="D66" s="1"/>
      <c r="E66" s="1"/>
    </row>
    <row r="67" spans="1:5" x14ac:dyDescent="0.3">
      <c r="A67" s="3" t="s">
        <v>1</v>
      </c>
      <c r="B67" s="3" t="s">
        <v>22</v>
      </c>
      <c r="C67" s="3" t="s">
        <v>23</v>
      </c>
      <c r="D67" s="3" t="s">
        <v>24</v>
      </c>
      <c r="E67" s="3" t="s">
        <v>25</v>
      </c>
    </row>
    <row r="68" spans="1:5" x14ac:dyDescent="0.3">
      <c r="A68" s="4" t="s">
        <v>26</v>
      </c>
      <c r="B68" s="4">
        <v>1</v>
      </c>
      <c r="C68" s="7">
        <v>86.11</v>
      </c>
      <c r="D68" s="4"/>
      <c r="E68" s="4"/>
    </row>
    <row r="69" spans="1:5" x14ac:dyDescent="0.3">
      <c r="A69" s="4" t="s">
        <v>27</v>
      </c>
      <c r="B69" s="4">
        <v>2</v>
      </c>
      <c r="C69" s="7">
        <v>44.18</v>
      </c>
      <c r="D69" s="7">
        <f>C68/C69</f>
        <v>1.9490719782707107</v>
      </c>
      <c r="E69" s="7">
        <f t="shared" ref="E69:E74" si="6">D69/B69</f>
        <v>0.97453598913535533</v>
      </c>
    </row>
    <row r="70" spans="1:5" x14ac:dyDescent="0.3">
      <c r="A70" s="4" t="s">
        <v>27</v>
      </c>
      <c r="B70" s="4">
        <v>3</v>
      </c>
      <c r="C70" s="7">
        <v>66.680000000000007</v>
      </c>
      <c r="D70" s="7">
        <f>C68/C70</f>
        <v>1.2913917216556687</v>
      </c>
      <c r="E70" s="7">
        <f t="shared" si="6"/>
        <v>0.43046390721855626</v>
      </c>
    </row>
    <row r="71" spans="1:5" x14ac:dyDescent="0.3">
      <c r="A71" s="4" t="s">
        <v>27</v>
      </c>
      <c r="B71" s="4">
        <v>4</v>
      </c>
      <c r="C71" s="7">
        <v>50.52</v>
      </c>
      <c r="D71" s="7">
        <f>C68/C71</f>
        <v>1.7044734758511479</v>
      </c>
      <c r="E71" s="7">
        <f t="shared" si="6"/>
        <v>0.42611836896278699</v>
      </c>
    </row>
    <row r="72" spans="1:5" x14ac:dyDescent="0.3">
      <c r="A72" s="4" t="s">
        <v>28</v>
      </c>
      <c r="B72" s="4">
        <v>2</v>
      </c>
      <c r="C72" s="7">
        <v>49.72</v>
      </c>
      <c r="D72" s="7">
        <f>C68/C72</f>
        <v>1.7318986323411103</v>
      </c>
      <c r="E72" s="7">
        <f t="shared" si="6"/>
        <v>0.86594931617055515</v>
      </c>
    </row>
    <row r="73" spans="1:5" x14ac:dyDescent="0.3">
      <c r="A73" s="4" t="s">
        <v>28</v>
      </c>
      <c r="B73" s="4">
        <v>3</v>
      </c>
      <c r="C73" s="7">
        <v>33.33</v>
      </c>
      <c r="D73" s="7">
        <f>C68/C73</f>
        <v>2.5835583558355837</v>
      </c>
      <c r="E73" s="7">
        <f t="shared" si="6"/>
        <v>0.86118611861186123</v>
      </c>
    </row>
    <row r="74" spans="1:5" x14ac:dyDescent="0.3">
      <c r="A74" s="4" t="s">
        <v>28</v>
      </c>
      <c r="B74" s="4">
        <v>4</v>
      </c>
      <c r="C74" s="7">
        <v>24.88</v>
      </c>
      <c r="D74" s="7">
        <f>C68/C74</f>
        <v>3.4610128617363345</v>
      </c>
      <c r="E74" s="7">
        <f t="shared" si="6"/>
        <v>0.86525321543408362</v>
      </c>
    </row>
    <row r="75" spans="1:5" x14ac:dyDescent="0.3">
      <c r="A75" s="4" t="s">
        <v>29</v>
      </c>
      <c r="B75" s="4">
        <v>1</v>
      </c>
      <c r="C75" s="7">
        <v>37936.92</v>
      </c>
      <c r="D75" s="4"/>
      <c r="E75" s="4"/>
    </row>
    <row r="76" spans="1:5" x14ac:dyDescent="0.3">
      <c r="A76" s="4" t="s">
        <v>30</v>
      </c>
      <c r="B76" s="4">
        <v>2</v>
      </c>
      <c r="C76" s="7">
        <v>19338.169999999998</v>
      </c>
      <c r="D76" s="7">
        <f>C75/C76</f>
        <v>1.9617637035976001</v>
      </c>
      <c r="E76" s="7">
        <f t="shared" ref="E76:E81" si="7">D76/B76</f>
        <v>0.98088185179880005</v>
      </c>
    </row>
    <row r="77" spans="1:5" x14ac:dyDescent="0.3">
      <c r="A77" s="4" t="s">
        <v>30</v>
      </c>
      <c r="B77" s="4">
        <v>3</v>
      </c>
      <c r="C77" s="7">
        <v>12776.58</v>
      </c>
      <c r="D77" s="7">
        <f>C75/C77</f>
        <v>2.9692546831781272</v>
      </c>
      <c r="E77" s="7">
        <f t="shared" si="7"/>
        <v>0.98975156105937578</v>
      </c>
    </row>
    <row r="78" spans="1:5" x14ac:dyDescent="0.3">
      <c r="A78" s="4" t="s">
        <v>30</v>
      </c>
      <c r="B78" s="4">
        <v>4</v>
      </c>
      <c r="C78" s="7">
        <v>9525.8799999999992</v>
      </c>
      <c r="D78" s="7">
        <f>C75/C78</f>
        <v>3.9825108021516122</v>
      </c>
      <c r="E78" s="7">
        <f t="shared" si="7"/>
        <v>0.99562770053790306</v>
      </c>
    </row>
    <row r="79" spans="1:5" x14ac:dyDescent="0.3">
      <c r="A79" s="4" t="s">
        <v>31</v>
      </c>
      <c r="B79" s="4">
        <v>2</v>
      </c>
      <c r="C79" s="7">
        <v>19339.79</v>
      </c>
      <c r="D79" s="7">
        <f>C75/C79</f>
        <v>1.9615993762083248</v>
      </c>
      <c r="E79" s="7">
        <f t="shared" si="7"/>
        <v>0.9807996881041624</v>
      </c>
    </row>
    <row r="80" spans="1:5" x14ac:dyDescent="0.3">
      <c r="A80" s="4" t="s">
        <v>31</v>
      </c>
      <c r="B80" s="4">
        <v>3</v>
      </c>
      <c r="C80" s="7">
        <v>12811.55</v>
      </c>
      <c r="D80" s="7">
        <f>C75/C80</f>
        <v>2.9611498998950165</v>
      </c>
      <c r="E80" s="7">
        <f t="shared" si="7"/>
        <v>0.98704996663167222</v>
      </c>
    </row>
    <row r="81" spans="1:5" x14ac:dyDescent="0.3">
      <c r="A81" s="4" t="s">
        <v>31</v>
      </c>
      <c r="B81" s="4">
        <v>4</v>
      </c>
      <c r="C81" s="7">
        <v>9655.76</v>
      </c>
      <c r="D81" s="7">
        <f>C75/C81</f>
        <v>3.9289418958217683</v>
      </c>
      <c r="E81" s="7">
        <f t="shared" si="7"/>
        <v>0.98223547395544208</v>
      </c>
    </row>
    <row r="82" spans="1:5" x14ac:dyDescent="0.3">
      <c r="A82" s="4" t="s">
        <v>32</v>
      </c>
      <c r="B82" s="4">
        <v>1</v>
      </c>
      <c r="C82" s="7">
        <v>24577.56</v>
      </c>
      <c r="D82" s="4"/>
      <c r="E82" s="4"/>
    </row>
    <row r="83" spans="1:5" x14ac:dyDescent="0.3">
      <c r="A83" s="4" t="s">
        <v>33</v>
      </c>
      <c r="B83" s="4">
        <v>2</v>
      </c>
      <c r="C83" s="7">
        <v>14733.03</v>
      </c>
      <c r="D83" s="7">
        <f>C82/C83</f>
        <v>1.6681945261768965</v>
      </c>
      <c r="E83" s="7">
        <f>D83/B83</f>
        <v>0.83409726308844823</v>
      </c>
    </row>
    <row r="84" spans="1:5" x14ac:dyDescent="0.3">
      <c r="A84" s="4" t="s">
        <v>33</v>
      </c>
      <c r="B84" s="4">
        <v>3</v>
      </c>
      <c r="C84" s="7">
        <v>10282.200000000001</v>
      </c>
      <c r="D84" s="7">
        <f>C82/C84</f>
        <v>2.390301686409523</v>
      </c>
      <c r="E84" s="7">
        <f>D84/B84</f>
        <v>0.7967672288031743</v>
      </c>
    </row>
    <row r="85" spans="1:5" x14ac:dyDescent="0.3">
      <c r="A85" s="4" t="s">
        <v>33</v>
      </c>
      <c r="B85" s="4">
        <v>4</v>
      </c>
      <c r="C85" s="7">
        <v>8264.56</v>
      </c>
      <c r="D85" s="7">
        <f>C82/C85</f>
        <v>2.9738497875264991</v>
      </c>
      <c r="E85" s="7">
        <f>D85/B85</f>
        <v>0.74346244688162477</v>
      </c>
    </row>
  </sheetData>
  <mergeCells count="4">
    <mergeCell ref="A3:E3"/>
    <mergeCell ref="A24:E24"/>
    <mergeCell ref="A45:E45"/>
    <mergeCell ref="A66:E6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Таблица 2.1</vt:lpstr>
      <vt:lpstr>Таблица 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2026-10-17T11:07:12Z</dcterms:created>
  <dcterms:modified xsi:type="dcterms:W3CDTF">2026-10-17T14:27:51Z</dcterms:modified>
  <dc:language>en-US</dc:language>
</cp:coreProperties>
</file>