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09.04.25 - Лаба №5\Дима\"/>
    </mc:Choice>
  </mc:AlternateContent>
  <xr:revisionPtr revIDLastSave="0" documentId="13_ncr:1_{A592C5CB-F511-46B6-9E6B-31A67B9A93EB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Ведомость зарплаты" sheetId="1" r:id="rId1"/>
    <sheet name="Цены" sheetId="2" r:id="rId2"/>
    <sheet name="Повременная зарплата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F15" i="4" s="1"/>
  <c r="F12" i="4"/>
  <c r="F13" i="4"/>
  <c r="F14" i="4"/>
  <c r="F10" i="4"/>
  <c r="E11" i="4"/>
  <c r="E12" i="4"/>
  <c r="E13" i="4"/>
  <c r="E14" i="4"/>
  <c r="D11" i="4"/>
  <c r="D12" i="4"/>
  <c r="D13" i="4"/>
  <c r="D14" i="4"/>
  <c r="D10" i="4"/>
  <c r="C15" i="4"/>
  <c r="B15" i="4"/>
  <c r="E14" i="3"/>
  <c r="F14" i="3"/>
  <c r="D14" i="3"/>
  <c r="F10" i="3"/>
  <c r="F11" i="3"/>
  <c r="F12" i="3"/>
  <c r="F13" i="3"/>
  <c r="F9" i="3"/>
  <c r="E13" i="3"/>
  <c r="E10" i="3"/>
  <c r="E11" i="3"/>
  <c r="E12" i="3"/>
  <c r="E9" i="3"/>
  <c r="D10" i="3"/>
  <c r="D11" i="3"/>
  <c r="D12" i="3"/>
  <c r="D13" i="3"/>
  <c r="D9" i="3"/>
  <c r="D13" i="2"/>
  <c r="F13" i="2" s="1"/>
  <c r="D12" i="2"/>
  <c r="F12" i="2" s="1"/>
  <c r="D11" i="2"/>
  <c r="F11" i="2" s="1"/>
  <c r="D10" i="2"/>
  <c r="F10" i="2" s="1"/>
  <c r="D9" i="2"/>
  <c r="F9" i="2" s="1"/>
  <c r="D7" i="2"/>
  <c r="D8" i="2"/>
  <c r="D6" i="2"/>
  <c r="F6" i="2" s="1"/>
  <c r="F5" i="2"/>
  <c r="F7" i="2"/>
  <c r="F8" i="2"/>
  <c r="F4" i="2"/>
  <c r="D5" i="2"/>
  <c r="D4" i="2"/>
  <c r="F1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E10" i="4" l="1"/>
  <c r="E15" i="4" s="1"/>
  <c r="D15" i="4"/>
</calcChain>
</file>

<file path=xl/sharedStrings.xml><?xml version="1.0" encoding="utf-8"?>
<sst xmlns="http://schemas.openxmlformats.org/spreadsheetml/2006/main" count="111" uniqueCount="75">
  <si>
    <t>ВЕДОМОСТЬ ЗАРАБОТНОЙ ПЛАТЫ</t>
  </si>
  <si>
    <t>№</t>
  </si>
  <si>
    <t>Стаж</t>
  </si>
  <si>
    <t>Тарифная ставка</t>
  </si>
  <si>
    <t>Надбавка за стаж</t>
  </si>
  <si>
    <t>Всего</t>
  </si>
  <si>
    <t>Фамилия И. О.</t>
  </si>
  <si>
    <t>Антонов Р.И.</t>
  </si>
  <si>
    <t>Борисов И.П.</t>
  </si>
  <si>
    <t>Вольская О.А.</t>
  </si>
  <si>
    <t>Иванов В.А.</t>
  </si>
  <si>
    <t>Комаров Н.И.</t>
  </si>
  <si>
    <t>Крючков Н.Р.</t>
  </si>
  <si>
    <t>Новиков Л.Д.</t>
  </si>
  <si>
    <t>Огарев Н.И.</t>
  </si>
  <si>
    <t>Петров К.О.</t>
  </si>
  <si>
    <t>Реутова Е.Г.</t>
  </si>
  <si>
    <t>Сидоров И.Н.</t>
  </si>
  <si>
    <t>Степаненко В.Д.</t>
  </si>
  <si>
    <t>Тимофеев Н.Н.</t>
  </si>
  <si>
    <t>Уткина Е.В.</t>
  </si>
  <si>
    <t>Федоров А.Н.</t>
  </si>
  <si>
    <t>Стаж (количество лет)</t>
  </si>
  <si>
    <t>ПРОДАЖА БЫТОВОЙ ТЕХНИКИ</t>
  </si>
  <si>
    <t>Наименование товара</t>
  </si>
  <si>
    <t>Фирма-производитель</t>
  </si>
  <si>
    <t>Цена (в евро)</t>
  </si>
  <si>
    <t>Дата реализации</t>
  </si>
  <si>
    <t>Цена (в руб.)</t>
  </si>
  <si>
    <t>СВЧ</t>
  </si>
  <si>
    <t>Эл. Миксер</t>
  </si>
  <si>
    <t>Эл. Чайник</t>
  </si>
  <si>
    <t>Кофеварка</t>
  </si>
  <si>
    <t>Утюг</t>
  </si>
  <si>
    <t>LG</t>
  </si>
  <si>
    <t>Samsung</t>
  </si>
  <si>
    <t>Tefal</t>
  </si>
  <si>
    <t>Bosch</t>
  </si>
  <si>
    <t>Philips</t>
  </si>
  <si>
    <t>1 февраля</t>
  </si>
  <si>
    <t>4 февраля</t>
  </si>
  <si>
    <t>7 февраля</t>
  </si>
  <si>
    <t>29 января</t>
  </si>
  <si>
    <t>25 января</t>
  </si>
  <si>
    <t>11 февраля</t>
  </si>
  <si>
    <t>15 февраля</t>
  </si>
  <si>
    <t>18 февраля</t>
  </si>
  <si>
    <t>31 января</t>
  </si>
  <si>
    <t>12 февраля</t>
  </si>
  <si>
    <t>Наименование</t>
  </si>
  <si>
    <t>Дата</t>
  </si>
  <si>
    <t>Курс евро</t>
  </si>
  <si>
    <t xml:space="preserve">Тарифная сетка </t>
  </si>
  <si>
    <t>Разряд</t>
  </si>
  <si>
    <t>Тариф</t>
  </si>
  <si>
    <t>Премия</t>
  </si>
  <si>
    <t>ПОВРЕМЕННАЯ ЗАРАБОТНАЯ ПЛАТА</t>
  </si>
  <si>
    <t>Работник</t>
  </si>
  <si>
    <t>Ковалев И.Р.</t>
  </si>
  <si>
    <t>Федоров Г.Д.</t>
  </si>
  <si>
    <t>Отработано дней</t>
  </si>
  <si>
    <t>Зарплата</t>
  </si>
  <si>
    <t>Начислено</t>
  </si>
  <si>
    <t>Всего:</t>
  </si>
  <si>
    <t>ВЫЧИСЛЕНИЕ НАЛОГА</t>
  </si>
  <si>
    <t>Сумма</t>
  </si>
  <si>
    <t>Налог</t>
  </si>
  <si>
    <t>Вычет</t>
  </si>
  <si>
    <t>РАСЧЕТ НАЛОГОВ</t>
  </si>
  <si>
    <t>Кол-во детей</t>
  </si>
  <si>
    <t>Доход</t>
  </si>
  <si>
    <t>Сумма обложения</t>
  </si>
  <si>
    <t>Сумма на руки</t>
  </si>
  <si>
    <t>ФИО работника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</si>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</sst>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[$€-2]\ * #,##0.00_-;\-[$€-2]\ * #,##0.00_-;_-[$€-2]\ * &quot;-&quot;??_-;_-@_-"/>
    <numFmt numFmtId="165" formatCode="_-* #,##0.00\ [$₽-419]_-;\-* #,##0.00\ [$₽-419]_-;_-* &quot;-&quot;??\ [$₽-419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 vertical="center" wrapText="1"/>
    </xf>
    <xf numFmtId="9" fontId="0" fillId="0" borderId="1" xfId="2" applyFont="1" applyBorder="1"/>
    <xf numFmtId="44" fontId="0" fillId="0" borderId="1" xfId="0" applyNumberFormat="1" applyBorder="1"/>
    <xf numFmtId="0" fontId="3" fillId="0" borderId="1" xfId="0" applyFont="1" applyBorder="1"/>
    <xf numFmtId="164" fontId="0" fillId="0" borderId="1" xfId="0" applyNumberFormat="1" applyBorder="1"/>
    <xf numFmtId="165" fontId="0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4" fontId="0" fillId="2" borderId="1" xfId="1" applyFont="1" applyFill="1" applyBorder="1"/>
    <xf numFmtId="0" fontId="0" fillId="3" borderId="1" xfId="0" applyFill="1" applyBorder="1"/>
    <xf numFmtId="0" fontId="4" fillId="4" borderId="1" xfId="0" applyFont="1" applyFill="1" applyBorder="1"/>
    <xf numFmtId="44" fontId="4" fillId="4" borderId="1" xfId="1" applyFont="1" applyFill="1" applyBorder="1"/>
    <xf numFmtId="44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0" borderId="1" xfId="0" applyFont="1" applyBorder="1"/>
    <xf numFmtId="44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4" fontId="2" fillId="0" borderId="1" xfId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ПОВРЕМЕННАЯ ЗАРАБОТНАЯ ПЛАТА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'Повременная зарплата'!$F$8:$F$13</c:f>
              <c:strCache>
                <c:ptCount val="6"/>
                <c:pt idx="0">
                  <c:v>Начислено</c:v>
                </c:pt>
                <c:pt idx="1">
                  <c:v> 33 100,00 ₽ </c:v>
                </c:pt>
                <c:pt idx="2">
                  <c:v> 29 500,00 ₽ </c:v>
                </c:pt>
                <c:pt idx="3">
                  <c:v> 38 700,00 ₽ </c:v>
                </c:pt>
                <c:pt idx="4">
                  <c:v> 34 000,00 ₽ </c:v>
                </c:pt>
                <c:pt idx="5">
                  <c:v> 33 500,00 ₽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0C-41E1-AC3D-D32BAFCBF8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0C-41E1-AC3D-D32BAFCBF8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0C-41E1-AC3D-D32BAFCBF8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0C-41E1-AC3D-D32BAFCBF8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0C-41E1-AC3D-D32BAFCBF88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'Повременная зарплата'!$A$9:$A$13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'Повременная зарплата'!$F$9:$F$13</c:f>
              <c:numCache>
                <c:formatCode>_("₽"* #,##0.00_);_("₽"* \(#,##0.00\);_("₽"* "-"??_);_(@_)</c:formatCode>
                <c:ptCount val="5"/>
                <c:pt idx="0">
                  <c:v>33100</c:v>
                </c:pt>
                <c:pt idx="1">
                  <c:v>29500</c:v>
                </c:pt>
                <c:pt idx="2">
                  <c:v>38700</c:v>
                </c:pt>
                <c:pt idx="3">
                  <c:v>34000</c:v>
                </c:pt>
                <c:pt idx="4">
                  <c:v>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D-4783-9810-AFEED98B4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Вычисление налога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Лист4!$B$9</c:f>
              <c:strCache>
                <c:ptCount val="1"/>
                <c:pt idx="0">
                  <c:v>Кол-во детей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Лист4!$B$10:$B$15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5-4952-AA41-428243865FF9}"/>
            </c:ext>
          </c:extLst>
        </c:ser>
        <c:ser>
          <c:idx val="1"/>
          <c:order val="1"/>
          <c:tx>
            <c:strRef>
              <c:f>Лист4!$C$9</c:f>
              <c:strCache>
                <c:ptCount val="1"/>
                <c:pt idx="0">
                  <c:v>Доход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Лист4!$C$10:$C$15</c:f>
              <c:numCache>
                <c:formatCode>_("₽"* #,##0.00_);_("₽"* \(#,##0.00\);_("₽"* "-"??_);_(@_)</c:formatCode>
                <c:ptCount val="6"/>
                <c:pt idx="0">
                  <c:v>12000</c:v>
                </c:pt>
                <c:pt idx="1">
                  <c:v>18400</c:v>
                </c:pt>
                <c:pt idx="2">
                  <c:v>15600</c:v>
                </c:pt>
                <c:pt idx="3">
                  <c:v>22540</c:v>
                </c:pt>
                <c:pt idx="4">
                  <c:v>29500</c:v>
                </c:pt>
                <c:pt idx="5">
                  <c:v>98040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5-4952-AA41-428243865FF9}"/>
            </c:ext>
          </c:extLst>
        </c:ser>
        <c:ser>
          <c:idx val="2"/>
          <c:order val="2"/>
          <c:tx>
            <c:strRef>
              <c:f>Лист4!$D$9</c:f>
              <c:strCache>
                <c:ptCount val="1"/>
                <c:pt idx="0">
                  <c:v>Сумма обложения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Лист4!$D$10:$D$15</c:f>
              <c:numCache>
                <c:formatCode>_("₽"* #,##0.00_);_("₽"* \(#,##0.00\);_("₽"* "-"??_);_(@_)</c:formatCode>
                <c:ptCount val="6"/>
                <c:pt idx="0">
                  <c:v>12000</c:v>
                </c:pt>
                <c:pt idx="1">
                  <c:v>17000</c:v>
                </c:pt>
                <c:pt idx="2">
                  <c:v>12800</c:v>
                </c:pt>
                <c:pt idx="3">
                  <c:v>19740</c:v>
                </c:pt>
                <c:pt idx="4">
                  <c:v>25300</c:v>
                </c:pt>
                <c:pt idx="5">
                  <c:v>86840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95-4952-AA41-428243865FF9}"/>
            </c:ext>
          </c:extLst>
        </c:ser>
        <c:ser>
          <c:idx val="4"/>
          <c:order val="3"/>
          <c:tx>
            <c:strRef>
              <c:f>Лист4!$F$9</c:f>
              <c:strCache>
                <c:ptCount val="1"/>
                <c:pt idx="0">
                  <c:v>Сумма на руки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Лист4!$F$10:$F$15</c:f>
              <c:numCache>
                <c:formatCode>_("₽"* #,##0.00_);_("₽"* \(#,##0.00\);_("₽"* "-"??_);_(@_)</c:formatCode>
                <c:ptCount val="6"/>
                <c:pt idx="0">
                  <c:v>25440</c:v>
                </c:pt>
                <c:pt idx="1">
                  <c:v>37440</c:v>
                </c:pt>
                <c:pt idx="2">
                  <c:v>29936</c:v>
                </c:pt>
                <c:pt idx="3">
                  <c:v>44846.2</c:v>
                </c:pt>
                <c:pt idx="4">
                  <c:v>58595</c:v>
                </c:pt>
                <c:pt idx="5">
                  <c:v>196257.2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5-4952-AA41-428243865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50183808"/>
        <c:axId val="629750568"/>
      </c:barChart>
      <c:catAx>
        <c:axId val="45018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750568"/>
        <c:crosses val="autoZero"/>
        <c:auto val="1"/>
        <c:lblAlgn val="ctr"/>
        <c:lblOffset val="100"/>
        <c:noMultiLvlLbl val="0"/>
      </c:catAx>
      <c:valAx>
        <c:axId val="62975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15</xdr:row>
      <xdr:rowOff>95250</xdr:rowOff>
    </xdr:from>
    <xdr:to>
      <xdr:col>6</xdr:col>
      <xdr:colOff>47625</xdr:colOff>
      <xdr:row>29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19FF11B-DF58-30AC-5924-94413CA34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0</xdr:rowOff>
    </xdr:from>
    <xdr:to>
      <xdr:col>7</xdr:col>
      <xdr:colOff>285750</xdr:colOff>
      <xdr:row>33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B82BC9-3A29-F913-7EF9-84C72060D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E4" sqref="E4"/>
    </sheetView>
  </sheetViews>
  <sheetFormatPr defaultRowHeight="15" x14ac:dyDescent="0.25"/>
  <cols>
    <col min="2" max="2" width="16.140625" bestFit="1" customWidth="1"/>
    <col min="3" max="3" width="10.85546875" customWidth="1"/>
    <col min="4" max="4" width="12" bestFit="1" customWidth="1"/>
    <col min="5" max="5" width="11" bestFit="1" customWidth="1"/>
    <col min="6" max="6" width="12" bestFit="1" customWidth="1"/>
  </cols>
  <sheetData>
    <row r="1" spans="1:6" x14ac:dyDescent="0.25">
      <c r="A1" s="26" t="s">
        <v>0</v>
      </c>
      <c r="B1" s="26"/>
      <c r="C1" s="26"/>
      <c r="D1" s="26"/>
      <c r="E1" s="26"/>
      <c r="F1" s="26"/>
    </row>
    <row r="3" spans="1:6" ht="30" x14ac:dyDescent="0.25">
      <c r="A3" s="1" t="s">
        <v>1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>
        <v>1</v>
      </c>
      <c r="B4" s="2" t="s">
        <v>7</v>
      </c>
      <c r="C4" s="2">
        <v>22</v>
      </c>
      <c r="D4" s="3">
        <v>5600</v>
      </c>
      <c r="E4" s="6">
        <f>VLOOKUP(C4,$B$23:$C$28,2)*D4</f>
        <v>560</v>
      </c>
      <c r="F4" s="3">
        <f>SUM(D4:E4)</f>
        <v>6160</v>
      </c>
    </row>
    <row r="5" spans="1:6" x14ac:dyDescent="0.25">
      <c r="A5" s="2">
        <v>2</v>
      </c>
      <c r="B5" s="2" t="s">
        <v>8</v>
      </c>
      <c r="C5" s="2">
        <v>5</v>
      </c>
      <c r="D5" s="3">
        <v>9700</v>
      </c>
      <c r="E5" s="6">
        <f t="shared" ref="E5:E18" si="0">VLOOKUP(C5,$B$23:$C$28,2)*D5</f>
        <v>291</v>
      </c>
      <c r="F5" s="3">
        <f t="shared" ref="F5:F17" si="1">SUM(D5:E5)</f>
        <v>9991</v>
      </c>
    </row>
    <row r="6" spans="1:6" x14ac:dyDescent="0.25">
      <c r="A6" s="2">
        <v>3</v>
      </c>
      <c r="B6" s="2" t="s">
        <v>9</v>
      </c>
      <c r="C6" s="2">
        <v>12</v>
      </c>
      <c r="D6" s="3">
        <v>6500</v>
      </c>
      <c r="E6" s="6">
        <f t="shared" si="0"/>
        <v>325</v>
      </c>
      <c r="F6" s="3">
        <f t="shared" si="1"/>
        <v>6825</v>
      </c>
    </row>
    <row r="7" spans="1:6" x14ac:dyDescent="0.25">
      <c r="A7" s="2">
        <v>4</v>
      </c>
      <c r="B7" s="2" t="s">
        <v>10</v>
      </c>
      <c r="C7" s="2">
        <v>9</v>
      </c>
      <c r="D7" s="3">
        <v>6800</v>
      </c>
      <c r="E7" s="6">
        <f t="shared" si="0"/>
        <v>204</v>
      </c>
      <c r="F7" s="3">
        <f t="shared" si="1"/>
        <v>7004</v>
      </c>
    </row>
    <row r="8" spans="1:6" x14ac:dyDescent="0.25">
      <c r="A8" s="2">
        <v>5</v>
      </c>
      <c r="B8" s="2" t="s">
        <v>11</v>
      </c>
      <c r="C8" s="2">
        <v>3</v>
      </c>
      <c r="D8" s="3">
        <v>6800</v>
      </c>
      <c r="E8" s="6">
        <f t="shared" si="0"/>
        <v>68</v>
      </c>
      <c r="F8" s="3">
        <f t="shared" si="1"/>
        <v>6868</v>
      </c>
    </row>
    <row r="9" spans="1:6" x14ac:dyDescent="0.25">
      <c r="A9" s="2">
        <v>6</v>
      </c>
      <c r="B9" s="2" t="s">
        <v>12</v>
      </c>
      <c r="C9" s="2">
        <v>20</v>
      </c>
      <c r="D9" s="3">
        <v>7800</v>
      </c>
      <c r="E9" s="6">
        <f t="shared" si="0"/>
        <v>780</v>
      </c>
      <c r="F9" s="3">
        <f t="shared" si="1"/>
        <v>8580</v>
      </c>
    </row>
    <row r="10" spans="1:6" x14ac:dyDescent="0.25">
      <c r="A10" s="2">
        <v>7</v>
      </c>
      <c r="B10" s="2" t="s">
        <v>13</v>
      </c>
      <c r="C10" s="2">
        <v>19</v>
      </c>
      <c r="D10" s="3">
        <v>9900</v>
      </c>
      <c r="E10" s="6">
        <f t="shared" si="0"/>
        <v>693.00000000000011</v>
      </c>
      <c r="F10" s="3">
        <f t="shared" si="1"/>
        <v>10593</v>
      </c>
    </row>
    <row r="11" spans="1:6" x14ac:dyDescent="0.25">
      <c r="A11" s="2">
        <v>8</v>
      </c>
      <c r="B11" s="2" t="s">
        <v>14</v>
      </c>
      <c r="C11" s="2">
        <v>8</v>
      </c>
      <c r="D11" s="3">
        <v>3500</v>
      </c>
      <c r="E11" s="6">
        <f t="shared" si="0"/>
        <v>105</v>
      </c>
      <c r="F11" s="3">
        <f t="shared" si="1"/>
        <v>3605</v>
      </c>
    </row>
    <row r="12" spans="1:6" x14ac:dyDescent="0.25">
      <c r="A12" s="2">
        <v>9</v>
      </c>
      <c r="B12" s="2" t="s">
        <v>15</v>
      </c>
      <c r="C12" s="2">
        <v>1</v>
      </c>
      <c r="D12" s="3">
        <v>4600</v>
      </c>
      <c r="E12" s="6">
        <f t="shared" si="0"/>
        <v>46</v>
      </c>
      <c r="F12" s="3">
        <f t="shared" si="1"/>
        <v>4646</v>
      </c>
    </row>
    <row r="13" spans="1:6" x14ac:dyDescent="0.25">
      <c r="A13" s="2">
        <v>10</v>
      </c>
      <c r="B13" s="2" t="s">
        <v>16</v>
      </c>
      <c r="C13" s="2">
        <v>16</v>
      </c>
      <c r="D13" s="3">
        <v>10500</v>
      </c>
      <c r="E13" s="6">
        <f t="shared" si="0"/>
        <v>735.00000000000011</v>
      </c>
      <c r="F13" s="3">
        <f t="shared" si="1"/>
        <v>11235</v>
      </c>
    </row>
    <row r="14" spans="1:6" x14ac:dyDescent="0.25">
      <c r="A14" s="2">
        <v>11</v>
      </c>
      <c r="B14" s="2" t="s">
        <v>17</v>
      </c>
      <c r="C14" s="2">
        <v>17</v>
      </c>
      <c r="D14" s="3">
        <v>7900</v>
      </c>
      <c r="E14" s="6">
        <f t="shared" si="0"/>
        <v>553</v>
      </c>
      <c r="F14" s="3">
        <f t="shared" si="1"/>
        <v>8453</v>
      </c>
    </row>
    <row r="15" spans="1:6" x14ac:dyDescent="0.25">
      <c r="A15" s="2">
        <v>12</v>
      </c>
      <c r="B15" s="2" t="s">
        <v>18</v>
      </c>
      <c r="C15" s="2">
        <v>8</v>
      </c>
      <c r="D15" s="3">
        <v>6900</v>
      </c>
      <c r="E15" s="6">
        <f t="shared" si="0"/>
        <v>207</v>
      </c>
      <c r="F15" s="3">
        <f t="shared" si="1"/>
        <v>7107</v>
      </c>
    </row>
    <row r="16" spans="1:6" x14ac:dyDescent="0.25">
      <c r="A16" s="2">
        <v>13</v>
      </c>
      <c r="B16" s="2" t="s">
        <v>19</v>
      </c>
      <c r="C16" s="2">
        <v>29</v>
      </c>
      <c r="D16" s="3">
        <v>6700</v>
      </c>
      <c r="E16" s="6">
        <f t="shared" si="0"/>
        <v>1005</v>
      </c>
      <c r="F16" s="3">
        <f t="shared" si="1"/>
        <v>7705</v>
      </c>
    </row>
    <row r="17" spans="1:6" x14ac:dyDescent="0.25">
      <c r="A17" s="2">
        <v>14</v>
      </c>
      <c r="B17" s="2" t="s">
        <v>20</v>
      </c>
      <c r="C17" s="2">
        <v>19</v>
      </c>
      <c r="D17" s="3">
        <v>10200</v>
      </c>
      <c r="E17" s="6">
        <f t="shared" si="0"/>
        <v>714.00000000000011</v>
      </c>
      <c r="F17" s="3">
        <f t="shared" si="1"/>
        <v>10914</v>
      </c>
    </row>
    <row r="18" spans="1:6" x14ac:dyDescent="0.25">
      <c r="A18" s="2">
        <v>15</v>
      </c>
      <c r="B18" s="2" t="s">
        <v>21</v>
      </c>
      <c r="C18" s="2">
        <v>22</v>
      </c>
      <c r="D18" s="3">
        <v>7900</v>
      </c>
      <c r="E18" s="6">
        <f t="shared" si="0"/>
        <v>790</v>
      </c>
      <c r="F18" s="3">
        <f>SUM(D18:E18)</f>
        <v>8690</v>
      </c>
    </row>
    <row r="22" spans="1:6" ht="45" x14ac:dyDescent="0.25">
      <c r="B22" s="4" t="s">
        <v>22</v>
      </c>
      <c r="C22" s="4" t="s">
        <v>4</v>
      </c>
    </row>
    <row r="23" spans="1:6" x14ac:dyDescent="0.25">
      <c r="B23" s="2">
        <v>1</v>
      </c>
      <c r="C23" s="5">
        <v>0.01</v>
      </c>
    </row>
    <row r="24" spans="1:6" x14ac:dyDescent="0.25">
      <c r="B24" s="2">
        <v>5</v>
      </c>
      <c r="C24" s="5">
        <v>0.03</v>
      </c>
    </row>
    <row r="25" spans="1:6" x14ac:dyDescent="0.25">
      <c r="B25" s="2">
        <v>10</v>
      </c>
      <c r="C25" s="5">
        <v>0.05</v>
      </c>
    </row>
    <row r="26" spans="1:6" x14ac:dyDescent="0.25">
      <c r="B26" s="2">
        <v>15</v>
      </c>
      <c r="C26" s="5">
        <v>7.0000000000000007E-2</v>
      </c>
    </row>
    <row r="27" spans="1:6" x14ac:dyDescent="0.25">
      <c r="B27" s="2">
        <v>20</v>
      </c>
      <c r="C27" s="5">
        <v>0.1</v>
      </c>
    </row>
    <row r="28" spans="1:6" x14ac:dyDescent="0.25">
      <c r="B28" s="2">
        <v>25</v>
      </c>
      <c r="C28" s="5">
        <v>0.15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E4D7-ED71-4D4F-8575-7F1A4147965D}">
  <dimension ref="A1:G25"/>
  <sheetViews>
    <sheetView workbookViewId="0">
      <selection activeCell="G18" sqref="G18"/>
    </sheetView>
  </sheetViews>
  <sheetFormatPr defaultRowHeight="15" x14ac:dyDescent="0.25"/>
  <cols>
    <col min="2" max="2" width="15" customWidth="1"/>
    <col min="3" max="3" width="15.85546875" customWidth="1"/>
    <col min="4" max="4" width="13.140625" customWidth="1"/>
    <col min="5" max="5" width="17.42578125" customWidth="1"/>
    <col min="6" max="6" width="13.42578125" customWidth="1"/>
    <col min="7" max="7" width="9.42578125" bestFit="1" customWidth="1"/>
  </cols>
  <sheetData>
    <row r="1" spans="1:7" x14ac:dyDescent="0.25">
      <c r="A1" s="27" t="s">
        <v>23</v>
      </c>
      <c r="B1" s="27"/>
      <c r="C1" s="27"/>
      <c r="D1" s="27"/>
      <c r="E1" s="27"/>
      <c r="F1" s="27"/>
    </row>
    <row r="3" spans="1:7" ht="30" x14ac:dyDescent="0.25">
      <c r="A3" s="4" t="s">
        <v>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</row>
    <row r="4" spans="1:7" x14ac:dyDescent="0.25">
      <c r="A4" s="2">
        <v>1</v>
      </c>
      <c r="B4" s="2" t="s">
        <v>29</v>
      </c>
      <c r="C4" s="2" t="s">
        <v>34</v>
      </c>
      <c r="D4" s="11">
        <f xml:space="preserve"> HLOOKUP(C4,$C$15:$G$20,3)</f>
        <v>130</v>
      </c>
      <c r="E4" s="2" t="s">
        <v>39</v>
      </c>
      <c r="F4" s="9">
        <f xml:space="preserve"> D4*VLOOKUP(E4,$B$23:$C$25,2)</f>
        <v>4674.8</v>
      </c>
    </row>
    <row r="5" spans="1:7" x14ac:dyDescent="0.25">
      <c r="A5" s="2">
        <v>2</v>
      </c>
      <c r="B5" s="2" t="s">
        <v>29</v>
      </c>
      <c r="C5" s="2" t="s">
        <v>35</v>
      </c>
      <c r="D5" s="11">
        <f t="shared" ref="D5" si="0" xml:space="preserve"> HLOOKUP(C5,$C$15:$G$20,3)</f>
        <v>145</v>
      </c>
      <c r="E5" s="2" t="s">
        <v>41</v>
      </c>
      <c r="F5" s="9">
        <f t="shared" ref="F5:F13" si="1" xml:space="preserve"> D5*VLOOKUP(E5,$B$23:$C$25,2)</f>
        <v>5259.1500000000005</v>
      </c>
    </row>
    <row r="6" spans="1:7" x14ac:dyDescent="0.25">
      <c r="A6" s="2">
        <v>3</v>
      </c>
      <c r="B6" s="2" t="s">
        <v>30</v>
      </c>
      <c r="C6" s="2" t="s">
        <v>36</v>
      </c>
      <c r="D6" s="11">
        <f xml:space="preserve"> HLOOKUP(C6,$C$15:$G$20,5)</f>
        <v>30</v>
      </c>
      <c r="E6" s="2" t="s">
        <v>42</v>
      </c>
      <c r="F6" s="9">
        <f t="shared" si="1"/>
        <v>1088.1000000000001</v>
      </c>
    </row>
    <row r="7" spans="1:7" x14ac:dyDescent="0.25">
      <c r="A7" s="2">
        <v>4</v>
      </c>
      <c r="B7" s="2" t="s">
        <v>30</v>
      </c>
      <c r="C7" s="2" t="s">
        <v>37</v>
      </c>
      <c r="D7" s="11">
        <f t="shared" ref="D7:D8" si="2" xml:space="preserve"> HLOOKUP(C7,$C$15:$G$20,5)</f>
        <v>25</v>
      </c>
      <c r="E7" s="2" t="s">
        <v>43</v>
      </c>
      <c r="F7" s="9">
        <f t="shared" si="1"/>
        <v>906.75000000000011</v>
      </c>
    </row>
    <row r="8" spans="1:7" x14ac:dyDescent="0.25">
      <c r="A8" s="2">
        <v>5</v>
      </c>
      <c r="B8" s="2" t="s">
        <v>30</v>
      </c>
      <c r="C8" s="2" t="s">
        <v>38</v>
      </c>
      <c r="D8" s="11">
        <f t="shared" si="2"/>
        <v>30</v>
      </c>
      <c r="E8" s="2" t="s">
        <v>40</v>
      </c>
      <c r="F8" s="9">
        <f t="shared" si="1"/>
        <v>1088.1000000000001</v>
      </c>
    </row>
    <row r="9" spans="1:7" x14ac:dyDescent="0.25">
      <c r="A9" s="2">
        <v>6</v>
      </c>
      <c r="B9" s="2" t="s">
        <v>31</v>
      </c>
      <c r="C9" s="2" t="s">
        <v>37</v>
      </c>
      <c r="D9" s="11">
        <f xml:space="preserve"> HLOOKUP(C9,$C$15:$G$20,6)</f>
        <v>20</v>
      </c>
      <c r="E9" s="2" t="s">
        <v>44</v>
      </c>
      <c r="F9" s="9">
        <f t="shared" si="1"/>
        <v>719.2</v>
      </c>
    </row>
    <row r="10" spans="1:7" x14ac:dyDescent="0.25">
      <c r="A10" s="2">
        <v>7</v>
      </c>
      <c r="B10" s="2" t="s">
        <v>31</v>
      </c>
      <c r="C10" s="2" t="s">
        <v>38</v>
      </c>
      <c r="D10" s="11">
        <f xml:space="preserve"> HLOOKUP(C10,$C$15:$G$20,6)</f>
        <v>17</v>
      </c>
      <c r="E10" s="2" t="s">
        <v>45</v>
      </c>
      <c r="F10" s="9">
        <f t="shared" si="1"/>
        <v>616.59</v>
      </c>
    </row>
    <row r="11" spans="1:7" x14ac:dyDescent="0.25">
      <c r="A11" s="2">
        <v>8</v>
      </c>
      <c r="B11" s="2" t="s">
        <v>32</v>
      </c>
      <c r="C11" s="2" t="s">
        <v>36</v>
      </c>
      <c r="D11" s="11">
        <f xml:space="preserve"> HLOOKUP(C11,$C$15:$G$20,2)</f>
        <v>55</v>
      </c>
      <c r="E11" s="2" t="s">
        <v>46</v>
      </c>
      <c r="F11" s="9">
        <f t="shared" si="1"/>
        <v>1994.8500000000001</v>
      </c>
    </row>
    <row r="12" spans="1:7" x14ac:dyDescent="0.25">
      <c r="A12" s="2">
        <v>9</v>
      </c>
      <c r="B12" s="2" t="s">
        <v>33</v>
      </c>
      <c r="C12" s="2" t="s">
        <v>37</v>
      </c>
      <c r="D12" s="11">
        <f xml:space="preserve"> HLOOKUP(C12,$C$15:$G$20,4)</f>
        <v>27</v>
      </c>
      <c r="E12" s="2" t="s">
        <v>47</v>
      </c>
      <c r="F12" s="9">
        <f t="shared" si="1"/>
        <v>979.29000000000008</v>
      </c>
    </row>
    <row r="13" spans="1:7" x14ac:dyDescent="0.25">
      <c r="A13" s="2">
        <v>10</v>
      </c>
      <c r="B13" s="2" t="s">
        <v>33</v>
      </c>
      <c r="C13" s="2" t="s">
        <v>36</v>
      </c>
      <c r="D13" s="11">
        <f xml:space="preserve"> HLOOKUP(C13,$C$15:$G$20,4)</f>
        <v>22</v>
      </c>
      <c r="E13" s="2" t="s">
        <v>48</v>
      </c>
      <c r="F13" s="9">
        <f t="shared" si="1"/>
        <v>797.94</v>
      </c>
    </row>
    <row r="15" spans="1:7" x14ac:dyDescent="0.25">
      <c r="B15" s="10" t="s">
        <v>49</v>
      </c>
      <c r="C15" s="10" t="s">
        <v>37</v>
      </c>
      <c r="D15" s="10" t="s">
        <v>34</v>
      </c>
      <c r="E15" s="10" t="s">
        <v>38</v>
      </c>
      <c r="F15" s="10" t="s">
        <v>35</v>
      </c>
      <c r="G15" s="10" t="s">
        <v>36</v>
      </c>
    </row>
    <row r="16" spans="1:7" x14ac:dyDescent="0.25">
      <c r="B16" s="2" t="s">
        <v>32</v>
      </c>
      <c r="C16" s="8">
        <v>50</v>
      </c>
      <c r="D16" s="8">
        <v>55</v>
      </c>
      <c r="E16" s="8">
        <v>45</v>
      </c>
      <c r="F16" s="8">
        <v>50</v>
      </c>
      <c r="G16" s="8">
        <v>55</v>
      </c>
    </row>
    <row r="17" spans="2:7" x14ac:dyDescent="0.25">
      <c r="B17" s="2" t="s">
        <v>29</v>
      </c>
      <c r="C17" s="8">
        <v>150</v>
      </c>
      <c r="D17" s="8">
        <v>130</v>
      </c>
      <c r="E17" s="8">
        <v>140</v>
      </c>
      <c r="F17" s="8">
        <v>145</v>
      </c>
      <c r="G17" s="8">
        <v>155</v>
      </c>
    </row>
    <row r="18" spans="2:7" x14ac:dyDescent="0.25">
      <c r="B18" s="2" t="s">
        <v>33</v>
      </c>
      <c r="C18" s="8">
        <v>27</v>
      </c>
      <c r="D18" s="8">
        <v>33</v>
      </c>
      <c r="E18" s="8">
        <v>30</v>
      </c>
      <c r="F18" s="8">
        <v>25</v>
      </c>
      <c r="G18" s="8">
        <v>22</v>
      </c>
    </row>
    <row r="19" spans="2:7" x14ac:dyDescent="0.25">
      <c r="B19" s="2" t="s">
        <v>30</v>
      </c>
      <c r="C19" s="8">
        <v>25</v>
      </c>
      <c r="D19" s="8">
        <v>30</v>
      </c>
      <c r="E19" s="8">
        <v>30</v>
      </c>
      <c r="F19" s="8">
        <v>35</v>
      </c>
      <c r="G19" s="8">
        <v>30</v>
      </c>
    </row>
    <row r="20" spans="2:7" x14ac:dyDescent="0.25">
      <c r="B20" s="2" t="s">
        <v>31</v>
      </c>
      <c r="C20" s="8">
        <v>20</v>
      </c>
      <c r="D20" s="8">
        <v>15</v>
      </c>
      <c r="E20" s="8">
        <v>17</v>
      </c>
      <c r="F20" s="8">
        <v>13</v>
      </c>
      <c r="G20" s="8">
        <v>15</v>
      </c>
    </row>
    <row r="22" spans="2:7" x14ac:dyDescent="0.25">
      <c r="B22" s="7" t="s">
        <v>50</v>
      </c>
      <c r="C22" s="7" t="s">
        <v>51</v>
      </c>
    </row>
    <row r="23" spans="2:7" x14ac:dyDescent="0.25">
      <c r="B23" s="2" t="s">
        <v>43</v>
      </c>
      <c r="C23" s="3">
        <v>35.42</v>
      </c>
    </row>
    <row r="24" spans="2:7" x14ac:dyDescent="0.25">
      <c r="B24" s="2" t="s">
        <v>39</v>
      </c>
      <c r="C24" s="3">
        <v>35.96</v>
      </c>
    </row>
    <row r="25" spans="2:7" x14ac:dyDescent="0.25">
      <c r="B25" s="2" t="s">
        <v>48</v>
      </c>
      <c r="C25" s="3">
        <v>36.270000000000003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CFD3-BD3F-4C9E-B6BD-1A2CD56A0C40}">
  <dimension ref="A1:F14"/>
  <sheetViews>
    <sheetView workbookViewId="0">
      <selection activeCell="D9" sqref="D9"/>
    </sheetView>
  </sheetViews>
  <sheetFormatPr defaultRowHeight="15" x14ac:dyDescent="0.25"/>
  <cols>
    <col min="1" max="1" width="13.28515625" bestFit="1" customWidth="1"/>
    <col min="2" max="2" width="14.5703125" customWidth="1"/>
    <col min="3" max="3" width="11" bestFit="1" customWidth="1"/>
    <col min="4" max="4" width="13.140625" bestFit="1" customWidth="1"/>
    <col min="5" max="5" width="12" bestFit="1" customWidth="1"/>
    <col min="6" max="6" width="13.140625" bestFit="1" customWidth="1"/>
  </cols>
  <sheetData>
    <row r="1" spans="1:6" x14ac:dyDescent="0.25">
      <c r="A1" s="27" t="s">
        <v>52</v>
      </c>
      <c r="B1" s="27"/>
      <c r="C1" s="27"/>
      <c r="D1" s="27"/>
      <c r="E1" s="27"/>
      <c r="F1" s="27"/>
    </row>
    <row r="2" spans="1:6" x14ac:dyDescent="0.25">
      <c r="A2" s="15" t="s">
        <v>53</v>
      </c>
      <c r="B2" s="15">
        <v>1</v>
      </c>
      <c r="C2" s="15">
        <v>2</v>
      </c>
      <c r="D2" s="15">
        <v>3</v>
      </c>
      <c r="E2" s="15">
        <v>4</v>
      </c>
      <c r="F2" s="15">
        <v>5</v>
      </c>
    </row>
    <row r="3" spans="1:6" x14ac:dyDescent="0.25">
      <c r="A3" s="16" t="s">
        <v>54</v>
      </c>
      <c r="B3" s="17">
        <v>1300</v>
      </c>
      <c r="C3" s="17">
        <v>1400</v>
      </c>
      <c r="D3" s="17">
        <v>1500</v>
      </c>
      <c r="E3" s="17">
        <v>1700</v>
      </c>
      <c r="F3" s="17">
        <v>2000</v>
      </c>
    </row>
    <row r="4" spans="1:6" x14ac:dyDescent="0.25">
      <c r="A4" s="13" t="s">
        <v>55</v>
      </c>
      <c r="B4" s="14">
        <v>2000</v>
      </c>
      <c r="C4" s="14">
        <v>2300</v>
      </c>
      <c r="D4" s="14">
        <v>2500</v>
      </c>
      <c r="E4" s="14">
        <v>3000</v>
      </c>
      <c r="F4" s="14">
        <v>3500</v>
      </c>
    </row>
    <row r="6" spans="1:6" x14ac:dyDescent="0.25">
      <c r="A6" s="28" t="s">
        <v>56</v>
      </c>
      <c r="B6" s="28"/>
      <c r="C6" s="28"/>
      <c r="D6" s="28"/>
      <c r="E6" s="28"/>
      <c r="F6" s="28"/>
    </row>
    <row r="8" spans="1:6" ht="30" x14ac:dyDescent="0.25">
      <c r="A8" s="4" t="s">
        <v>57</v>
      </c>
      <c r="B8" s="4" t="s">
        <v>60</v>
      </c>
      <c r="C8" s="4" t="s">
        <v>53</v>
      </c>
      <c r="D8" s="4" t="s">
        <v>61</v>
      </c>
      <c r="E8" s="4" t="s">
        <v>55</v>
      </c>
      <c r="F8" s="4" t="s">
        <v>62</v>
      </c>
    </row>
    <row r="9" spans="1:6" x14ac:dyDescent="0.25">
      <c r="A9" s="12" t="s">
        <v>10</v>
      </c>
      <c r="B9" s="12">
        <v>22</v>
      </c>
      <c r="C9" s="12">
        <v>2</v>
      </c>
      <c r="D9" s="18">
        <f xml:space="preserve"> HLOOKUP(C9,B$2:F$4,2)*B9</f>
        <v>30800</v>
      </c>
      <c r="E9" s="18">
        <f xml:space="preserve"> HLOOKUP(C9,B$2:F$4,3)</f>
        <v>2300</v>
      </c>
      <c r="F9" s="18">
        <f>SUM(D9:E9)</f>
        <v>33100</v>
      </c>
    </row>
    <row r="10" spans="1:6" x14ac:dyDescent="0.25">
      <c r="A10" s="12" t="s">
        <v>58</v>
      </c>
      <c r="B10" s="12">
        <v>18</v>
      </c>
      <c r="C10" s="12">
        <v>3</v>
      </c>
      <c r="D10" s="18">
        <f t="shared" ref="D10:D13" si="0" xml:space="preserve"> HLOOKUP(C10,B$2:F$4,2)*B10</f>
        <v>27000</v>
      </c>
      <c r="E10" s="18">
        <f t="shared" ref="E10:E12" si="1" xml:space="preserve"> HLOOKUP(C10,B$2:F$4,3)</f>
        <v>2500</v>
      </c>
      <c r="F10" s="18">
        <f t="shared" ref="F10:F13" si="2">SUM(D10:E10)</f>
        <v>29500</v>
      </c>
    </row>
    <row r="11" spans="1:6" x14ac:dyDescent="0.25">
      <c r="A11" s="12" t="s">
        <v>15</v>
      </c>
      <c r="B11" s="12">
        <v>21</v>
      </c>
      <c r="C11" s="12">
        <v>4</v>
      </c>
      <c r="D11" s="18">
        <f t="shared" si="0"/>
        <v>35700</v>
      </c>
      <c r="E11" s="18">
        <f t="shared" si="1"/>
        <v>3000</v>
      </c>
      <c r="F11" s="18">
        <f t="shared" si="2"/>
        <v>38700</v>
      </c>
    </row>
    <row r="12" spans="1:6" x14ac:dyDescent="0.25">
      <c r="A12" s="12" t="s">
        <v>17</v>
      </c>
      <c r="B12" s="12">
        <v>21</v>
      </c>
      <c r="C12" s="12">
        <v>3</v>
      </c>
      <c r="D12" s="18">
        <f t="shared" si="0"/>
        <v>31500</v>
      </c>
      <c r="E12" s="18">
        <f t="shared" si="1"/>
        <v>2500</v>
      </c>
      <c r="F12" s="18">
        <f t="shared" si="2"/>
        <v>34000</v>
      </c>
    </row>
    <row r="13" spans="1:6" x14ac:dyDescent="0.25">
      <c r="A13" s="12" t="s">
        <v>59</v>
      </c>
      <c r="B13" s="12">
        <v>15</v>
      </c>
      <c r="C13" s="19">
        <v>5</v>
      </c>
      <c r="D13" s="20">
        <f t="shared" si="0"/>
        <v>30000</v>
      </c>
      <c r="E13" s="20">
        <f xml:space="preserve"> HLOOKUP(C13,B$2:F$4,3)</f>
        <v>3500</v>
      </c>
      <c r="F13" s="20">
        <f t="shared" si="2"/>
        <v>33500</v>
      </c>
    </row>
    <row r="14" spans="1:6" x14ac:dyDescent="0.25">
      <c r="C14" s="21" t="s">
        <v>63</v>
      </c>
      <c r="D14" s="22">
        <f>SUM(D9:D13)</f>
        <v>155000</v>
      </c>
      <c r="E14" s="22">
        <f t="shared" ref="E14:F14" si="3">SUM(E9:E13)</f>
        <v>13800</v>
      </c>
      <c r="F14" s="22">
        <f t="shared" si="3"/>
        <v>168800</v>
      </c>
    </row>
  </sheetData>
  <mergeCells count="2">
    <mergeCell ref="A1:F1"/>
    <mergeCell ref="A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30B7-D836-4262-B7D3-4696524A266A}">
  <dimension ref="A1:F15"/>
  <sheetViews>
    <sheetView tabSelected="1" workbookViewId="0">
      <selection activeCell="K26" sqref="K26"/>
    </sheetView>
  </sheetViews>
  <sheetFormatPr defaultRowHeight="15" x14ac:dyDescent="0.25"/>
  <cols>
    <col min="1" max="1" width="13.5703125" customWidth="1"/>
    <col min="2" max="2" width="11" bestFit="1" customWidth="1"/>
    <col min="3" max="3" width="13.28515625" bestFit="1" customWidth="1"/>
    <col min="4" max="5" width="12.140625" bestFit="1" customWidth="1"/>
    <col min="6" max="6" width="13.140625" bestFit="1" customWidth="1"/>
  </cols>
  <sheetData>
    <row r="1" spans="1:6" x14ac:dyDescent="0.25">
      <c r="A1" s="29" t="s">
        <v>64</v>
      </c>
      <c r="B1" s="29"/>
      <c r="C1" s="29"/>
      <c r="D1" s="29"/>
      <c r="E1" s="29"/>
      <c r="F1" s="29"/>
    </row>
    <row r="3" spans="1:6" x14ac:dyDescent="0.25">
      <c r="A3" s="2" t="s">
        <v>65</v>
      </c>
      <c r="B3" s="3">
        <v>0</v>
      </c>
      <c r="C3" s="3">
        <v>10000</v>
      </c>
      <c r="D3" s="3">
        <v>18000</v>
      </c>
      <c r="E3" s="3">
        <v>25000</v>
      </c>
      <c r="F3" s="3">
        <v>30000</v>
      </c>
    </row>
    <row r="4" spans="1:6" x14ac:dyDescent="0.25">
      <c r="A4" s="2" t="s">
        <v>66</v>
      </c>
      <c r="B4" s="5">
        <v>0</v>
      </c>
      <c r="C4" s="5">
        <v>0.12</v>
      </c>
      <c r="D4" s="5">
        <v>0.13</v>
      </c>
      <c r="E4" s="5">
        <v>0.15</v>
      </c>
      <c r="F4" s="5">
        <v>0.18</v>
      </c>
    </row>
    <row r="5" spans="1:6" x14ac:dyDescent="0.25">
      <c r="A5" s="2" t="s">
        <v>67</v>
      </c>
      <c r="B5" s="3">
        <v>1400</v>
      </c>
    </row>
    <row r="7" spans="1:6" x14ac:dyDescent="0.25">
      <c r="A7" s="28" t="s">
        <v>68</v>
      </c>
      <c r="B7" s="28"/>
      <c r="C7" s="28"/>
      <c r="D7" s="28"/>
      <c r="E7" s="28"/>
      <c r="F7" s="28"/>
    </row>
    <row r="9" spans="1:6" ht="30" x14ac:dyDescent="0.25">
      <c r="A9" s="23" t="s">
        <v>73</v>
      </c>
      <c r="B9" s="23" t="s">
        <v>69</v>
      </c>
      <c r="C9" s="23" t="s">
        <v>70</v>
      </c>
      <c r="D9" s="23" t="s">
        <v>71</v>
      </c>
      <c r="E9" s="23" t="s">
        <v>66</v>
      </c>
      <c r="F9" s="23" t="s">
        <v>72</v>
      </c>
    </row>
    <row r="10" spans="1:6" x14ac:dyDescent="0.25">
      <c r="A10" s="12" t="s">
        <v>10</v>
      </c>
      <c r="B10" s="2">
        <v>0</v>
      </c>
      <c r="C10" s="3">
        <v>12000</v>
      </c>
      <c r="D10" s="3">
        <f>MAX(0,C10 - B10*$B$5)</f>
        <v>12000</v>
      </c>
      <c r="E10" s="3">
        <f>HLOOKUP(D10,$B$3:$F$4,2)*D10</f>
        <v>1440</v>
      </c>
      <c r="F10" s="3">
        <f>SUM(C10:E10)</f>
        <v>25440</v>
      </c>
    </row>
    <row r="11" spans="1:6" x14ac:dyDescent="0.25">
      <c r="A11" s="12" t="s">
        <v>58</v>
      </c>
      <c r="B11" s="2">
        <v>1</v>
      </c>
      <c r="C11" s="3">
        <v>18400</v>
      </c>
      <c r="D11" s="3">
        <f t="shared" ref="D11:D14" si="0">MAX(0,C11 - B11*$B$5)</f>
        <v>17000</v>
      </c>
      <c r="E11" s="3">
        <f t="shared" ref="E11:E14" si="1">HLOOKUP(D11,$B$3:$F$4,2)*D11</f>
        <v>2040</v>
      </c>
      <c r="F11" s="3">
        <f t="shared" ref="F11:F14" si="2">SUM(C11:E11)</f>
        <v>37440</v>
      </c>
    </row>
    <row r="12" spans="1:6" x14ac:dyDescent="0.25">
      <c r="A12" s="12" t="s">
        <v>15</v>
      </c>
      <c r="B12" s="2">
        <v>2</v>
      </c>
      <c r="C12" s="3">
        <v>15600</v>
      </c>
      <c r="D12" s="3">
        <f t="shared" si="0"/>
        <v>12800</v>
      </c>
      <c r="E12" s="3">
        <f t="shared" si="1"/>
        <v>1536</v>
      </c>
      <c r="F12" s="3">
        <f t="shared" si="2"/>
        <v>29936</v>
      </c>
    </row>
    <row r="13" spans="1:6" x14ac:dyDescent="0.25">
      <c r="A13" s="12" t="s">
        <v>17</v>
      </c>
      <c r="B13" s="2">
        <v>2</v>
      </c>
      <c r="C13" s="3">
        <v>22540</v>
      </c>
      <c r="D13" s="3">
        <f t="shared" si="0"/>
        <v>19740</v>
      </c>
      <c r="E13" s="3">
        <f t="shared" si="1"/>
        <v>2566.2000000000003</v>
      </c>
      <c r="F13" s="3">
        <f t="shared" si="2"/>
        <v>44846.2</v>
      </c>
    </row>
    <row r="14" spans="1:6" x14ac:dyDescent="0.25">
      <c r="A14" s="12" t="s">
        <v>59</v>
      </c>
      <c r="B14" s="2">
        <v>3</v>
      </c>
      <c r="C14" s="3">
        <v>29500</v>
      </c>
      <c r="D14" s="3">
        <f t="shared" si="0"/>
        <v>25300</v>
      </c>
      <c r="E14" s="3">
        <f t="shared" si="1"/>
        <v>3795</v>
      </c>
      <c r="F14" s="3">
        <f t="shared" si="2"/>
        <v>58595</v>
      </c>
    </row>
    <row r="15" spans="1:6" x14ac:dyDescent="0.25">
      <c r="A15" s="24" t="s">
        <v>74</v>
      </c>
      <c r="B15" s="21">
        <f>SUM(B10:B14)</f>
        <v>8</v>
      </c>
      <c r="C15" s="25">
        <f t="shared" ref="C15:F15" si="3">SUM(C10:C14)</f>
        <v>98040</v>
      </c>
      <c r="D15" s="25">
        <f t="shared" si="3"/>
        <v>86840</v>
      </c>
      <c r="E15" s="25">
        <f t="shared" si="3"/>
        <v>11377.2</v>
      </c>
      <c r="F15" s="25">
        <f t="shared" si="3"/>
        <v>196257.2</v>
      </c>
    </row>
  </sheetData>
  <mergeCells count="2">
    <mergeCell ref="A1:F1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Ведомость зарплаты</vt:lpstr>
      <vt:lpstr>Цены</vt:lpstr>
      <vt:lpstr>Повременная зарплата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Дмитрий Пузынин</cp:lastModifiedBy>
  <dcterms:created xsi:type="dcterms:W3CDTF">2015-06-05T18:19:34Z</dcterms:created>
  <dcterms:modified xsi:type="dcterms:W3CDTF">2025-05-07T03:25:13Z</dcterms:modified>
</cp:coreProperties>
</file>