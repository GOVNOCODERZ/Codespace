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vidmi\Desktop\gitRep\Codespace\Файлы\1 курс\2 семестр\Теоретическая информатика\Лабы\21.05.25 - Лаба №8\Дима\"/>
    </mc:Choice>
  </mc:AlternateContent>
  <xr:revisionPtr revIDLastSave="0" documentId="13_ncr:1_{5E268FDD-819B-4222-A3AD-2CE6079EACD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Лист1" sheetId="1" r:id="rId1"/>
    <sheet name="Лист2" sheetId="2" r:id="rId2"/>
    <sheet name="Лист3" sheetId="3" r:id="rId3"/>
    <sheet name="Лист4" sheetId="6" r:id="rId4"/>
    <sheet name="Лист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2" i="6"/>
  <c r="J11" i="6"/>
  <c r="J12" i="6"/>
  <c r="J13" i="6"/>
  <c r="J10" i="6"/>
  <c r="I18" i="6"/>
  <c r="I19" i="6"/>
  <c r="I17" i="6"/>
  <c r="G14" i="6"/>
  <c r="G15" i="6"/>
  <c r="G16" i="6"/>
  <c r="G17" i="6"/>
  <c r="G13" i="6"/>
  <c r="F7" i="6"/>
  <c r="F8" i="6"/>
  <c r="F9" i="6"/>
  <c r="F10" i="6"/>
  <c r="F6" i="6"/>
  <c r="E20" i="6"/>
  <c r="E21" i="6"/>
  <c r="E22" i="6"/>
  <c r="E23" i="6"/>
  <c r="E19" i="6"/>
  <c r="D3" i="6"/>
  <c r="D4" i="6"/>
  <c r="D5" i="6"/>
  <c r="D6" i="6"/>
  <c r="D2" i="6"/>
  <c r="C16" i="6"/>
  <c r="C17" i="6"/>
  <c r="C18" i="6"/>
  <c r="C19" i="6"/>
  <c r="C20" i="6"/>
  <c r="C21" i="6"/>
  <c r="C22" i="6"/>
  <c r="C23" i="6"/>
  <c r="C15" i="6"/>
  <c r="B7" i="6"/>
  <c r="B8" i="6"/>
  <c r="B9" i="6"/>
  <c r="B10" i="6"/>
  <c r="B11" i="6"/>
  <c r="B12" i="6"/>
  <c r="B13" i="6"/>
  <c r="B14" i="6"/>
  <c r="B15" i="6"/>
  <c r="B6" i="6"/>
  <c r="I25" i="4"/>
  <c r="I26" i="4"/>
  <c r="I27" i="4"/>
  <c r="I28" i="4"/>
  <c r="I29" i="4"/>
  <c r="I30" i="4"/>
  <c r="I31" i="4"/>
  <c r="I32" i="4"/>
  <c r="I33" i="4"/>
  <c r="I34" i="4"/>
  <c r="I24" i="4"/>
  <c r="H5" i="4"/>
  <c r="H6" i="4"/>
  <c r="H7" i="4"/>
  <c r="H8" i="4"/>
  <c r="H9" i="4"/>
  <c r="H10" i="4"/>
  <c r="H11" i="4"/>
  <c r="H12" i="4"/>
  <c r="H13" i="4"/>
  <c r="H14" i="4"/>
  <c r="H4" i="4"/>
  <c r="G125" i="4"/>
  <c r="G126" i="4"/>
  <c r="G127" i="4"/>
  <c r="G128" i="4"/>
  <c r="G129" i="4"/>
  <c r="G130" i="4"/>
  <c r="G131" i="4"/>
  <c r="G132" i="4"/>
  <c r="G133" i="4"/>
  <c r="G134" i="4"/>
  <c r="G124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2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09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8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49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8" i="3"/>
  <c r="B9" i="3"/>
  <c r="B10" i="3"/>
  <c r="B11" i="3"/>
  <c r="B12" i="3"/>
  <c r="B13" i="3"/>
  <c r="B14" i="3"/>
  <c r="B15" i="3"/>
  <c r="B16" i="3"/>
  <c r="B17" i="3"/>
  <c r="B33" i="4"/>
  <c r="I7" i="3"/>
  <c r="I8" i="3"/>
  <c r="I9" i="3"/>
  <c r="I10" i="3"/>
  <c r="I4" i="3"/>
  <c r="I5" i="3"/>
  <c r="I6" i="3"/>
  <c r="I3" i="3"/>
  <c r="H3" i="3"/>
  <c r="H4" i="3"/>
  <c r="H5" i="3"/>
  <c r="H6" i="3"/>
  <c r="H7" i="3"/>
  <c r="H8" i="3"/>
  <c r="H9" i="3"/>
  <c r="H2" i="3"/>
  <c r="G16" i="3"/>
  <c r="G17" i="3"/>
  <c r="G15" i="3"/>
  <c r="F3" i="3"/>
  <c r="F4" i="3"/>
  <c r="F2" i="3"/>
  <c r="E3" i="3"/>
  <c r="E4" i="3"/>
  <c r="E5" i="3"/>
  <c r="E6" i="3"/>
  <c r="E2" i="3"/>
  <c r="D5" i="3"/>
  <c r="D6" i="3"/>
  <c r="D7" i="3"/>
  <c r="D8" i="3"/>
  <c r="D4" i="3"/>
  <c r="C7" i="3"/>
  <c r="C8" i="3"/>
  <c r="C9" i="3"/>
  <c r="C10" i="3"/>
  <c r="C11" i="3"/>
  <c r="C12" i="3"/>
  <c r="C13" i="3"/>
  <c r="C14" i="3"/>
  <c r="C15" i="3"/>
  <c r="C6" i="3"/>
  <c r="G18" i="2"/>
  <c r="G19" i="2"/>
  <c r="G20" i="2"/>
  <c r="G17" i="2"/>
  <c r="F3" i="2"/>
  <c r="F4" i="2"/>
  <c r="F5" i="2"/>
  <c r="F2" i="2"/>
  <c r="H11" i="2"/>
  <c r="H12" i="2"/>
  <c r="H10" i="2"/>
  <c r="E13" i="2"/>
  <c r="E14" i="2"/>
  <c r="E15" i="2"/>
  <c r="E16" i="2"/>
  <c r="E17" i="2"/>
  <c r="E18" i="2"/>
  <c r="E19" i="2"/>
  <c r="E20" i="2"/>
  <c r="E12" i="2"/>
  <c r="D3" i="2"/>
  <c r="D4" i="2"/>
  <c r="D5" i="2"/>
  <c r="D6" i="2"/>
  <c r="D7" i="2"/>
  <c r="D8" i="2"/>
  <c r="D9" i="2"/>
  <c r="D10" i="2"/>
  <c r="C13" i="2"/>
  <c r="C14" i="2"/>
  <c r="C15" i="2"/>
  <c r="C16" i="2"/>
  <c r="C17" i="2"/>
  <c r="C18" i="2"/>
  <c r="C19" i="2"/>
  <c r="C20" i="2"/>
  <c r="D2" i="2"/>
  <c r="C12" i="2"/>
  <c r="B3" i="2"/>
  <c r="B4" i="2"/>
  <c r="B5" i="2"/>
  <c r="B6" i="2"/>
  <c r="B7" i="2"/>
  <c r="B8" i="2"/>
  <c r="B9" i="2"/>
  <c r="B10" i="2"/>
  <c r="B2" i="2"/>
  <c r="G11" i="1"/>
  <c r="G12" i="1"/>
  <c r="G13" i="1"/>
  <c r="G14" i="1"/>
  <c r="G10" i="1"/>
  <c r="F14" i="1"/>
  <c r="F11" i="1"/>
  <c r="F12" i="1"/>
  <c r="F13" i="1"/>
  <c r="F10" i="1"/>
  <c r="E19" i="1"/>
  <c r="E20" i="1"/>
  <c r="E21" i="1"/>
  <c r="E22" i="1"/>
  <c r="E23" i="1"/>
  <c r="E24" i="1"/>
  <c r="E25" i="1"/>
  <c r="E26" i="1"/>
  <c r="E18" i="1"/>
  <c r="D3" i="1"/>
  <c r="D4" i="1"/>
  <c r="D5" i="1"/>
  <c r="D6" i="1"/>
  <c r="D7" i="1"/>
  <c r="D8" i="1"/>
  <c r="D9" i="1"/>
  <c r="D10" i="1"/>
  <c r="D2" i="1"/>
  <c r="C11" i="1"/>
  <c r="C12" i="1"/>
  <c r="C13" i="1"/>
  <c r="C14" i="1"/>
  <c r="C15" i="1"/>
  <c r="C16" i="1"/>
  <c r="C17" i="1"/>
  <c r="C18" i="1"/>
  <c r="C1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</calcChain>
</file>

<file path=xl/sharedStrings.xml><?xml version="1.0" encoding="utf-8"?>
<sst xmlns="http://schemas.openxmlformats.org/spreadsheetml/2006/main" count="44" uniqueCount="10">
  <si>
    <t>x</t>
  </si>
  <si>
    <t>y1</t>
  </si>
  <si>
    <t>y2</t>
  </si>
  <si>
    <t>y3</t>
  </si>
  <si>
    <t>y4</t>
  </si>
  <si>
    <t>y5</t>
  </si>
  <si>
    <t>y6</t>
  </si>
  <si>
    <t>y7</t>
  </si>
  <si>
    <t>y8</t>
  </si>
  <si>
    <t>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</si>
</sst>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Лист1!$B$2:$B$26</c:f>
              <c:numCache>
                <c:formatCode>General</c:formatCode>
                <c:ptCount val="25"/>
                <c:pt idx="0">
                  <c:v>4</c:v>
                </c:pt>
                <c:pt idx="1">
                  <c:v>5.2777777777777786</c:v>
                </c:pt>
                <c:pt idx="2">
                  <c:v>6.4444444444444446</c:v>
                </c:pt>
                <c:pt idx="3">
                  <c:v>7.5</c:v>
                </c:pt>
                <c:pt idx="4">
                  <c:v>8.4444444444444446</c:v>
                </c:pt>
                <c:pt idx="5">
                  <c:v>9.2777777777777786</c:v>
                </c:pt>
                <c:pt idx="6">
                  <c:v>10</c:v>
                </c:pt>
                <c:pt idx="7">
                  <c:v>10.611111111111111</c:v>
                </c:pt>
                <c:pt idx="8">
                  <c:v>11.111111111111111</c:v>
                </c:pt>
                <c:pt idx="9">
                  <c:v>11.5</c:v>
                </c:pt>
                <c:pt idx="10">
                  <c:v>11.777777777777779</c:v>
                </c:pt>
                <c:pt idx="11">
                  <c:v>11.944444444444445</c:v>
                </c:pt>
                <c:pt idx="12">
                  <c:v>12</c:v>
                </c:pt>
                <c:pt idx="13">
                  <c:v>11.944444444444445</c:v>
                </c:pt>
                <c:pt idx="14">
                  <c:v>11.777777777777779</c:v>
                </c:pt>
                <c:pt idx="15">
                  <c:v>11.5</c:v>
                </c:pt>
                <c:pt idx="16">
                  <c:v>11.111111111111111</c:v>
                </c:pt>
                <c:pt idx="17">
                  <c:v>10.611111111111111</c:v>
                </c:pt>
                <c:pt idx="18">
                  <c:v>10</c:v>
                </c:pt>
                <c:pt idx="19">
                  <c:v>9.2777777777777786</c:v>
                </c:pt>
                <c:pt idx="20">
                  <c:v>8.4444444444444446</c:v>
                </c:pt>
                <c:pt idx="21">
                  <c:v>7.5</c:v>
                </c:pt>
                <c:pt idx="22">
                  <c:v>6.4444444444444446</c:v>
                </c:pt>
                <c:pt idx="23">
                  <c:v>5.2777777777777786</c:v>
                </c:pt>
                <c:pt idx="2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BC-4EE3-AF21-58A7733BA86C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Лист1!$C$2:$C$26</c:f>
              <c:numCache>
                <c:formatCode>General</c:formatCode>
                <c:ptCount val="25"/>
                <c:pt idx="8">
                  <c:v>4</c:v>
                </c:pt>
                <c:pt idx="9">
                  <c:v>4.875</c:v>
                </c:pt>
                <c:pt idx="10">
                  <c:v>5.5</c:v>
                </c:pt>
                <c:pt idx="11">
                  <c:v>5.875</c:v>
                </c:pt>
                <c:pt idx="12">
                  <c:v>6</c:v>
                </c:pt>
                <c:pt idx="13">
                  <c:v>5.875</c:v>
                </c:pt>
                <c:pt idx="14">
                  <c:v>5.5</c:v>
                </c:pt>
                <c:pt idx="15">
                  <c:v>4.875</c:v>
                </c:pt>
                <c:pt idx="16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BC-4EE3-AF21-58A7733BA86C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Лист1!$D$2:$D$26</c:f>
              <c:numCache>
                <c:formatCode>General</c:formatCode>
                <c:ptCount val="25"/>
                <c:pt idx="0">
                  <c:v>4</c:v>
                </c:pt>
                <c:pt idx="1">
                  <c:v>4.875</c:v>
                </c:pt>
                <c:pt idx="2">
                  <c:v>5.5</c:v>
                </c:pt>
                <c:pt idx="3">
                  <c:v>5.875</c:v>
                </c:pt>
                <c:pt idx="4">
                  <c:v>6</c:v>
                </c:pt>
                <c:pt idx="5">
                  <c:v>5.875</c:v>
                </c:pt>
                <c:pt idx="6">
                  <c:v>5.5</c:v>
                </c:pt>
                <c:pt idx="7">
                  <c:v>4.875</c:v>
                </c:pt>
                <c:pt idx="8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BC-4EE3-AF21-58A7733BA86C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Лист1!$E$2:$E$26</c:f>
              <c:numCache>
                <c:formatCode>General</c:formatCode>
                <c:ptCount val="25"/>
                <c:pt idx="16">
                  <c:v>4</c:v>
                </c:pt>
                <c:pt idx="17">
                  <c:v>4.875</c:v>
                </c:pt>
                <c:pt idx="18">
                  <c:v>5.5</c:v>
                </c:pt>
                <c:pt idx="19">
                  <c:v>5.875</c:v>
                </c:pt>
                <c:pt idx="20">
                  <c:v>6</c:v>
                </c:pt>
                <c:pt idx="21">
                  <c:v>5.875</c:v>
                </c:pt>
                <c:pt idx="22">
                  <c:v>5.5</c:v>
                </c:pt>
                <c:pt idx="23">
                  <c:v>4.875</c:v>
                </c:pt>
                <c:pt idx="2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BC-4EE3-AF21-58A7733BA86C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Лист1!$F$2:$F$26</c:f>
              <c:numCache>
                <c:formatCode>General</c:formatCode>
                <c:ptCount val="25"/>
                <c:pt idx="8">
                  <c:v>-7</c:v>
                </c:pt>
                <c:pt idx="9">
                  <c:v>-9</c:v>
                </c:pt>
                <c:pt idx="10">
                  <c:v>-7</c:v>
                </c:pt>
                <c:pt idx="11">
                  <c:v>-1</c:v>
                </c:pt>
                <c:pt idx="12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BC-4EE3-AF21-58A7733BA86C}"/>
            </c:ext>
          </c:extLst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Лист1!$G$2:$G$26</c:f>
              <c:numCache>
                <c:formatCode>General</c:formatCode>
                <c:ptCount val="25"/>
                <c:pt idx="8">
                  <c:v>-8.5</c:v>
                </c:pt>
                <c:pt idx="9">
                  <c:v>-10</c:v>
                </c:pt>
                <c:pt idx="10">
                  <c:v>-8.5</c:v>
                </c:pt>
                <c:pt idx="11">
                  <c:v>-4</c:v>
                </c:pt>
                <c:pt idx="12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BC-4EE3-AF21-58A7733BA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9968"/>
        <c:axId val="482938888"/>
      </c:scatterChart>
      <c:valAx>
        <c:axId val="48293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938888"/>
        <c:crosses val="autoZero"/>
        <c:crossBetween val="midCat"/>
      </c:valAx>
      <c:valAx>
        <c:axId val="48293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Лист2!$B$2:$B$20</c:f>
              <c:numCache>
                <c:formatCode>General</c:formatCode>
                <c:ptCount val="19"/>
                <c:pt idx="0">
                  <c:v>1</c:v>
                </c:pt>
                <c:pt idx="1">
                  <c:v>1.4375</c:v>
                </c:pt>
                <c:pt idx="2">
                  <c:v>1.75</c:v>
                </c:pt>
                <c:pt idx="3">
                  <c:v>1.9375</c:v>
                </c:pt>
                <c:pt idx="4">
                  <c:v>2</c:v>
                </c:pt>
                <c:pt idx="5">
                  <c:v>1.9375</c:v>
                </c:pt>
                <c:pt idx="6">
                  <c:v>1.75</c:v>
                </c:pt>
                <c:pt idx="7">
                  <c:v>1.4375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8B-4F63-870D-189BDA0B14FC}"/>
            </c:ext>
          </c:extLst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Лист2!$C$2:$C$20</c:f>
              <c:numCache>
                <c:formatCode>General</c:formatCode>
                <c:ptCount val="19"/>
                <c:pt idx="10">
                  <c:v>1</c:v>
                </c:pt>
                <c:pt idx="11">
                  <c:v>1.4375</c:v>
                </c:pt>
                <c:pt idx="12">
                  <c:v>1.75</c:v>
                </c:pt>
                <c:pt idx="13">
                  <c:v>1.9375</c:v>
                </c:pt>
                <c:pt idx="14">
                  <c:v>2</c:v>
                </c:pt>
                <c:pt idx="15">
                  <c:v>1.9375</c:v>
                </c:pt>
                <c:pt idx="16">
                  <c:v>1.75</c:v>
                </c:pt>
                <c:pt idx="17">
                  <c:v>1.4375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8B-4F63-870D-189BDA0B14FC}"/>
            </c:ext>
          </c:extLst>
        </c:ser>
        <c:ser>
          <c:idx val="2"/>
          <c:order val="2"/>
          <c:tx>
            <c:strRef>
              <c:f>Лист2!$D$1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Лист2!$D$2:$D$20</c:f>
              <c:numCache>
                <c:formatCode>General</c:formatCode>
                <c:ptCount val="19"/>
                <c:pt idx="0">
                  <c:v>1</c:v>
                </c:pt>
                <c:pt idx="1">
                  <c:v>-0.75</c:v>
                </c:pt>
                <c:pt idx="2">
                  <c:v>-2</c:v>
                </c:pt>
                <c:pt idx="3">
                  <c:v>-2.75</c:v>
                </c:pt>
                <c:pt idx="4">
                  <c:v>-3</c:v>
                </c:pt>
                <c:pt idx="5">
                  <c:v>-2.75</c:v>
                </c:pt>
                <c:pt idx="6">
                  <c:v>-2</c:v>
                </c:pt>
                <c:pt idx="7">
                  <c:v>-0.75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8B-4F63-870D-189BDA0B14FC}"/>
            </c:ext>
          </c:extLst>
        </c:ser>
        <c:ser>
          <c:idx val="3"/>
          <c:order val="3"/>
          <c:tx>
            <c:strRef>
              <c:f>Лист2!$E$1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Лист2!$E$2:$E$20</c:f>
              <c:numCache>
                <c:formatCode>General</c:formatCode>
                <c:ptCount val="19"/>
                <c:pt idx="10">
                  <c:v>1</c:v>
                </c:pt>
                <c:pt idx="11">
                  <c:v>-0.75</c:v>
                </c:pt>
                <c:pt idx="12">
                  <c:v>-2</c:v>
                </c:pt>
                <c:pt idx="13">
                  <c:v>-2.75</c:v>
                </c:pt>
                <c:pt idx="14">
                  <c:v>-3</c:v>
                </c:pt>
                <c:pt idx="15">
                  <c:v>-2.75</c:v>
                </c:pt>
                <c:pt idx="16">
                  <c:v>-2</c:v>
                </c:pt>
                <c:pt idx="17">
                  <c:v>-0.75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8B-4F63-870D-189BDA0B14FC}"/>
            </c:ext>
          </c:extLst>
        </c:ser>
        <c:ser>
          <c:idx val="4"/>
          <c:order val="4"/>
          <c:tx>
            <c:strRef>
              <c:f>Лист2!$F$1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Лист2!$F$2:$F$20</c:f>
              <c:numCache>
                <c:formatCode>General</c:formatCode>
                <c:ptCount val="19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8B-4F63-870D-189BDA0B14FC}"/>
            </c:ext>
          </c:extLst>
        </c:ser>
        <c:ser>
          <c:idx val="5"/>
          <c:order val="5"/>
          <c:tx>
            <c:strRef>
              <c:f>Лист2!$G$1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Лист2!$G$2:$G$20</c:f>
              <c:numCache>
                <c:formatCode>General</c:formatCode>
                <c:ptCount val="19"/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8B-4F63-870D-189BDA0B14FC}"/>
            </c:ext>
          </c:extLst>
        </c:ser>
        <c:ser>
          <c:idx val="6"/>
          <c:order val="6"/>
          <c:tx>
            <c:strRef>
              <c:f>Лист2!$H$1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Лист2!$H$2:$H$20</c:f>
              <c:numCache>
                <c:formatCode>General</c:formatCode>
                <c:ptCount val="19"/>
                <c:pt idx="8">
                  <c:v>1</c:v>
                </c:pt>
                <c:pt idx="9">
                  <c:v>1.5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C8B-4F63-870D-189BDA0B1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17528"/>
        <c:axId val="176917888"/>
      </c:scatterChart>
      <c:valAx>
        <c:axId val="17691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917888"/>
        <c:crosses val="autoZero"/>
        <c:crossBetween val="midCat"/>
      </c:valAx>
      <c:valAx>
        <c:axId val="1769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917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Лист3!$B$2:$B$17</c:f>
              <c:numCache>
                <c:formatCode>General</c:formatCode>
                <c:ptCount val="16"/>
                <c:pt idx="6">
                  <c:v>6</c:v>
                </c:pt>
                <c:pt idx="7">
                  <c:v>5.8518518518518521</c:v>
                </c:pt>
                <c:pt idx="8">
                  <c:v>5.4074074074074074</c:v>
                </c:pt>
                <c:pt idx="9">
                  <c:v>4.666666666666667</c:v>
                </c:pt>
                <c:pt idx="10">
                  <c:v>3.6296296296296298</c:v>
                </c:pt>
                <c:pt idx="11">
                  <c:v>2.2962962962962967</c:v>
                </c:pt>
                <c:pt idx="12">
                  <c:v>0.66666666666666696</c:v>
                </c:pt>
                <c:pt idx="13">
                  <c:v>-1.2592592592592586</c:v>
                </c:pt>
                <c:pt idx="14">
                  <c:v>-3.481481481481481</c:v>
                </c:pt>
                <c:pt idx="15">
                  <c:v>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04-4D23-A476-35B7BC1FCDCE}"/>
            </c:ext>
          </c:extLst>
        </c:ser>
        <c:ser>
          <c:idx val="1"/>
          <c:order val="1"/>
          <c:tx>
            <c:strRef>
              <c:f>Лист3!$C$1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Лист3!$C$2:$C$17</c:f>
              <c:numCache>
                <c:formatCode>General</c:formatCode>
                <c:ptCount val="16"/>
                <c:pt idx="4">
                  <c:v>5</c:v>
                </c:pt>
                <c:pt idx="5">
                  <c:v>3.1111111111111107</c:v>
                </c:pt>
                <c:pt idx="6">
                  <c:v>1.4444444444444438</c:v>
                </c:pt>
                <c:pt idx="7">
                  <c:v>0</c:v>
                </c:pt>
                <c:pt idx="8">
                  <c:v>-1.2222222222222223</c:v>
                </c:pt>
                <c:pt idx="9">
                  <c:v>-2.2222222222222223</c:v>
                </c:pt>
                <c:pt idx="10">
                  <c:v>-3</c:v>
                </c:pt>
                <c:pt idx="11">
                  <c:v>-3.5555555555555554</c:v>
                </c:pt>
                <c:pt idx="12">
                  <c:v>-3.8888888888888888</c:v>
                </c:pt>
                <c:pt idx="13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04-4D23-A476-35B7BC1FCDCE}"/>
            </c:ext>
          </c:extLst>
        </c:ser>
        <c:ser>
          <c:idx val="2"/>
          <c:order val="2"/>
          <c:tx>
            <c:strRef>
              <c:f>Лист3!$D$1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Лист3!$D$2:$D$17</c:f>
              <c:numCache>
                <c:formatCode>General</c:formatCode>
                <c:ptCount val="16"/>
                <c:pt idx="2">
                  <c:v>6</c:v>
                </c:pt>
                <c:pt idx="3">
                  <c:v>7.5</c:v>
                </c:pt>
                <c:pt idx="4">
                  <c:v>8</c:v>
                </c:pt>
                <c:pt idx="5">
                  <c:v>7.5</c:v>
                </c:pt>
                <c:pt idx="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04-4D23-A476-35B7BC1FCDCE}"/>
            </c:ext>
          </c:extLst>
        </c:ser>
        <c:ser>
          <c:idx val="3"/>
          <c:order val="3"/>
          <c:tx>
            <c:strRef>
              <c:f>Лист3!$E$1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Лист3!$E$2:$E$17</c:f>
              <c:numCache>
                <c:formatCode>General</c:formatCode>
                <c:ptCount val="16"/>
                <c:pt idx="0">
                  <c:v>4</c:v>
                </c:pt>
                <c:pt idx="1">
                  <c:v>4.4375</c:v>
                </c:pt>
                <c:pt idx="2">
                  <c:v>4.75</c:v>
                </c:pt>
                <c:pt idx="3">
                  <c:v>4.9375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04-4D23-A476-35B7BC1FCDCE}"/>
            </c:ext>
          </c:extLst>
        </c:ser>
        <c:ser>
          <c:idx val="4"/>
          <c:order val="4"/>
          <c:tx>
            <c:strRef>
              <c:f>Лист3!$F$1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Лист3!$F$2:$F$17</c:f>
              <c:numCache>
                <c:formatCode>General</c:formatCode>
                <c:ptCount val="16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04-4D23-A476-35B7BC1FCDCE}"/>
            </c:ext>
          </c:extLst>
        </c:ser>
        <c:ser>
          <c:idx val="5"/>
          <c:order val="5"/>
          <c:tx>
            <c:strRef>
              <c:f>Лист3!$G$1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Лист3!$G$2:$G$17</c:f>
              <c:numCache>
                <c:formatCode>General</c:formatCode>
                <c:ptCount val="16"/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04-4D23-A476-35B7BC1FCDCE}"/>
            </c:ext>
          </c:extLst>
        </c:ser>
        <c:ser>
          <c:idx val="6"/>
          <c:order val="6"/>
          <c:tx>
            <c:strRef>
              <c:f>Лист3!$H$1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Лист3!$H$2:$H$17</c:f>
              <c:numCache>
                <c:formatCode>General</c:formatCode>
                <c:ptCount val="16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304-4D23-A476-35B7BC1FCDCE}"/>
            </c:ext>
          </c:extLst>
        </c:ser>
        <c:ser>
          <c:idx val="7"/>
          <c:order val="7"/>
          <c:tx>
            <c:strRef>
              <c:f>Лист3!$I$1</c:f>
              <c:strCache>
                <c:ptCount val="1"/>
                <c:pt idx="0">
                  <c:v>y8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Лист3!$I$2:$I$17</c:f>
              <c:numCache>
                <c:formatCode>General</c:formatCode>
                <c:ptCount val="16"/>
                <c:pt idx="1">
                  <c:v>-5</c:v>
                </c:pt>
                <c:pt idx="2">
                  <c:v>-4.5</c:v>
                </c:pt>
                <c:pt idx="3">
                  <c:v>-4</c:v>
                </c:pt>
                <c:pt idx="4">
                  <c:v>-3.5</c:v>
                </c:pt>
                <c:pt idx="5">
                  <c:v>-3</c:v>
                </c:pt>
                <c:pt idx="6">
                  <c:v>-2.5</c:v>
                </c:pt>
                <c:pt idx="7">
                  <c:v>-2</c:v>
                </c:pt>
                <c:pt idx="8">
                  <c:v>-1.5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304-4D23-A476-35B7BC1F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110744"/>
        <c:axId val="658107864"/>
      </c:scatterChart>
      <c:valAx>
        <c:axId val="65811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07864"/>
        <c:crosses val="autoZero"/>
        <c:crossBetween val="midCat"/>
      </c:valAx>
      <c:valAx>
        <c:axId val="65810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10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Лист4!$B$2:$B$23</c:f>
              <c:numCache>
                <c:formatCode>General</c:formatCode>
                <c:ptCount val="22"/>
                <c:pt idx="4">
                  <c:v>1.875</c:v>
                </c:pt>
                <c:pt idx="5">
                  <c:v>3</c:v>
                </c:pt>
                <c:pt idx="6">
                  <c:v>3.875</c:v>
                </c:pt>
                <c:pt idx="7">
                  <c:v>4.5</c:v>
                </c:pt>
                <c:pt idx="8">
                  <c:v>4.875</c:v>
                </c:pt>
                <c:pt idx="9">
                  <c:v>5</c:v>
                </c:pt>
                <c:pt idx="10">
                  <c:v>4.875</c:v>
                </c:pt>
                <c:pt idx="11">
                  <c:v>4.5</c:v>
                </c:pt>
                <c:pt idx="12">
                  <c:v>3.875</c:v>
                </c:pt>
                <c:pt idx="1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23-4FA6-9D27-CF07BF6EDAD7}"/>
            </c:ext>
          </c:extLst>
        </c:ser>
        <c:ser>
          <c:idx val="1"/>
          <c:order val="1"/>
          <c:tx>
            <c:strRef>
              <c:f>Лист4!$C$1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Лист4!$C$2:$C$23</c:f>
              <c:numCache>
                <c:formatCode>General</c:formatCode>
                <c:ptCount val="22"/>
                <c:pt idx="13">
                  <c:v>3</c:v>
                </c:pt>
                <c:pt idx="14">
                  <c:v>5.1875</c:v>
                </c:pt>
                <c:pt idx="15">
                  <c:v>6.75</c:v>
                </c:pt>
                <c:pt idx="16">
                  <c:v>7.6875</c:v>
                </c:pt>
                <c:pt idx="17">
                  <c:v>8</c:v>
                </c:pt>
                <c:pt idx="18">
                  <c:v>7.6875</c:v>
                </c:pt>
                <c:pt idx="19">
                  <c:v>6.75</c:v>
                </c:pt>
                <c:pt idx="20">
                  <c:v>5.1875</c:v>
                </c:pt>
                <c:pt idx="2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23-4FA6-9D27-CF07BF6EDAD7}"/>
            </c:ext>
          </c:extLst>
        </c:ser>
        <c:ser>
          <c:idx val="2"/>
          <c:order val="2"/>
          <c:tx>
            <c:strRef>
              <c:f>Лист4!$D$1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Лист4!$D$2:$D$23</c:f>
              <c:numCache>
                <c:formatCode>General</c:formatCode>
                <c:ptCount val="22"/>
                <c:pt idx="0">
                  <c:v>1</c:v>
                </c:pt>
                <c:pt idx="1">
                  <c:v>2.5</c:v>
                </c:pt>
                <c:pt idx="2">
                  <c:v>3</c:v>
                </c:pt>
                <c:pt idx="3">
                  <c:v>2.5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23-4FA6-9D27-CF07BF6EDAD7}"/>
            </c:ext>
          </c:extLst>
        </c:ser>
        <c:ser>
          <c:idx val="3"/>
          <c:order val="3"/>
          <c:tx>
            <c:strRef>
              <c:f>Лист4!$E$1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Лист4!$E$2:$E$23</c:f>
              <c:numCache>
                <c:formatCode>General</c:formatCode>
                <c:ptCount val="22"/>
                <c:pt idx="17">
                  <c:v>3</c:v>
                </c:pt>
                <c:pt idx="18">
                  <c:v>1.5</c:v>
                </c:pt>
                <c:pt idx="19">
                  <c:v>1</c:v>
                </c:pt>
                <c:pt idx="20">
                  <c:v>1.5</c:v>
                </c:pt>
                <c:pt idx="2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23-4FA6-9D27-CF07BF6EDAD7}"/>
            </c:ext>
          </c:extLst>
        </c:ser>
        <c:ser>
          <c:idx val="4"/>
          <c:order val="4"/>
          <c:tx>
            <c:strRef>
              <c:f>Лист4!$F$1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Лист4!$F$2:$F$23</c:f>
              <c:numCache>
                <c:formatCode>General</c:formatCode>
                <c:ptCount val="22"/>
                <c:pt idx="4">
                  <c:v>-3</c:v>
                </c:pt>
                <c:pt idx="5">
                  <c:v>-6</c:v>
                </c:pt>
                <c:pt idx="6">
                  <c:v>-7</c:v>
                </c:pt>
                <c:pt idx="7">
                  <c:v>-6</c:v>
                </c:pt>
                <c:pt idx="8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23-4FA6-9D27-CF07BF6EDAD7}"/>
            </c:ext>
          </c:extLst>
        </c:ser>
        <c:ser>
          <c:idx val="5"/>
          <c:order val="5"/>
          <c:tx>
            <c:strRef>
              <c:f>Лист4!$G$1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Лист4!$G$2:$G$23</c:f>
              <c:numCache>
                <c:formatCode>General</c:formatCode>
                <c:ptCount val="22"/>
                <c:pt idx="11">
                  <c:v>-3</c:v>
                </c:pt>
                <c:pt idx="12">
                  <c:v>-6</c:v>
                </c:pt>
                <c:pt idx="13">
                  <c:v>-7</c:v>
                </c:pt>
                <c:pt idx="14">
                  <c:v>-6</c:v>
                </c:pt>
                <c:pt idx="15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23-4FA6-9D27-CF07BF6EDAD7}"/>
            </c:ext>
          </c:extLst>
        </c:ser>
        <c:ser>
          <c:idx val="6"/>
          <c:order val="6"/>
          <c:tx>
            <c:strRef>
              <c:f>Лист4!$H$1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Лист4!$H$2:$H$23</c:f>
              <c:numCache>
                <c:formatCode>General</c:formatCode>
                <c:ptCount val="22"/>
                <c:pt idx="0">
                  <c:v>1</c:v>
                </c:pt>
                <c:pt idx="1">
                  <c:v>0</c:v>
                </c:pt>
                <c:pt idx="2">
                  <c:v>-1</c:v>
                </c:pt>
                <c:pt idx="3">
                  <c:v>-2</c:v>
                </c:pt>
                <c:pt idx="4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123-4FA6-9D27-CF07BF6EDAD7}"/>
            </c:ext>
          </c:extLst>
        </c:ser>
        <c:ser>
          <c:idx val="7"/>
          <c:order val="7"/>
          <c:tx>
            <c:strRef>
              <c:f>Лист4!$I$1</c:f>
              <c:strCache>
                <c:ptCount val="1"/>
                <c:pt idx="0">
                  <c:v>y8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Лист4!$I$2:$I$23</c:f>
              <c:numCache>
                <c:formatCode>General</c:formatCode>
                <c:ptCount val="22"/>
                <c:pt idx="15">
                  <c:v>-3</c:v>
                </c:pt>
                <c:pt idx="16">
                  <c:v>0</c:v>
                </c:pt>
                <c:pt idx="17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123-4FA6-9D27-CF07BF6EDAD7}"/>
            </c:ext>
          </c:extLst>
        </c:ser>
        <c:ser>
          <c:idx val="8"/>
          <c:order val="8"/>
          <c:tx>
            <c:strRef>
              <c:f>Лист4!$J$1</c:f>
              <c:strCache>
                <c:ptCount val="1"/>
                <c:pt idx="0">
                  <c:v>y9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Лист4!$J$2:$J$23</c:f>
              <c:numCache>
                <c:formatCode>General</c:formatCode>
                <c:ptCount val="22"/>
                <c:pt idx="8">
                  <c:v>-3</c:v>
                </c:pt>
                <c:pt idx="9">
                  <c:v>-3.8888888888888888</c:v>
                </c:pt>
                <c:pt idx="10">
                  <c:v>-3.8888888888888888</c:v>
                </c:pt>
                <c:pt idx="11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123-4FA6-9D27-CF07BF6ED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269000"/>
        <c:axId val="721269360"/>
      </c:scatterChart>
      <c:valAx>
        <c:axId val="721269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1269360"/>
        <c:crosses val="autoZero"/>
        <c:crossBetween val="midCat"/>
      </c:valAx>
      <c:valAx>
        <c:axId val="7212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1269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Лист5!$B$1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Лист5!$B$2:$B$134</c:f>
              <c:numCache>
                <c:formatCode>General</c:formatCode>
                <c:ptCount val="133"/>
                <c:pt idx="31">
                  <c:v>3.4608000000000221</c:v>
                </c:pt>
                <c:pt idx="32">
                  <c:v>3.570000000000022</c:v>
                </c:pt>
                <c:pt idx="33">
                  <c:v>3.6768000000000214</c:v>
                </c:pt>
                <c:pt idx="34">
                  <c:v>3.7812000000000201</c:v>
                </c:pt>
                <c:pt idx="35">
                  <c:v>3.8832000000000204</c:v>
                </c:pt>
                <c:pt idx="36">
                  <c:v>3.9828000000000197</c:v>
                </c:pt>
                <c:pt idx="37">
                  <c:v>4.0800000000000196</c:v>
                </c:pt>
                <c:pt idx="38">
                  <c:v>4.1748000000000189</c:v>
                </c:pt>
                <c:pt idx="39">
                  <c:v>4.2672000000000185</c:v>
                </c:pt>
                <c:pt idx="40">
                  <c:v>4.3572000000000175</c:v>
                </c:pt>
                <c:pt idx="41">
                  <c:v>4.4448000000000167</c:v>
                </c:pt>
                <c:pt idx="42">
                  <c:v>4.5300000000000171</c:v>
                </c:pt>
                <c:pt idx="43">
                  <c:v>4.612800000000016</c:v>
                </c:pt>
                <c:pt idx="44">
                  <c:v>4.693200000000016</c:v>
                </c:pt>
                <c:pt idx="45">
                  <c:v>4.7712000000000154</c:v>
                </c:pt>
                <c:pt idx="46">
                  <c:v>4.8468000000000151</c:v>
                </c:pt>
                <c:pt idx="47">
                  <c:v>4.9200000000000212</c:v>
                </c:pt>
                <c:pt idx="48">
                  <c:v>4.9908000000000214</c:v>
                </c:pt>
                <c:pt idx="49">
                  <c:v>5.0592000000000201</c:v>
                </c:pt>
                <c:pt idx="50">
                  <c:v>5.1252000000000191</c:v>
                </c:pt>
                <c:pt idx="51">
                  <c:v>5.1888000000000192</c:v>
                </c:pt>
                <c:pt idx="52">
                  <c:v>5.2500000000000178</c:v>
                </c:pt>
                <c:pt idx="53">
                  <c:v>5.3088000000000175</c:v>
                </c:pt>
                <c:pt idx="54">
                  <c:v>5.3652000000000166</c:v>
                </c:pt>
                <c:pt idx="55">
                  <c:v>5.419200000000016</c:v>
                </c:pt>
                <c:pt idx="56">
                  <c:v>5.4708000000000148</c:v>
                </c:pt>
                <c:pt idx="57">
                  <c:v>5.5200000000000147</c:v>
                </c:pt>
                <c:pt idx="58">
                  <c:v>5.566800000000014</c:v>
                </c:pt>
                <c:pt idx="59">
                  <c:v>5.6112000000000126</c:v>
                </c:pt>
                <c:pt idx="60">
                  <c:v>5.6532000000000124</c:v>
                </c:pt>
                <c:pt idx="61">
                  <c:v>5.6928000000000116</c:v>
                </c:pt>
                <c:pt idx="62">
                  <c:v>5.7300000000000111</c:v>
                </c:pt>
                <c:pt idx="63">
                  <c:v>5.7648000000000099</c:v>
                </c:pt>
                <c:pt idx="64">
                  <c:v>5.797200000000009</c:v>
                </c:pt>
                <c:pt idx="65">
                  <c:v>5.8272000000000084</c:v>
                </c:pt>
                <c:pt idx="66">
                  <c:v>5.8548000000000107</c:v>
                </c:pt>
                <c:pt idx="67">
                  <c:v>5.8800000000000097</c:v>
                </c:pt>
                <c:pt idx="68">
                  <c:v>5.9028000000000089</c:v>
                </c:pt>
                <c:pt idx="69">
                  <c:v>5.9232000000000076</c:v>
                </c:pt>
                <c:pt idx="70">
                  <c:v>5.9412000000000065</c:v>
                </c:pt>
                <c:pt idx="71">
                  <c:v>5.9568000000000056</c:v>
                </c:pt>
                <c:pt idx="72">
                  <c:v>5.9700000000000051</c:v>
                </c:pt>
                <c:pt idx="73">
                  <c:v>5.9808000000000039</c:v>
                </c:pt>
                <c:pt idx="74">
                  <c:v>5.989200000000003</c:v>
                </c:pt>
                <c:pt idx="75">
                  <c:v>5.9952000000000023</c:v>
                </c:pt>
                <c:pt idx="76">
                  <c:v>5.998800000000001</c:v>
                </c:pt>
                <c:pt idx="77">
                  <c:v>6</c:v>
                </c:pt>
                <c:pt idx="78">
                  <c:v>5.9987999999999992</c:v>
                </c:pt>
                <c:pt idx="79">
                  <c:v>5.9951999999999979</c:v>
                </c:pt>
                <c:pt idx="80">
                  <c:v>5.9891999999999967</c:v>
                </c:pt>
                <c:pt idx="81">
                  <c:v>5.9807999999999959</c:v>
                </c:pt>
                <c:pt idx="82">
                  <c:v>5.9699999999999953</c:v>
                </c:pt>
                <c:pt idx="83">
                  <c:v>5.9567999999999941</c:v>
                </c:pt>
                <c:pt idx="84">
                  <c:v>5.9411999999999932</c:v>
                </c:pt>
                <c:pt idx="85">
                  <c:v>5.9231999999999907</c:v>
                </c:pt>
                <c:pt idx="86">
                  <c:v>5.9027999999999894</c:v>
                </c:pt>
                <c:pt idx="87">
                  <c:v>5.8799999999999883</c:v>
                </c:pt>
                <c:pt idx="88">
                  <c:v>5.8547999999999867</c:v>
                </c:pt>
                <c:pt idx="89">
                  <c:v>5.8271999999999853</c:v>
                </c:pt>
                <c:pt idx="90">
                  <c:v>5.7971999999999841</c:v>
                </c:pt>
                <c:pt idx="91">
                  <c:v>5.7647999999999833</c:v>
                </c:pt>
                <c:pt idx="92">
                  <c:v>5.7299999999999818</c:v>
                </c:pt>
                <c:pt idx="93">
                  <c:v>5.6927999999999805</c:v>
                </c:pt>
                <c:pt idx="94">
                  <c:v>5.6531999999999796</c:v>
                </c:pt>
                <c:pt idx="95">
                  <c:v>5.6111999999999789</c:v>
                </c:pt>
                <c:pt idx="96">
                  <c:v>5.5667999999999775</c:v>
                </c:pt>
                <c:pt idx="97">
                  <c:v>5.5199999999999756</c:v>
                </c:pt>
                <c:pt idx="98">
                  <c:v>5.4707999999999748</c:v>
                </c:pt>
                <c:pt idx="99">
                  <c:v>5.4191999999999734</c:v>
                </c:pt>
                <c:pt idx="100">
                  <c:v>5.3651999999999447</c:v>
                </c:pt>
                <c:pt idx="101">
                  <c:v>5.3087999999999429</c:v>
                </c:pt>
                <c:pt idx="102">
                  <c:v>5.2499999999999405</c:v>
                </c:pt>
                <c:pt idx="103">
                  <c:v>5.1887999999999375</c:v>
                </c:pt>
                <c:pt idx="104">
                  <c:v>5.1251999999999356</c:v>
                </c:pt>
                <c:pt idx="105">
                  <c:v>5.0591999999999331</c:v>
                </c:pt>
                <c:pt idx="106">
                  <c:v>4.9907999999999308</c:v>
                </c:pt>
                <c:pt idx="107">
                  <c:v>4.919999999999928</c:v>
                </c:pt>
                <c:pt idx="108">
                  <c:v>4.8467999999999254</c:v>
                </c:pt>
                <c:pt idx="109">
                  <c:v>4.7711999999999231</c:v>
                </c:pt>
                <c:pt idx="110">
                  <c:v>4.693199999999921</c:v>
                </c:pt>
                <c:pt idx="111">
                  <c:v>4.6127999999999183</c:v>
                </c:pt>
                <c:pt idx="112">
                  <c:v>4.5299999999999159</c:v>
                </c:pt>
                <c:pt idx="113">
                  <c:v>4.4447999999999137</c:v>
                </c:pt>
                <c:pt idx="114">
                  <c:v>4.3571999999999109</c:v>
                </c:pt>
                <c:pt idx="115">
                  <c:v>4.2671999999999084</c:v>
                </c:pt>
                <c:pt idx="116">
                  <c:v>4.174799999999907</c:v>
                </c:pt>
                <c:pt idx="117">
                  <c:v>4.0799999999999041</c:v>
                </c:pt>
                <c:pt idx="118">
                  <c:v>3.9827999999999015</c:v>
                </c:pt>
                <c:pt idx="119">
                  <c:v>3.8831999999998996</c:v>
                </c:pt>
                <c:pt idx="120">
                  <c:v>3.7811999999998966</c:v>
                </c:pt>
                <c:pt idx="121">
                  <c:v>3.6767999999998948</c:v>
                </c:pt>
                <c:pt idx="122">
                  <c:v>3.5699999999998919</c:v>
                </c:pt>
                <c:pt idx="123">
                  <c:v>3.4607999999998897</c:v>
                </c:pt>
                <c:pt idx="124">
                  <c:v>3.3491999999998874</c:v>
                </c:pt>
                <c:pt idx="125">
                  <c:v>3.2351999999998848</c:v>
                </c:pt>
                <c:pt idx="126">
                  <c:v>3.1187999999998826</c:v>
                </c:pt>
                <c:pt idx="127">
                  <c:v>2.9999999999998801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C1-4572-A541-1181654C5608}"/>
            </c:ext>
          </c:extLst>
        </c:ser>
        <c:ser>
          <c:idx val="1"/>
          <c:order val="1"/>
          <c:tx>
            <c:strRef>
              <c:f>Лист5!$C$1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Лист5!$C$2:$C$134</c:f>
              <c:numCache>
                <c:formatCode>General</c:formatCode>
                <c:ptCount val="133"/>
                <c:pt idx="47">
                  <c:v>-0.9999999999999396</c:v>
                </c:pt>
                <c:pt idx="48">
                  <c:v>-0.80333333333327506</c:v>
                </c:pt>
                <c:pt idx="49">
                  <c:v>-0.61333333333327733</c:v>
                </c:pt>
                <c:pt idx="50">
                  <c:v>-0.42999999999994554</c:v>
                </c:pt>
                <c:pt idx="51">
                  <c:v>-0.25333333333328101</c:v>
                </c:pt>
                <c:pt idx="52">
                  <c:v>-8.3333333333282855E-2</c:v>
                </c:pt>
                <c:pt idx="53">
                  <c:v>8.0000000000047811E-2</c:v>
                </c:pt>
                <c:pt idx="54">
                  <c:v>0.23666666666671254</c:v>
                </c:pt>
                <c:pt idx="55">
                  <c:v>0.3866666666667109</c:v>
                </c:pt>
                <c:pt idx="56">
                  <c:v>0.53000000000004244</c:v>
                </c:pt>
                <c:pt idx="57">
                  <c:v>0.66666666666670671</c:v>
                </c:pt>
                <c:pt idx="58">
                  <c:v>0.79666666666670483</c:v>
                </c:pt>
                <c:pt idx="59">
                  <c:v>0.9200000000000359</c:v>
                </c:pt>
                <c:pt idx="60">
                  <c:v>1.0366666666667008</c:v>
                </c:pt>
                <c:pt idx="61">
                  <c:v>1.1466666666666989</c:v>
                </c:pt>
                <c:pt idx="62">
                  <c:v>1.25000000000003</c:v>
                </c:pt>
                <c:pt idx="63">
                  <c:v>1.3466666666666947</c:v>
                </c:pt>
                <c:pt idx="64">
                  <c:v>1.4366666666666927</c:v>
                </c:pt>
                <c:pt idx="65">
                  <c:v>1.520000000000024</c:v>
                </c:pt>
                <c:pt idx="66">
                  <c:v>1.596666666666696</c:v>
                </c:pt>
                <c:pt idx="67">
                  <c:v>1.6666666666666934</c:v>
                </c:pt>
                <c:pt idx="68">
                  <c:v>1.730000000000024</c:v>
                </c:pt>
                <c:pt idx="69">
                  <c:v>1.7866666666666879</c:v>
                </c:pt>
                <c:pt idx="70">
                  <c:v>1.8366666666666853</c:v>
                </c:pt>
                <c:pt idx="71">
                  <c:v>1.8800000000000157</c:v>
                </c:pt>
                <c:pt idx="72">
                  <c:v>1.9166666666666801</c:v>
                </c:pt>
                <c:pt idx="73">
                  <c:v>1.9466666666666774</c:v>
                </c:pt>
                <c:pt idx="74">
                  <c:v>1.970000000000008</c:v>
                </c:pt>
                <c:pt idx="75">
                  <c:v>1.9866666666666719</c:v>
                </c:pt>
                <c:pt idx="76">
                  <c:v>1.9966666666666693</c:v>
                </c:pt>
                <c:pt idx="77">
                  <c:v>2</c:v>
                </c:pt>
                <c:pt idx="78">
                  <c:v>1.9966666666666639</c:v>
                </c:pt>
                <c:pt idx="79">
                  <c:v>1.9866666666666613</c:v>
                </c:pt>
                <c:pt idx="80">
                  <c:v>1.9699999999999918</c:v>
                </c:pt>
                <c:pt idx="81">
                  <c:v>1.9466666666666561</c:v>
                </c:pt>
                <c:pt idx="82">
                  <c:v>1.9166666666666534</c:v>
                </c:pt>
                <c:pt idx="83">
                  <c:v>1.8799999999999839</c:v>
                </c:pt>
                <c:pt idx="84">
                  <c:v>1.8366666666666485</c:v>
                </c:pt>
                <c:pt idx="85">
                  <c:v>1.78666666666664</c:v>
                </c:pt>
                <c:pt idx="86">
                  <c:v>1.7299999999999707</c:v>
                </c:pt>
                <c:pt idx="87">
                  <c:v>1.6666666666666334</c:v>
                </c:pt>
                <c:pt idx="88">
                  <c:v>1.59666666666663</c:v>
                </c:pt>
                <c:pt idx="89">
                  <c:v>1.51999999999996</c:v>
                </c:pt>
                <c:pt idx="90">
                  <c:v>1.4366666666666235</c:v>
                </c:pt>
                <c:pt idx="91">
                  <c:v>1.34666666666662</c:v>
                </c:pt>
                <c:pt idx="92">
                  <c:v>1.24999999999995</c:v>
                </c:pt>
                <c:pt idx="93">
                  <c:v>1.1466666666666132</c:v>
                </c:pt>
                <c:pt idx="94">
                  <c:v>1.0366666666666102</c:v>
                </c:pt>
                <c:pt idx="95">
                  <c:v>0.91999999999993998</c:v>
                </c:pt>
                <c:pt idx="96">
                  <c:v>0.79666666666660335</c:v>
                </c:pt>
                <c:pt idx="97">
                  <c:v>0.66666666666659991</c:v>
                </c:pt>
                <c:pt idx="98">
                  <c:v>0.52999999999993053</c:v>
                </c:pt>
                <c:pt idx="99">
                  <c:v>0.38666666666659366</c:v>
                </c:pt>
                <c:pt idx="100">
                  <c:v>0.23666666666651315</c:v>
                </c:pt>
                <c:pt idx="101">
                  <c:v>7.9999999999840199E-2</c:v>
                </c:pt>
                <c:pt idx="102">
                  <c:v>-8.3333333333499571E-2</c:v>
                </c:pt>
                <c:pt idx="103">
                  <c:v>-0.25333333333350661</c:v>
                </c:pt>
                <c:pt idx="104">
                  <c:v>-0.43000000000018002</c:v>
                </c:pt>
                <c:pt idx="105">
                  <c:v>-0.61333333333352025</c:v>
                </c:pt>
                <c:pt idx="106">
                  <c:v>-0.80333333333352641</c:v>
                </c:pt>
                <c:pt idx="107">
                  <c:v>-1.0000000000001998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C1-4572-A541-1181654C5608}"/>
            </c:ext>
          </c:extLst>
        </c:ser>
        <c:ser>
          <c:idx val="2"/>
          <c:order val="2"/>
          <c:tx>
            <c:strRef>
              <c:f>Лист5!$D$1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Лист5!$D$2:$D$134</c:f>
              <c:numCache>
                <c:formatCode>General</c:formatCode>
                <c:ptCount val="133"/>
                <c:pt idx="26">
                  <c:v>0.25999999999986656</c:v>
                </c:pt>
                <c:pt idx="27">
                  <c:v>-1.0000000000001172</c:v>
                </c:pt>
                <c:pt idx="28">
                  <c:v>-2.1400000000001116</c:v>
                </c:pt>
                <c:pt idx="29">
                  <c:v>-3.1600000000001893</c:v>
                </c:pt>
                <c:pt idx="30">
                  <c:v>-4.0600000000001701</c:v>
                </c:pt>
                <c:pt idx="31">
                  <c:v>-4.8400000000001437</c:v>
                </c:pt>
                <c:pt idx="32">
                  <c:v>-5.5000000000001226</c:v>
                </c:pt>
                <c:pt idx="33">
                  <c:v>-6.0400000000000968</c:v>
                </c:pt>
                <c:pt idx="34">
                  <c:v>-6.460000000000071</c:v>
                </c:pt>
                <c:pt idx="35">
                  <c:v>-6.7600000000000486</c:v>
                </c:pt>
                <c:pt idx="36">
                  <c:v>-6.9400000000000235</c:v>
                </c:pt>
                <c:pt idx="37">
                  <c:v>-7</c:v>
                </c:pt>
                <c:pt idx="38">
                  <c:v>-6.9399999999999755</c:v>
                </c:pt>
                <c:pt idx="39">
                  <c:v>-6.7599999999999518</c:v>
                </c:pt>
                <c:pt idx="40">
                  <c:v>-6.4599999999999289</c:v>
                </c:pt>
                <c:pt idx="41">
                  <c:v>-6.039999999999905</c:v>
                </c:pt>
                <c:pt idx="42">
                  <c:v>-5.4999999999998801</c:v>
                </c:pt>
                <c:pt idx="43">
                  <c:v>-4.839999999999856</c:v>
                </c:pt>
                <c:pt idx="44">
                  <c:v>-4.05999999999983</c:v>
                </c:pt>
                <c:pt idx="45">
                  <c:v>-3.1599999999998101</c:v>
                </c:pt>
                <c:pt idx="46">
                  <c:v>-2.1399999999997856</c:v>
                </c:pt>
                <c:pt idx="47">
                  <c:v>-0.99999999999963762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C1-4572-A541-1181654C5608}"/>
            </c:ext>
          </c:extLst>
        </c:ser>
        <c:ser>
          <c:idx val="3"/>
          <c:order val="3"/>
          <c:tx>
            <c:strRef>
              <c:f>Лист5!$E$1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Лист5!$E$2:$E$134</c:f>
              <c:numCache>
                <c:formatCode>General</c:formatCode>
                <c:ptCount val="133"/>
                <c:pt idx="107">
                  <c:v>-1.000000000001199</c:v>
                </c:pt>
                <c:pt idx="108">
                  <c:v>-2.1400000000010806</c:v>
                </c:pt>
                <c:pt idx="109">
                  <c:v>-3.1600000000009612</c:v>
                </c:pt>
                <c:pt idx="110">
                  <c:v>-4.0600000000008416</c:v>
                </c:pt>
                <c:pt idx="111">
                  <c:v>-4.8400000000007193</c:v>
                </c:pt>
                <c:pt idx="112">
                  <c:v>-5.5000000000005995</c:v>
                </c:pt>
                <c:pt idx="113">
                  <c:v>-6.0400000000004805</c:v>
                </c:pt>
                <c:pt idx="114">
                  <c:v>-6.4600000000003606</c:v>
                </c:pt>
                <c:pt idx="115">
                  <c:v>-6.7600000000002405</c:v>
                </c:pt>
                <c:pt idx="116">
                  <c:v>-6.9400000000001194</c:v>
                </c:pt>
                <c:pt idx="117">
                  <c:v>-7</c:v>
                </c:pt>
                <c:pt idx="118">
                  <c:v>-6.9399999999998796</c:v>
                </c:pt>
                <c:pt idx="119">
                  <c:v>-6.7599999999997609</c:v>
                </c:pt>
                <c:pt idx="120">
                  <c:v>-6.4599999999996394</c:v>
                </c:pt>
                <c:pt idx="121">
                  <c:v>-6.0399999999995213</c:v>
                </c:pt>
                <c:pt idx="122">
                  <c:v>-5.4999999999993978</c:v>
                </c:pt>
                <c:pt idx="123">
                  <c:v>-4.8399999999992804</c:v>
                </c:pt>
                <c:pt idx="124">
                  <c:v>-4.0599999999991629</c:v>
                </c:pt>
                <c:pt idx="125">
                  <c:v>-3.1599999999990382</c:v>
                </c:pt>
                <c:pt idx="126">
                  <c:v>-2.1399999999989223</c:v>
                </c:pt>
                <c:pt idx="127">
                  <c:v>-0.99999999999879563</c:v>
                </c:pt>
                <c:pt idx="128">
                  <c:v>0.26000000000131962</c:v>
                </c:pt>
                <c:pt idx="129">
                  <c:v>1.6400000000014341</c:v>
                </c:pt>
                <c:pt idx="130">
                  <c:v>3.140000000001562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C1-4572-A541-1181654C5608}"/>
            </c:ext>
          </c:extLst>
        </c:ser>
        <c:ser>
          <c:idx val="4"/>
          <c:order val="4"/>
          <c:tx>
            <c:strRef>
              <c:f>Лист5!$F$1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Лист5!$F$2:$F$134</c:f>
              <c:numCache>
                <c:formatCode>General</c:formatCode>
                <c:ptCount val="133"/>
                <c:pt idx="0">
                  <c:v>2.8900000000000006</c:v>
                </c:pt>
                <c:pt idx="1">
                  <c:v>2.5599999999999987</c:v>
                </c:pt>
                <c:pt idx="2">
                  <c:v>2.25</c:v>
                </c:pt>
                <c:pt idx="3">
                  <c:v>1.9600000000000011</c:v>
                </c:pt>
                <c:pt idx="4">
                  <c:v>1.6899999999999995</c:v>
                </c:pt>
                <c:pt idx="5">
                  <c:v>1.4400000000000004</c:v>
                </c:pt>
                <c:pt idx="6">
                  <c:v>1.2099999999999993</c:v>
                </c:pt>
                <c:pt idx="7">
                  <c:v>1</c:v>
                </c:pt>
                <c:pt idx="8">
                  <c:v>0.81000000000000061</c:v>
                </c:pt>
                <c:pt idx="9">
                  <c:v>0.63999999999999968</c:v>
                </c:pt>
                <c:pt idx="10">
                  <c:v>0.48999999999998656</c:v>
                </c:pt>
                <c:pt idx="11">
                  <c:v>0.35999999999998783</c:v>
                </c:pt>
                <c:pt idx="12">
                  <c:v>0.24999999999999023</c:v>
                </c:pt>
                <c:pt idx="13">
                  <c:v>0.15999999999999176</c:v>
                </c:pt>
                <c:pt idx="14">
                  <c:v>8.9999999999994029E-2</c:v>
                </c:pt>
                <c:pt idx="15">
                  <c:v>3.9999999999996164E-2</c:v>
                </c:pt>
                <c:pt idx="16">
                  <c:v>9.9999999999979758E-3</c:v>
                </c:pt>
                <c:pt idx="17">
                  <c:v>9.5452169531742428E-29</c:v>
                </c:pt>
                <c:pt idx="18">
                  <c:v>1.0000000000002061E-2</c:v>
                </c:pt>
                <c:pt idx="19">
                  <c:v>4.0000000000003977E-2</c:v>
                </c:pt>
                <c:pt idx="20">
                  <c:v>9.0000000000005756E-2</c:v>
                </c:pt>
                <c:pt idx="21">
                  <c:v>0.16000000000000811</c:v>
                </c:pt>
                <c:pt idx="22">
                  <c:v>0.25000000000000977</c:v>
                </c:pt>
                <c:pt idx="23">
                  <c:v>0.36000000000001237</c:v>
                </c:pt>
                <c:pt idx="24">
                  <c:v>0.49000000000001392</c:v>
                </c:pt>
                <c:pt idx="25">
                  <c:v>0.64000000000001533</c:v>
                </c:pt>
                <c:pt idx="26">
                  <c:v>0.81000000000001826</c:v>
                </c:pt>
                <c:pt idx="27">
                  <c:v>1.0000000000000195</c:v>
                </c:pt>
                <c:pt idx="28">
                  <c:v>1.2100000000000226</c:v>
                </c:pt>
                <c:pt idx="29">
                  <c:v>1.4400000000000472</c:v>
                </c:pt>
                <c:pt idx="30">
                  <c:v>1.6900000000000526</c:v>
                </c:pt>
                <c:pt idx="31">
                  <c:v>1.9600000000000557</c:v>
                </c:pt>
                <c:pt idx="32">
                  <c:v>2.2500000000000613</c:v>
                </c:pt>
                <c:pt idx="33">
                  <c:v>2.5600000000000644</c:v>
                </c:pt>
                <c:pt idx="34">
                  <c:v>2.8900000000000672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C1-4572-A541-1181654C5608}"/>
            </c:ext>
          </c:extLst>
        </c:ser>
        <c:ser>
          <c:idx val="5"/>
          <c:order val="5"/>
          <c:tx>
            <c:strRef>
              <c:f>Лист5!$G$1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Лист5!$G$2:$G$134</c:f>
              <c:numCache>
                <c:formatCode>General</c:formatCode>
                <c:ptCount val="133"/>
                <c:pt idx="122">
                  <c:v>3.0000000000024087</c:v>
                </c:pt>
                <c:pt idx="123">
                  <c:v>5.1600000000019204</c:v>
                </c:pt>
                <c:pt idx="124">
                  <c:v>6.8400000000014352</c:v>
                </c:pt>
                <c:pt idx="125">
                  <c:v>8.0400000000009619</c:v>
                </c:pt>
                <c:pt idx="126">
                  <c:v>8.7600000000004794</c:v>
                </c:pt>
                <c:pt idx="127">
                  <c:v>9</c:v>
                </c:pt>
                <c:pt idx="128">
                  <c:v>8.7599999999995202</c:v>
                </c:pt>
                <c:pt idx="129">
                  <c:v>8.0399999999990435</c:v>
                </c:pt>
                <c:pt idx="130">
                  <c:v>6.8399999999985575</c:v>
                </c:pt>
                <c:pt idx="131">
                  <c:v>5.1599999999980835</c:v>
                </c:pt>
                <c:pt idx="132">
                  <c:v>2.9999999999975913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1C1-4572-A541-1181654C5608}"/>
            </c:ext>
          </c:extLst>
        </c:ser>
        <c:ser>
          <c:idx val="6"/>
          <c:order val="6"/>
          <c:tx>
            <c:strRef>
              <c:f>Лист5!$H$1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Лист5!$H$2:$H$134</c:f>
              <c:numCache>
                <c:formatCode>General</c:formatCode>
                <c:ptCount val="133"/>
                <c:pt idx="2">
                  <c:v>3</c:v>
                </c:pt>
                <c:pt idx="3">
                  <c:v>3.359999999999999</c:v>
                </c:pt>
                <c:pt idx="4">
                  <c:v>3.6400000000000006</c:v>
                </c:pt>
                <c:pt idx="5">
                  <c:v>3.84</c:v>
                </c:pt>
                <c:pt idx="6">
                  <c:v>3.9600000000000004</c:v>
                </c:pt>
                <c:pt idx="7">
                  <c:v>4</c:v>
                </c:pt>
                <c:pt idx="8">
                  <c:v>3.9600000000000004</c:v>
                </c:pt>
                <c:pt idx="9">
                  <c:v>3.84</c:v>
                </c:pt>
                <c:pt idx="10">
                  <c:v>3.639999999999977</c:v>
                </c:pt>
                <c:pt idx="11">
                  <c:v>3.3599999999999675</c:v>
                </c:pt>
                <c:pt idx="12">
                  <c:v>2.9999999999999609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1C1-4572-A541-1181654C5608}"/>
            </c:ext>
          </c:extLst>
        </c:ser>
        <c:ser>
          <c:idx val="7"/>
          <c:order val="7"/>
          <c:tx>
            <c:strRef>
              <c:f>Лист5!$I$1</c:f>
              <c:strCache>
                <c:ptCount val="1"/>
                <c:pt idx="0">
                  <c:v>y8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Лист5!$I$2:$I$134</c:f>
              <c:numCache>
                <c:formatCode>General</c:formatCode>
                <c:ptCount val="133"/>
                <c:pt idx="22">
                  <c:v>3.0000000000000391</c:v>
                </c:pt>
                <c:pt idx="23">
                  <c:v>3.3600000000000332</c:v>
                </c:pt>
                <c:pt idx="24">
                  <c:v>3.6400000000000237</c:v>
                </c:pt>
                <c:pt idx="25">
                  <c:v>3.8400000000000154</c:v>
                </c:pt>
                <c:pt idx="26">
                  <c:v>3.960000000000008</c:v>
                </c:pt>
                <c:pt idx="27">
                  <c:v>4</c:v>
                </c:pt>
                <c:pt idx="28">
                  <c:v>3.959999999999992</c:v>
                </c:pt>
                <c:pt idx="29">
                  <c:v>3.8399999999999683</c:v>
                </c:pt>
                <c:pt idx="30">
                  <c:v>3.6399999999999513</c:v>
                </c:pt>
                <c:pt idx="31">
                  <c:v>3.3599999999999364</c:v>
                </c:pt>
                <c:pt idx="32">
                  <c:v>2.9999999999999183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1C1-4572-A541-1181654C5608}"/>
            </c:ext>
          </c:extLst>
        </c:ser>
        <c:ser>
          <c:idx val="8"/>
          <c:order val="8"/>
          <c:tx>
            <c:strRef>
              <c:f>Лист5!$J$1</c:f>
              <c:strCache>
                <c:ptCount val="1"/>
                <c:pt idx="0">
                  <c:v>y9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Лист5!$J$2:$J$134</c:f>
              <c:numCache>
                <c:formatCode>General</c:formatCode>
                <c:ptCount val="13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1C1-4572-A541-1181654C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112904"/>
        <c:axId val="658112184"/>
      </c:scatterChart>
      <c:valAx>
        <c:axId val="658112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12184"/>
        <c:crosses val="autoZero"/>
        <c:crossBetween val="midCat"/>
      </c:valAx>
      <c:valAx>
        <c:axId val="65811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12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</xdr:row>
      <xdr:rowOff>185737</xdr:rowOff>
    </xdr:from>
    <xdr:to>
      <xdr:col>15</xdr:col>
      <xdr:colOff>0</xdr:colOff>
      <xdr:row>16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730BD5-73E6-BD8F-D5D1-D161C1E89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3</xdr:row>
      <xdr:rowOff>33337</xdr:rowOff>
    </xdr:from>
    <xdr:to>
      <xdr:col>17</xdr:col>
      <xdr:colOff>152400</xdr:colOff>
      <xdr:row>17</xdr:row>
      <xdr:rowOff>109537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F71FE1E-11D0-8568-05BE-C7546F98D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109537</xdr:rowOff>
    </xdr:from>
    <xdr:to>
      <xdr:col>18</xdr:col>
      <xdr:colOff>228600</xdr:colOff>
      <xdr:row>24</xdr:row>
      <xdr:rowOff>185737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CCF74D-C8D6-4CD7-9E6B-478F50A51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23</xdr:row>
      <xdr:rowOff>123825</xdr:rowOff>
    </xdr:from>
    <xdr:to>
      <xdr:col>9</xdr:col>
      <xdr:colOff>133350</xdr:colOff>
      <xdr:row>38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B64C3A-8E8D-A667-2A00-24B80A46F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136072</xdr:colOff>
      <xdr:row>4</xdr:row>
      <xdr:rowOff>27213</xdr:rowOff>
    </xdr:from>
    <xdr:to>
      <xdr:col>19</xdr:col>
      <xdr:colOff>40822</xdr:colOff>
      <xdr:row>28</xdr:row>
      <xdr:rowOff>68036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BD6FB05-AB8E-4B2C-B775-0C53D28FA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33" sqref="D33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-12</v>
      </c>
      <c r="B2" s="5">
        <f>(-1/18)*A2^2+12</f>
        <v>4</v>
      </c>
      <c r="C2" s="5"/>
      <c r="D2" s="5">
        <f>(-1/8)*(A2+8)^2+6</f>
        <v>4</v>
      </c>
      <c r="E2" s="5"/>
      <c r="F2" s="5"/>
      <c r="G2" s="6"/>
    </row>
    <row r="3" spans="1:7" x14ac:dyDescent="0.25">
      <c r="A3" s="4">
        <v>-11</v>
      </c>
      <c r="B3" s="5">
        <f t="shared" ref="B3:B26" si="0">(-1/18)*A3^2+12</f>
        <v>5.2777777777777786</v>
      </c>
      <c r="C3" s="5"/>
      <c r="D3" s="5">
        <f t="shared" ref="D3:D10" si="1">(-1/8)*(A3+8)^2+6</f>
        <v>4.875</v>
      </c>
      <c r="E3" s="5"/>
      <c r="F3" s="5"/>
      <c r="G3" s="6"/>
    </row>
    <row r="4" spans="1:7" x14ac:dyDescent="0.25">
      <c r="A4" s="4">
        <v>-10</v>
      </c>
      <c r="B4" s="5">
        <f t="shared" si="0"/>
        <v>6.4444444444444446</v>
      </c>
      <c r="C4" s="5"/>
      <c r="D4" s="5">
        <f t="shared" si="1"/>
        <v>5.5</v>
      </c>
      <c r="E4" s="5"/>
      <c r="F4" s="5"/>
      <c r="G4" s="6"/>
    </row>
    <row r="5" spans="1:7" x14ac:dyDescent="0.25">
      <c r="A5" s="4">
        <v>-9</v>
      </c>
      <c r="B5" s="5">
        <f t="shared" si="0"/>
        <v>7.5</v>
      </c>
      <c r="C5" s="5"/>
      <c r="D5" s="5">
        <f t="shared" si="1"/>
        <v>5.875</v>
      </c>
      <c r="E5" s="5"/>
      <c r="F5" s="5"/>
      <c r="G5" s="6"/>
    </row>
    <row r="6" spans="1:7" x14ac:dyDescent="0.25">
      <c r="A6" s="4">
        <v>-8</v>
      </c>
      <c r="B6" s="5">
        <f t="shared" si="0"/>
        <v>8.4444444444444446</v>
      </c>
      <c r="C6" s="5"/>
      <c r="D6" s="5">
        <f t="shared" si="1"/>
        <v>6</v>
      </c>
      <c r="E6" s="5"/>
      <c r="F6" s="5"/>
      <c r="G6" s="6"/>
    </row>
    <row r="7" spans="1:7" x14ac:dyDescent="0.25">
      <c r="A7" s="4">
        <v>-7</v>
      </c>
      <c r="B7" s="5">
        <f t="shared" si="0"/>
        <v>9.2777777777777786</v>
      </c>
      <c r="C7" s="5"/>
      <c r="D7" s="5">
        <f t="shared" si="1"/>
        <v>5.875</v>
      </c>
      <c r="E7" s="5"/>
      <c r="F7" s="5"/>
      <c r="G7" s="6"/>
    </row>
    <row r="8" spans="1:7" x14ac:dyDescent="0.25">
      <c r="A8" s="4">
        <v>-6</v>
      </c>
      <c r="B8" s="5">
        <f t="shared" si="0"/>
        <v>10</v>
      </c>
      <c r="C8" s="5"/>
      <c r="D8" s="5">
        <f t="shared" si="1"/>
        <v>5.5</v>
      </c>
      <c r="E8" s="5"/>
      <c r="F8" s="5"/>
      <c r="G8" s="6"/>
    </row>
    <row r="9" spans="1:7" x14ac:dyDescent="0.25">
      <c r="A9" s="4">
        <v>-5</v>
      </c>
      <c r="B9" s="5">
        <f t="shared" si="0"/>
        <v>10.611111111111111</v>
      </c>
      <c r="C9" s="5"/>
      <c r="D9" s="5">
        <f t="shared" si="1"/>
        <v>4.875</v>
      </c>
      <c r="E9" s="5"/>
      <c r="F9" s="5"/>
      <c r="G9" s="6"/>
    </row>
    <row r="10" spans="1:7" x14ac:dyDescent="0.25">
      <c r="A10" s="4">
        <v>-4</v>
      </c>
      <c r="B10" s="5">
        <f t="shared" si="0"/>
        <v>11.111111111111111</v>
      </c>
      <c r="C10" s="5">
        <f>(-1/8)*A10^2+6</f>
        <v>4</v>
      </c>
      <c r="D10" s="5">
        <f t="shared" si="1"/>
        <v>4</v>
      </c>
      <c r="E10" s="5"/>
      <c r="F10" s="5">
        <f>2*(A10+3)^2-9</f>
        <v>-7</v>
      </c>
      <c r="G10" s="6">
        <f>1.5*(A10+3)^2-10</f>
        <v>-8.5</v>
      </c>
    </row>
    <row r="11" spans="1:7" x14ac:dyDescent="0.25">
      <c r="A11" s="4">
        <v>-3</v>
      </c>
      <c r="B11" s="5">
        <f t="shared" si="0"/>
        <v>11.5</v>
      </c>
      <c r="C11" s="5">
        <f t="shared" ref="C11:C18" si="2">(-1/8)*A11^2+6</f>
        <v>4.875</v>
      </c>
      <c r="D11" s="5"/>
      <c r="E11" s="5"/>
      <c r="F11" s="5">
        <f t="shared" ref="F11:F13" si="3">2*(A11+3)^2-9</f>
        <v>-9</v>
      </c>
      <c r="G11" s="6">
        <f t="shared" ref="G11:G14" si="4">1.5*(A11+3)^2-10</f>
        <v>-10</v>
      </c>
    </row>
    <row r="12" spans="1:7" x14ac:dyDescent="0.25">
      <c r="A12" s="4">
        <v>-2</v>
      </c>
      <c r="B12" s="5">
        <f t="shared" si="0"/>
        <v>11.777777777777779</v>
      </c>
      <c r="C12" s="5">
        <f t="shared" si="2"/>
        <v>5.5</v>
      </c>
      <c r="D12" s="5"/>
      <c r="E12" s="5"/>
      <c r="F12" s="5">
        <f t="shared" si="3"/>
        <v>-7</v>
      </c>
      <c r="G12" s="6">
        <f t="shared" si="4"/>
        <v>-8.5</v>
      </c>
    </row>
    <row r="13" spans="1:7" x14ac:dyDescent="0.25">
      <c r="A13" s="4">
        <v>-1</v>
      </c>
      <c r="B13" s="5">
        <f t="shared" si="0"/>
        <v>11.944444444444445</v>
      </c>
      <c r="C13" s="5">
        <f t="shared" si="2"/>
        <v>5.875</v>
      </c>
      <c r="D13" s="5"/>
      <c r="E13" s="5"/>
      <c r="F13" s="5">
        <f t="shared" si="3"/>
        <v>-1</v>
      </c>
      <c r="G13" s="6">
        <f t="shared" si="4"/>
        <v>-4</v>
      </c>
    </row>
    <row r="14" spans="1:7" x14ac:dyDescent="0.25">
      <c r="A14" s="4">
        <v>0</v>
      </c>
      <c r="B14" s="5">
        <f t="shared" si="0"/>
        <v>12</v>
      </c>
      <c r="C14" s="5">
        <f t="shared" si="2"/>
        <v>6</v>
      </c>
      <c r="D14" s="5"/>
      <c r="E14" s="5"/>
      <c r="F14" s="5">
        <f>2*(A14+3)^2-9</f>
        <v>9</v>
      </c>
      <c r="G14" s="6">
        <f t="shared" si="4"/>
        <v>3.5</v>
      </c>
    </row>
    <row r="15" spans="1:7" x14ac:dyDescent="0.25">
      <c r="A15" s="4">
        <v>1</v>
      </c>
      <c r="B15" s="5">
        <f t="shared" si="0"/>
        <v>11.944444444444445</v>
      </c>
      <c r="C15" s="5">
        <f t="shared" si="2"/>
        <v>5.875</v>
      </c>
      <c r="D15" s="5"/>
      <c r="E15" s="5"/>
      <c r="F15" s="5"/>
      <c r="G15" s="6"/>
    </row>
    <row r="16" spans="1:7" x14ac:dyDescent="0.25">
      <c r="A16" s="4">
        <v>2</v>
      </c>
      <c r="B16" s="5">
        <f t="shared" si="0"/>
        <v>11.777777777777779</v>
      </c>
      <c r="C16" s="5">
        <f t="shared" si="2"/>
        <v>5.5</v>
      </c>
      <c r="D16" s="5"/>
      <c r="E16" s="5"/>
      <c r="F16" s="5"/>
      <c r="G16" s="6"/>
    </row>
    <row r="17" spans="1:7" x14ac:dyDescent="0.25">
      <c r="A17" s="4">
        <v>3</v>
      </c>
      <c r="B17" s="5">
        <f t="shared" si="0"/>
        <v>11.5</v>
      </c>
      <c r="C17" s="5">
        <f t="shared" si="2"/>
        <v>4.875</v>
      </c>
      <c r="D17" s="5"/>
      <c r="E17" s="5"/>
      <c r="F17" s="5"/>
      <c r="G17" s="6"/>
    </row>
    <row r="18" spans="1:7" x14ac:dyDescent="0.25">
      <c r="A18" s="4">
        <v>4</v>
      </c>
      <c r="B18" s="5">
        <f t="shared" si="0"/>
        <v>11.111111111111111</v>
      </c>
      <c r="C18" s="5">
        <f t="shared" si="2"/>
        <v>4</v>
      </c>
      <c r="D18" s="5"/>
      <c r="E18" s="5">
        <f>(-1/8)*(A18-8)^2+6</f>
        <v>4</v>
      </c>
      <c r="F18" s="5"/>
      <c r="G18" s="6"/>
    </row>
    <row r="19" spans="1:7" x14ac:dyDescent="0.25">
      <c r="A19" s="4">
        <v>5</v>
      </c>
      <c r="B19" s="5">
        <f t="shared" si="0"/>
        <v>10.611111111111111</v>
      </c>
      <c r="C19" s="5"/>
      <c r="D19" s="5"/>
      <c r="E19" s="5">
        <f t="shared" ref="E19:E26" si="5">(-1/8)*(A19-8)^2+6</f>
        <v>4.875</v>
      </c>
      <c r="F19" s="5"/>
      <c r="G19" s="6"/>
    </row>
    <row r="20" spans="1:7" x14ac:dyDescent="0.25">
      <c r="A20" s="4">
        <v>6</v>
      </c>
      <c r="B20" s="5">
        <f t="shared" si="0"/>
        <v>10</v>
      </c>
      <c r="C20" s="5"/>
      <c r="D20" s="5"/>
      <c r="E20" s="5">
        <f t="shared" si="5"/>
        <v>5.5</v>
      </c>
      <c r="F20" s="5"/>
      <c r="G20" s="6"/>
    </row>
    <row r="21" spans="1:7" x14ac:dyDescent="0.25">
      <c r="A21" s="4">
        <v>7</v>
      </c>
      <c r="B21" s="5">
        <f t="shared" si="0"/>
        <v>9.2777777777777786</v>
      </c>
      <c r="C21" s="5"/>
      <c r="D21" s="5"/>
      <c r="E21" s="5">
        <f t="shared" si="5"/>
        <v>5.875</v>
      </c>
      <c r="F21" s="5"/>
      <c r="G21" s="6"/>
    </row>
    <row r="22" spans="1:7" x14ac:dyDescent="0.25">
      <c r="A22" s="4">
        <v>8</v>
      </c>
      <c r="B22" s="5">
        <f t="shared" si="0"/>
        <v>8.4444444444444446</v>
      </c>
      <c r="C22" s="5"/>
      <c r="D22" s="5"/>
      <c r="E22" s="5">
        <f t="shared" si="5"/>
        <v>6</v>
      </c>
      <c r="F22" s="5"/>
      <c r="G22" s="6"/>
    </row>
    <row r="23" spans="1:7" x14ac:dyDescent="0.25">
      <c r="A23" s="4">
        <v>9</v>
      </c>
      <c r="B23" s="5">
        <f t="shared" si="0"/>
        <v>7.5</v>
      </c>
      <c r="C23" s="5"/>
      <c r="D23" s="5"/>
      <c r="E23" s="5">
        <f t="shared" si="5"/>
        <v>5.875</v>
      </c>
      <c r="F23" s="5"/>
      <c r="G23" s="6"/>
    </row>
    <row r="24" spans="1:7" x14ac:dyDescent="0.25">
      <c r="A24" s="4">
        <v>10</v>
      </c>
      <c r="B24" s="5">
        <f t="shared" si="0"/>
        <v>6.4444444444444446</v>
      </c>
      <c r="C24" s="5"/>
      <c r="D24" s="5"/>
      <c r="E24" s="5">
        <f t="shared" si="5"/>
        <v>5.5</v>
      </c>
      <c r="F24" s="5"/>
      <c r="G24" s="6"/>
    </row>
    <row r="25" spans="1:7" x14ac:dyDescent="0.25">
      <c r="A25" s="4">
        <v>11</v>
      </c>
      <c r="B25" s="5">
        <f t="shared" si="0"/>
        <v>5.2777777777777786</v>
      </c>
      <c r="C25" s="5"/>
      <c r="D25" s="5"/>
      <c r="E25" s="5">
        <f t="shared" si="5"/>
        <v>4.875</v>
      </c>
      <c r="F25" s="5"/>
      <c r="G25" s="6"/>
    </row>
    <row r="26" spans="1:7" ht="15.75" thickBot="1" x14ac:dyDescent="0.3">
      <c r="A26" s="7">
        <v>12</v>
      </c>
      <c r="B26" s="8">
        <f t="shared" si="0"/>
        <v>4</v>
      </c>
      <c r="C26" s="8"/>
      <c r="D26" s="8"/>
      <c r="E26" s="8">
        <f t="shared" si="5"/>
        <v>4</v>
      </c>
      <c r="F26" s="8"/>
      <c r="G26" s="9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5536-7AB2-45F4-8505-5F4A2E7F740D}">
  <dimension ref="A1:I31"/>
  <sheetViews>
    <sheetView workbookViewId="0">
      <selection activeCell="B7" sqref="B7"/>
    </sheetView>
  </sheetViews>
  <sheetFormatPr defaultRowHeight="15" x14ac:dyDescent="0.25"/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</row>
    <row r="2" spans="1:9" x14ac:dyDescent="0.25">
      <c r="A2" s="5">
        <v>-9</v>
      </c>
      <c r="B2" s="5">
        <f>(-1/16)*(A2+5)^2+2</f>
        <v>1</v>
      </c>
      <c r="C2" s="5"/>
      <c r="D2" s="5">
        <f>(1/4)*(A2+5)^2-3</f>
        <v>1</v>
      </c>
      <c r="E2" s="5"/>
      <c r="F2" s="5">
        <f>-((A2+7)^2)+5</f>
        <v>1</v>
      </c>
      <c r="G2" s="5"/>
      <c r="I2" s="5"/>
    </row>
    <row r="3" spans="1:9" x14ac:dyDescent="0.25">
      <c r="A3" s="5">
        <v>-8</v>
      </c>
      <c r="B3" s="5">
        <f t="shared" ref="B3:B10" si="0">(-1/16)*(A3+5)^2+2</f>
        <v>1.4375</v>
      </c>
      <c r="C3" s="5"/>
      <c r="D3" s="5">
        <f t="shared" ref="D3:D10" si="1">(1/4)*(A3+5)^2-3</f>
        <v>-0.75</v>
      </c>
      <c r="E3" s="5"/>
      <c r="F3" s="5">
        <f t="shared" ref="F3:F5" si="2">-((A3+7)^2)+5</f>
        <v>4</v>
      </c>
      <c r="G3" s="5"/>
      <c r="H3" s="5"/>
      <c r="I3" s="5"/>
    </row>
    <row r="4" spans="1:9" x14ac:dyDescent="0.25">
      <c r="A4" s="5">
        <v>-7</v>
      </c>
      <c r="B4" s="5">
        <f t="shared" si="0"/>
        <v>1.75</v>
      </c>
      <c r="C4" s="5"/>
      <c r="D4" s="5">
        <f t="shared" si="1"/>
        <v>-2</v>
      </c>
      <c r="E4" s="5"/>
      <c r="F4" s="5">
        <f t="shared" si="2"/>
        <v>5</v>
      </c>
      <c r="G4" s="5"/>
      <c r="H4" s="5"/>
      <c r="I4" s="5"/>
    </row>
    <row r="5" spans="1:9" x14ac:dyDescent="0.25">
      <c r="A5" s="5">
        <v>-6</v>
      </c>
      <c r="B5" s="5">
        <f t="shared" si="0"/>
        <v>1.9375</v>
      </c>
      <c r="C5" s="5"/>
      <c r="D5" s="5">
        <f t="shared" si="1"/>
        <v>-2.75</v>
      </c>
      <c r="E5" s="5"/>
      <c r="F5" s="5">
        <f t="shared" si="2"/>
        <v>4</v>
      </c>
      <c r="G5" s="5"/>
      <c r="H5" s="5"/>
      <c r="I5" s="5"/>
    </row>
    <row r="6" spans="1:9" x14ac:dyDescent="0.25">
      <c r="A6" s="5">
        <v>-5</v>
      </c>
      <c r="B6" s="5">
        <f t="shared" si="0"/>
        <v>2</v>
      </c>
      <c r="C6" s="5"/>
      <c r="D6" s="5">
        <f t="shared" si="1"/>
        <v>-3</v>
      </c>
      <c r="E6" s="5"/>
      <c r="F6" s="5"/>
      <c r="G6" s="5"/>
      <c r="H6" s="5"/>
      <c r="I6" s="5"/>
    </row>
    <row r="7" spans="1:9" x14ac:dyDescent="0.25">
      <c r="A7" s="5">
        <v>-4</v>
      </c>
      <c r="B7" s="5">
        <f t="shared" si="0"/>
        <v>1.9375</v>
      </c>
      <c r="C7" s="5"/>
      <c r="D7" s="5">
        <f t="shared" si="1"/>
        <v>-2.75</v>
      </c>
      <c r="E7" s="5"/>
      <c r="F7" s="5"/>
      <c r="G7" s="5"/>
      <c r="H7" s="5"/>
      <c r="I7" s="5"/>
    </row>
    <row r="8" spans="1:9" x14ac:dyDescent="0.25">
      <c r="A8" s="5">
        <v>-3</v>
      </c>
      <c r="B8" s="5">
        <f t="shared" si="0"/>
        <v>1.75</v>
      </c>
      <c r="C8" s="5"/>
      <c r="D8" s="5">
        <f t="shared" si="1"/>
        <v>-2</v>
      </c>
      <c r="E8" s="5"/>
      <c r="F8" s="5"/>
      <c r="G8" s="5"/>
      <c r="H8" s="5"/>
      <c r="I8" s="5"/>
    </row>
    <row r="9" spans="1:9" x14ac:dyDescent="0.25">
      <c r="A9" s="5">
        <v>-2</v>
      </c>
      <c r="B9" s="5">
        <f t="shared" si="0"/>
        <v>1.4375</v>
      </c>
      <c r="C9" s="5"/>
      <c r="D9" s="5">
        <f t="shared" si="1"/>
        <v>-0.75</v>
      </c>
      <c r="E9" s="5"/>
      <c r="F9" s="5"/>
      <c r="G9" s="5"/>
      <c r="H9" s="5"/>
      <c r="I9" s="5"/>
    </row>
    <row r="10" spans="1:9" x14ac:dyDescent="0.25">
      <c r="A10" s="5">
        <v>-1</v>
      </c>
      <c r="B10" s="5">
        <f t="shared" si="0"/>
        <v>1</v>
      </c>
      <c r="C10" s="5"/>
      <c r="D10" s="5">
        <f t="shared" si="1"/>
        <v>1</v>
      </c>
      <c r="E10" s="5"/>
      <c r="F10" s="5"/>
      <c r="G10" s="5"/>
      <c r="H10" s="5">
        <f>-0.5*A10^2+1.5</f>
        <v>1</v>
      </c>
      <c r="I10" s="5"/>
    </row>
    <row r="11" spans="1:9" x14ac:dyDescent="0.25">
      <c r="A11" s="5">
        <v>0</v>
      </c>
      <c r="B11" s="5"/>
      <c r="C11" s="5"/>
      <c r="D11" s="5"/>
      <c r="E11" s="5"/>
      <c r="F11" s="5"/>
      <c r="G11" s="5"/>
      <c r="H11" s="5">
        <f t="shared" ref="H11:H12" si="3">-0.5*A11^2+1.5</f>
        <v>1.5</v>
      </c>
      <c r="I11" s="5"/>
    </row>
    <row r="12" spans="1:9" x14ac:dyDescent="0.25">
      <c r="A12" s="5">
        <v>1</v>
      </c>
      <c r="B12" s="5"/>
      <c r="C12" s="5">
        <f>(-1/16)*(A12-5)^2+2</f>
        <v>1</v>
      </c>
      <c r="D12" s="5"/>
      <c r="E12" s="5">
        <f>(1/4)*(A12-5)^2-3</f>
        <v>1</v>
      </c>
      <c r="F12" s="5"/>
      <c r="G12" s="5"/>
      <c r="H12" s="5">
        <f t="shared" si="3"/>
        <v>1</v>
      </c>
      <c r="I12" s="5"/>
    </row>
    <row r="13" spans="1:9" x14ac:dyDescent="0.25">
      <c r="A13" s="5">
        <v>2</v>
      </c>
      <c r="B13" s="5"/>
      <c r="C13" s="5">
        <f t="shared" ref="C13:C20" si="4">(-1/16)*(A13-5)^2+2</f>
        <v>1.4375</v>
      </c>
      <c r="D13" s="5"/>
      <c r="E13" s="5">
        <f t="shared" ref="E13:E20" si="5">(1/4)*(A13-5)^2-3</f>
        <v>-0.75</v>
      </c>
      <c r="F13" s="5"/>
      <c r="G13" s="5"/>
      <c r="H13" s="5"/>
      <c r="I13" s="5"/>
    </row>
    <row r="14" spans="1:9" x14ac:dyDescent="0.25">
      <c r="A14" s="5">
        <v>3</v>
      </c>
      <c r="B14" s="5"/>
      <c r="C14" s="5">
        <f t="shared" si="4"/>
        <v>1.75</v>
      </c>
      <c r="D14" s="5"/>
      <c r="E14" s="5">
        <f t="shared" si="5"/>
        <v>-2</v>
      </c>
      <c r="F14" s="5"/>
      <c r="G14" s="5"/>
      <c r="H14" s="5"/>
      <c r="I14" s="5"/>
    </row>
    <row r="15" spans="1:9" x14ac:dyDescent="0.25">
      <c r="A15" s="5">
        <v>4</v>
      </c>
      <c r="B15" s="5"/>
      <c r="C15" s="5">
        <f t="shared" si="4"/>
        <v>1.9375</v>
      </c>
      <c r="D15" s="5"/>
      <c r="E15" s="5">
        <f t="shared" si="5"/>
        <v>-2.75</v>
      </c>
      <c r="F15" s="5"/>
      <c r="G15" s="5"/>
      <c r="H15" s="5"/>
      <c r="I15" s="5"/>
    </row>
    <row r="16" spans="1:9" x14ac:dyDescent="0.25">
      <c r="A16" s="5">
        <v>5</v>
      </c>
      <c r="B16" s="5"/>
      <c r="C16" s="5">
        <f t="shared" si="4"/>
        <v>2</v>
      </c>
      <c r="D16" s="5"/>
      <c r="E16" s="5">
        <f t="shared" si="5"/>
        <v>-3</v>
      </c>
      <c r="F16" s="5"/>
      <c r="G16" s="5"/>
      <c r="H16" s="5"/>
      <c r="I16" s="5"/>
    </row>
    <row r="17" spans="1:9" x14ac:dyDescent="0.25">
      <c r="A17" s="5">
        <v>6</v>
      </c>
      <c r="B17" s="5"/>
      <c r="C17" s="5">
        <f t="shared" si="4"/>
        <v>1.9375</v>
      </c>
      <c r="D17" s="5"/>
      <c r="E17" s="5">
        <f t="shared" si="5"/>
        <v>-2.75</v>
      </c>
      <c r="F17" s="5"/>
      <c r="G17" s="5">
        <f>-((A17-7)^2)+5</f>
        <v>4</v>
      </c>
      <c r="H17" s="5"/>
      <c r="I17" s="5"/>
    </row>
    <row r="18" spans="1:9" x14ac:dyDescent="0.25">
      <c r="A18" s="5">
        <v>7</v>
      </c>
      <c r="B18" s="5"/>
      <c r="C18" s="5">
        <f t="shared" si="4"/>
        <v>1.75</v>
      </c>
      <c r="D18" s="5"/>
      <c r="E18" s="5">
        <f t="shared" si="5"/>
        <v>-2</v>
      </c>
      <c r="F18" s="5"/>
      <c r="G18" s="5">
        <f t="shared" ref="G18:G20" si="6">-((A18-7)^2)+5</f>
        <v>5</v>
      </c>
      <c r="H18" s="5"/>
      <c r="I18" s="5"/>
    </row>
    <row r="19" spans="1:9" x14ac:dyDescent="0.25">
      <c r="A19" s="5">
        <v>8</v>
      </c>
      <c r="B19" s="5"/>
      <c r="C19" s="5">
        <f t="shared" si="4"/>
        <v>1.4375</v>
      </c>
      <c r="D19" s="5"/>
      <c r="E19" s="5">
        <f t="shared" si="5"/>
        <v>-0.75</v>
      </c>
      <c r="F19" s="5"/>
      <c r="G19" s="5">
        <f t="shared" si="6"/>
        <v>4</v>
      </c>
      <c r="H19" s="5"/>
      <c r="I19" s="5"/>
    </row>
    <row r="20" spans="1:9" x14ac:dyDescent="0.25">
      <c r="A20" s="5">
        <v>9</v>
      </c>
      <c r="B20" s="5"/>
      <c r="C20" s="5">
        <f t="shared" si="4"/>
        <v>1</v>
      </c>
      <c r="D20" s="5"/>
      <c r="E20" s="5">
        <f t="shared" si="5"/>
        <v>1</v>
      </c>
      <c r="F20" s="5"/>
      <c r="G20" s="5">
        <f t="shared" si="6"/>
        <v>1</v>
      </c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A02D-9BAB-4720-8CD4-30EFDCD83A59}">
  <dimension ref="A1:I20"/>
  <sheetViews>
    <sheetView workbookViewId="0">
      <selection activeCell="D5" sqref="D5"/>
    </sheetView>
  </sheetViews>
  <sheetFormatPr defaultRowHeight="15" x14ac:dyDescent="0.25"/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5">
        <v>-6</v>
      </c>
      <c r="B2" s="5"/>
      <c r="C2" s="5"/>
      <c r="D2" s="5"/>
      <c r="E2" s="5">
        <f>-(1/16)*((A2+2)^2)+5</f>
        <v>4</v>
      </c>
      <c r="F2" s="5">
        <f>A2+10</f>
        <v>4</v>
      </c>
      <c r="G2" s="5"/>
      <c r="H2">
        <f>0.5*A2-1</f>
        <v>-4</v>
      </c>
    </row>
    <row r="3" spans="1:9" x14ac:dyDescent="0.25">
      <c r="A3" s="5">
        <v>-5</v>
      </c>
      <c r="B3" s="5"/>
      <c r="C3" s="5"/>
      <c r="D3" s="5"/>
      <c r="E3" s="5">
        <f t="shared" ref="E3:E6" si="0">-(1/16)*((A3+2)^2)+5</f>
        <v>4.4375</v>
      </c>
      <c r="F3" s="5">
        <f t="shared" ref="F3:F4" si="1">A3+10</f>
        <v>5</v>
      </c>
      <c r="G3" s="5"/>
      <c r="H3">
        <f t="shared" ref="H3:H9" si="2">0.5*A3-1</f>
        <v>-3.5</v>
      </c>
      <c r="I3">
        <f>0.5*A3-2.5</f>
        <v>-5</v>
      </c>
    </row>
    <row r="4" spans="1:9" x14ac:dyDescent="0.25">
      <c r="A4" s="5">
        <v>-4</v>
      </c>
      <c r="B4" s="5"/>
      <c r="C4" s="5"/>
      <c r="D4" s="5">
        <f>-0.5*((A4+2)^2)+8</f>
        <v>6</v>
      </c>
      <c r="E4" s="5">
        <f t="shared" si="0"/>
        <v>4.75</v>
      </c>
      <c r="F4" s="5">
        <f t="shared" si="1"/>
        <v>6</v>
      </c>
      <c r="G4" s="5"/>
      <c r="H4">
        <f t="shared" si="2"/>
        <v>-3</v>
      </c>
      <c r="I4">
        <f t="shared" ref="I4:I10" si="3">0.5*A4-2.5</f>
        <v>-4.5</v>
      </c>
    </row>
    <row r="5" spans="1:9" x14ac:dyDescent="0.25">
      <c r="A5" s="5">
        <v>-3</v>
      </c>
      <c r="B5" s="5"/>
      <c r="C5" s="5"/>
      <c r="D5" s="5">
        <f t="shared" ref="D5:D8" si="4">-0.5*((A5+2)^2)+8</f>
        <v>7.5</v>
      </c>
      <c r="E5" s="5">
        <f t="shared" si="0"/>
        <v>4.9375</v>
      </c>
      <c r="F5" s="5"/>
      <c r="G5" s="5"/>
      <c r="H5">
        <f t="shared" si="2"/>
        <v>-2.5</v>
      </c>
      <c r="I5">
        <f t="shared" si="3"/>
        <v>-4</v>
      </c>
    </row>
    <row r="6" spans="1:9" x14ac:dyDescent="0.25">
      <c r="A6" s="5">
        <v>-2</v>
      </c>
      <c r="B6" s="5"/>
      <c r="C6" s="5">
        <f>(1/9)*((A6-7)^2)-4</f>
        <v>5</v>
      </c>
      <c r="D6" s="5">
        <f t="shared" si="4"/>
        <v>8</v>
      </c>
      <c r="E6" s="5">
        <f t="shared" si="0"/>
        <v>5</v>
      </c>
      <c r="F6" s="5"/>
      <c r="G6" s="5"/>
      <c r="H6">
        <f t="shared" si="2"/>
        <v>-2</v>
      </c>
      <c r="I6">
        <f t="shared" si="3"/>
        <v>-3.5</v>
      </c>
    </row>
    <row r="7" spans="1:9" x14ac:dyDescent="0.25">
      <c r="A7" s="5">
        <v>-1</v>
      </c>
      <c r="B7" s="5"/>
      <c r="C7" s="5">
        <f t="shared" ref="C7:C15" si="5">(1/9)*((A7-7)^2)-4</f>
        <v>3.1111111111111107</v>
      </c>
      <c r="D7" s="5">
        <f t="shared" si="4"/>
        <v>7.5</v>
      </c>
      <c r="E7" s="5"/>
      <c r="F7" s="5"/>
      <c r="G7" s="5"/>
      <c r="H7">
        <f t="shared" si="2"/>
        <v>-1.5</v>
      </c>
      <c r="I7">
        <f>0.5*A7-2.5</f>
        <v>-3</v>
      </c>
    </row>
    <row r="8" spans="1:9" x14ac:dyDescent="0.25">
      <c r="A8" s="5">
        <v>0</v>
      </c>
      <c r="B8" s="5">
        <f>-(4/27)*A8^2+6</f>
        <v>6</v>
      </c>
      <c r="C8" s="5">
        <f t="shared" si="5"/>
        <v>1.4444444444444438</v>
      </c>
      <c r="D8" s="5">
        <f t="shared" si="4"/>
        <v>6</v>
      </c>
      <c r="E8" s="5"/>
      <c r="F8" s="5"/>
      <c r="G8" s="5"/>
      <c r="H8">
        <f t="shared" si="2"/>
        <v>-1</v>
      </c>
      <c r="I8">
        <f t="shared" si="3"/>
        <v>-2.5</v>
      </c>
    </row>
    <row r="9" spans="1:9" x14ac:dyDescent="0.25">
      <c r="A9" s="5">
        <v>1</v>
      </c>
      <c r="B9" s="5">
        <f t="shared" ref="B9:B16" si="6">-(4/27)*A9^2+6</f>
        <v>5.8518518518518521</v>
      </c>
      <c r="C9" s="5">
        <f t="shared" si="5"/>
        <v>0</v>
      </c>
      <c r="D9" s="5"/>
      <c r="E9" s="5"/>
      <c r="F9" s="5"/>
      <c r="G9" s="5"/>
      <c r="H9">
        <f t="shared" si="2"/>
        <v>-0.5</v>
      </c>
      <c r="I9">
        <f t="shared" si="3"/>
        <v>-2</v>
      </c>
    </row>
    <row r="10" spans="1:9" x14ac:dyDescent="0.25">
      <c r="A10" s="5">
        <v>2</v>
      </c>
      <c r="B10" s="5">
        <f t="shared" si="6"/>
        <v>5.4074074074074074</v>
      </c>
      <c r="C10" s="5">
        <f t="shared" si="5"/>
        <v>-1.2222222222222223</v>
      </c>
      <c r="D10" s="5"/>
      <c r="E10" s="5"/>
      <c r="F10" s="5"/>
      <c r="G10" s="5"/>
      <c r="H10" s="5"/>
      <c r="I10">
        <f t="shared" si="3"/>
        <v>-1.5</v>
      </c>
    </row>
    <row r="11" spans="1:9" x14ac:dyDescent="0.25">
      <c r="A11" s="5">
        <v>3</v>
      </c>
      <c r="B11" s="5">
        <f t="shared" si="6"/>
        <v>4.666666666666667</v>
      </c>
      <c r="C11" s="5">
        <f t="shared" si="5"/>
        <v>-2.2222222222222223</v>
      </c>
      <c r="D11" s="5"/>
      <c r="E11" s="5"/>
      <c r="F11" s="5"/>
      <c r="G11" s="5"/>
      <c r="H11" s="5"/>
    </row>
    <row r="12" spans="1:9" x14ac:dyDescent="0.25">
      <c r="A12" s="5">
        <v>4</v>
      </c>
      <c r="B12" s="5">
        <f t="shared" si="6"/>
        <v>3.6296296296296298</v>
      </c>
      <c r="C12" s="5">
        <f t="shared" si="5"/>
        <v>-3</v>
      </c>
      <c r="D12" s="5"/>
      <c r="E12" s="5"/>
      <c r="F12" s="5"/>
      <c r="G12" s="5"/>
      <c r="H12" s="5"/>
    </row>
    <row r="13" spans="1:9" x14ac:dyDescent="0.25">
      <c r="A13" s="5">
        <v>5</v>
      </c>
      <c r="B13" s="5">
        <f t="shared" si="6"/>
        <v>2.2962962962962967</v>
      </c>
      <c r="C13" s="5">
        <f t="shared" si="5"/>
        <v>-3.5555555555555554</v>
      </c>
      <c r="D13" s="5"/>
      <c r="E13" s="5"/>
      <c r="F13" s="5"/>
      <c r="G13" s="5"/>
      <c r="H13" s="5"/>
    </row>
    <row r="14" spans="1:9" x14ac:dyDescent="0.25">
      <c r="A14" s="5">
        <v>6</v>
      </c>
      <c r="B14" s="5">
        <f t="shared" si="6"/>
        <v>0.66666666666666696</v>
      </c>
      <c r="C14" s="5">
        <f t="shared" si="5"/>
        <v>-3.8888888888888888</v>
      </c>
      <c r="D14" s="5"/>
      <c r="E14" s="5"/>
      <c r="F14" s="5"/>
      <c r="G14" s="5"/>
      <c r="H14" s="5"/>
    </row>
    <row r="15" spans="1:9" x14ac:dyDescent="0.25">
      <c r="A15" s="5">
        <v>7</v>
      </c>
      <c r="B15" s="5">
        <f t="shared" si="6"/>
        <v>-1.2592592592592586</v>
      </c>
      <c r="C15" s="5">
        <f t="shared" si="5"/>
        <v>-4</v>
      </c>
      <c r="D15" s="5"/>
      <c r="E15" s="5"/>
      <c r="F15" s="5"/>
      <c r="G15" s="5">
        <f>-A15+3</f>
        <v>-4</v>
      </c>
      <c r="H15" s="5"/>
    </row>
    <row r="16" spans="1:9" x14ac:dyDescent="0.25">
      <c r="A16" s="5">
        <v>8</v>
      </c>
      <c r="B16" s="5">
        <f t="shared" si="6"/>
        <v>-3.481481481481481</v>
      </c>
      <c r="C16" s="5"/>
      <c r="D16" s="5"/>
      <c r="E16" s="5"/>
      <c r="F16" s="5"/>
      <c r="G16" s="5">
        <f t="shared" ref="G16:G17" si="7">-A16+3</f>
        <v>-5</v>
      </c>
      <c r="H16" s="5"/>
    </row>
    <row r="17" spans="1:8" x14ac:dyDescent="0.25">
      <c r="A17" s="5">
        <v>9</v>
      </c>
      <c r="B17" s="5">
        <f>-(4/27)*A17^2+6</f>
        <v>-6</v>
      </c>
      <c r="C17" s="5"/>
      <c r="D17" s="5"/>
      <c r="E17" s="5"/>
      <c r="F17" s="5"/>
      <c r="G17" s="5">
        <f t="shared" si="7"/>
        <v>-6</v>
      </c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2AE4-E3C8-4DAB-99F2-CCD129360543}">
  <dimension ref="A1:J23"/>
  <sheetViews>
    <sheetView workbookViewId="0">
      <selection activeCell="B11" sqref="B11"/>
    </sheetView>
  </sheetViews>
  <sheetFormatPr defaultRowHeight="15" x14ac:dyDescent="0.25"/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5">
        <v>-9</v>
      </c>
      <c r="B2" s="5"/>
      <c r="C2" s="5"/>
      <c r="D2" s="5">
        <f>-0.5*(A2+7)^2+3</f>
        <v>1</v>
      </c>
      <c r="E2" s="5"/>
      <c r="F2" s="5"/>
      <c r="G2" s="5"/>
      <c r="H2">
        <f>-A2-8</f>
        <v>1</v>
      </c>
    </row>
    <row r="3" spans="1:10" x14ac:dyDescent="0.25">
      <c r="A3" s="5">
        <v>-8</v>
      </c>
      <c r="B3" s="5"/>
      <c r="C3" s="5"/>
      <c r="D3" s="5">
        <f t="shared" ref="D3:D6" si="0">-0.5*(A3+7)^2+3</f>
        <v>2.5</v>
      </c>
      <c r="E3" s="5"/>
      <c r="F3" s="5"/>
      <c r="G3" s="5"/>
      <c r="H3">
        <f t="shared" ref="H3:H6" si="1">-A3-8</f>
        <v>0</v>
      </c>
    </row>
    <row r="4" spans="1:10" x14ac:dyDescent="0.25">
      <c r="A4" s="5">
        <v>-7</v>
      </c>
      <c r="B4" s="5"/>
      <c r="C4" s="5"/>
      <c r="D4" s="5">
        <f t="shared" si="0"/>
        <v>3</v>
      </c>
      <c r="E4" s="5"/>
      <c r="F4" s="5"/>
      <c r="G4" s="5"/>
      <c r="H4">
        <f t="shared" si="1"/>
        <v>-1</v>
      </c>
    </row>
    <row r="5" spans="1:10" x14ac:dyDescent="0.25">
      <c r="A5" s="5">
        <v>-6</v>
      </c>
      <c r="B5" s="5"/>
      <c r="C5" s="5"/>
      <c r="D5" s="5">
        <f t="shared" si="0"/>
        <v>2.5</v>
      </c>
      <c r="E5" s="5"/>
      <c r="F5" s="5"/>
      <c r="G5" s="5"/>
      <c r="H5">
        <f t="shared" si="1"/>
        <v>-2</v>
      </c>
    </row>
    <row r="6" spans="1:10" x14ac:dyDescent="0.25">
      <c r="A6" s="5">
        <v>-5</v>
      </c>
      <c r="B6" s="5">
        <f>-(1/8)*A6^2+5</f>
        <v>1.875</v>
      </c>
      <c r="C6" s="5"/>
      <c r="D6" s="5">
        <f t="shared" si="0"/>
        <v>1</v>
      </c>
      <c r="E6" s="5"/>
      <c r="F6" s="5">
        <f>(A6+3)^2-7</f>
        <v>-3</v>
      </c>
      <c r="G6" s="5"/>
      <c r="H6">
        <f t="shared" si="1"/>
        <v>-3</v>
      </c>
    </row>
    <row r="7" spans="1:10" x14ac:dyDescent="0.25">
      <c r="A7" s="5">
        <v>-4</v>
      </c>
      <c r="B7" s="5">
        <f t="shared" ref="B7:B15" si="2">-(1/8)*A7^2+5</f>
        <v>3</v>
      </c>
      <c r="C7" s="5"/>
      <c r="D7" s="5"/>
      <c r="E7" s="5"/>
      <c r="F7" s="5">
        <f t="shared" ref="F7:F10" si="3">(A7+3)^2-7</f>
        <v>-6</v>
      </c>
      <c r="G7" s="5"/>
    </row>
    <row r="8" spans="1:10" x14ac:dyDescent="0.25">
      <c r="A8" s="5">
        <v>-3</v>
      </c>
      <c r="B8" s="5">
        <f t="shared" si="2"/>
        <v>3.875</v>
      </c>
      <c r="C8" s="5"/>
      <c r="D8" s="5"/>
      <c r="E8" s="5"/>
      <c r="F8" s="5">
        <f t="shared" si="3"/>
        <v>-7</v>
      </c>
      <c r="G8" s="5"/>
    </row>
    <row r="9" spans="1:10" x14ac:dyDescent="0.25">
      <c r="A9" s="5">
        <v>-2</v>
      </c>
      <c r="B9" s="5">
        <f t="shared" si="2"/>
        <v>4.5</v>
      </c>
      <c r="C9" s="5"/>
      <c r="D9" s="5"/>
      <c r="E9" s="5"/>
      <c r="F9" s="5">
        <f t="shared" si="3"/>
        <v>-6</v>
      </c>
      <c r="G9" s="5"/>
    </row>
    <row r="10" spans="1:10" x14ac:dyDescent="0.25">
      <c r="A10" s="5">
        <v>-1</v>
      </c>
      <c r="B10" s="5">
        <f t="shared" si="2"/>
        <v>4.875</v>
      </c>
      <c r="C10" s="5"/>
      <c r="D10" s="5"/>
      <c r="E10" s="5"/>
      <c r="F10" s="5">
        <f t="shared" si="3"/>
        <v>-3</v>
      </c>
      <c r="G10" s="5"/>
      <c r="H10" s="5"/>
      <c r="J10">
        <f>(4/9)*((A10-0.5)^2)-4</f>
        <v>-3</v>
      </c>
    </row>
    <row r="11" spans="1:10" x14ac:dyDescent="0.25">
      <c r="A11" s="5">
        <v>0</v>
      </c>
      <c r="B11" s="5">
        <f t="shared" si="2"/>
        <v>5</v>
      </c>
      <c r="C11" s="5"/>
      <c r="D11" s="5"/>
      <c r="E11" s="5"/>
      <c r="F11" s="5"/>
      <c r="G11" s="5"/>
      <c r="H11" s="5"/>
      <c r="J11">
        <f t="shared" ref="J11:J13" si="4">(4/9)*((A11-0.5)^2)-4</f>
        <v>-3.8888888888888888</v>
      </c>
    </row>
    <row r="12" spans="1:10" x14ac:dyDescent="0.25">
      <c r="A12" s="5">
        <v>1</v>
      </c>
      <c r="B12" s="5">
        <f t="shared" si="2"/>
        <v>4.875</v>
      </c>
      <c r="C12" s="5"/>
      <c r="D12" s="5"/>
      <c r="E12" s="5"/>
      <c r="F12" s="5"/>
      <c r="G12" s="5"/>
      <c r="H12" s="5"/>
      <c r="J12">
        <f t="shared" si="4"/>
        <v>-3.8888888888888888</v>
      </c>
    </row>
    <row r="13" spans="1:10" x14ac:dyDescent="0.25">
      <c r="A13" s="5">
        <v>2</v>
      </c>
      <c r="B13" s="5">
        <f t="shared" si="2"/>
        <v>4.5</v>
      </c>
      <c r="C13" s="5"/>
      <c r="D13" s="5"/>
      <c r="E13" s="5"/>
      <c r="F13" s="5"/>
      <c r="G13" s="5">
        <f>(A13-4)^2-7</f>
        <v>-3</v>
      </c>
      <c r="H13" s="5"/>
      <c r="J13">
        <f t="shared" si="4"/>
        <v>-3</v>
      </c>
    </row>
    <row r="14" spans="1:10" x14ac:dyDescent="0.25">
      <c r="A14" s="5">
        <v>3</v>
      </c>
      <c r="B14" s="5">
        <f t="shared" si="2"/>
        <v>3.875</v>
      </c>
      <c r="C14" s="5"/>
      <c r="D14" s="5"/>
      <c r="E14" s="5"/>
      <c r="F14" s="5"/>
      <c r="G14" s="5">
        <f t="shared" ref="G14:G17" si="5">(A14-4)^2-7</f>
        <v>-6</v>
      </c>
      <c r="H14" s="5"/>
    </row>
    <row r="15" spans="1:10" x14ac:dyDescent="0.25">
      <c r="A15" s="5">
        <v>4</v>
      </c>
      <c r="B15" s="5">
        <f t="shared" si="2"/>
        <v>3</v>
      </c>
      <c r="C15" s="5">
        <f>-(5/16)*(A15-8)^2+8</f>
        <v>3</v>
      </c>
      <c r="D15" s="5"/>
      <c r="E15" s="5"/>
      <c r="F15" s="5"/>
      <c r="G15" s="5">
        <f t="shared" si="5"/>
        <v>-7</v>
      </c>
      <c r="H15" s="5"/>
    </row>
    <row r="16" spans="1:10" x14ac:dyDescent="0.25">
      <c r="A16" s="5">
        <v>5</v>
      </c>
      <c r="B16" s="5"/>
      <c r="C16" s="5">
        <f t="shared" ref="C16:C23" si="6">-(5/16)*(A16-8)^2+8</f>
        <v>5.1875</v>
      </c>
      <c r="D16" s="5"/>
      <c r="E16" s="5"/>
      <c r="F16" s="5"/>
      <c r="G16" s="5">
        <f t="shared" si="5"/>
        <v>-6</v>
      </c>
      <c r="H16" s="5"/>
    </row>
    <row r="17" spans="1:9" x14ac:dyDescent="0.25">
      <c r="A17" s="5">
        <v>6</v>
      </c>
      <c r="B17" s="5"/>
      <c r="C17" s="5">
        <f t="shared" si="6"/>
        <v>6.75</v>
      </c>
      <c r="D17" s="5"/>
      <c r="E17" s="5"/>
      <c r="F17" s="5"/>
      <c r="G17" s="5">
        <f t="shared" si="5"/>
        <v>-3</v>
      </c>
      <c r="H17" s="5"/>
      <c r="I17">
        <f>3*(A17-7)</f>
        <v>-3</v>
      </c>
    </row>
    <row r="18" spans="1:9" x14ac:dyDescent="0.25">
      <c r="A18" s="5">
        <v>7</v>
      </c>
      <c r="C18" s="5">
        <f t="shared" si="6"/>
        <v>7.6875</v>
      </c>
      <c r="I18">
        <f t="shared" ref="I18:I19" si="7">3*(A18-7)</f>
        <v>0</v>
      </c>
    </row>
    <row r="19" spans="1:9" x14ac:dyDescent="0.25">
      <c r="A19" s="5">
        <v>8</v>
      </c>
      <c r="C19" s="5">
        <f t="shared" si="6"/>
        <v>8</v>
      </c>
      <c r="E19">
        <f>0.5*(A19-10)^2+1</f>
        <v>3</v>
      </c>
      <c r="I19">
        <f t="shared" si="7"/>
        <v>3</v>
      </c>
    </row>
    <row r="20" spans="1:9" x14ac:dyDescent="0.25">
      <c r="A20" s="5">
        <v>9</v>
      </c>
      <c r="C20" s="5">
        <f t="shared" si="6"/>
        <v>7.6875</v>
      </c>
      <c r="E20">
        <f t="shared" ref="E20:E23" si="8">0.5*(A20-10)^2+1</f>
        <v>1.5</v>
      </c>
    </row>
    <row r="21" spans="1:9" x14ac:dyDescent="0.25">
      <c r="A21" s="5">
        <v>10</v>
      </c>
      <c r="C21" s="5">
        <f t="shared" si="6"/>
        <v>6.75</v>
      </c>
      <c r="E21">
        <f t="shared" si="8"/>
        <v>1</v>
      </c>
    </row>
    <row r="22" spans="1:9" x14ac:dyDescent="0.25">
      <c r="A22" s="5">
        <v>11</v>
      </c>
      <c r="C22" s="5">
        <f t="shared" si="6"/>
        <v>5.1875</v>
      </c>
      <c r="E22">
        <f t="shared" si="8"/>
        <v>1.5</v>
      </c>
    </row>
    <row r="23" spans="1:9" x14ac:dyDescent="0.25">
      <c r="A23" s="5">
        <v>12</v>
      </c>
      <c r="C23" s="5">
        <f t="shared" si="6"/>
        <v>3</v>
      </c>
      <c r="E23">
        <f t="shared" si="8"/>
        <v>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D460-704E-4A16-8DAB-111BBF9BEA17}">
  <dimension ref="A1:J134"/>
  <sheetViews>
    <sheetView tabSelected="1" zoomScale="70" zoomScaleNormal="70" workbookViewId="0">
      <selection activeCell="F23" sqref="F23"/>
    </sheetView>
  </sheetViews>
  <sheetFormatPr defaultRowHeight="15" x14ac:dyDescent="0.25"/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5">
        <v>-7.7</v>
      </c>
      <c r="B2" s="5"/>
      <c r="C2" s="5"/>
      <c r="D2" s="5"/>
      <c r="E2" s="5"/>
      <c r="F2" s="5">
        <f>(A2+6)^2</f>
        <v>2.8900000000000006</v>
      </c>
      <c r="G2" s="5"/>
    </row>
    <row r="3" spans="1:10" x14ac:dyDescent="0.25">
      <c r="A3" s="5">
        <v>-7.6</v>
      </c>
      <c r="B3" s="5"/>
      <c r="C3" s="5"/>
      <c r="D3" s="5"/>
      <c r="E3" s="5"/>
      <c r="F3" s="5">
        <f t="shared" ref="F3:F36" si="0">(A3+6)^2</f>
        <v>2.5599999999999987</v>
      </c>
      <c r="G3" s="5"/>
    </row>
    <row r="4" spans="1:10" x14ac:dyDescent="0.25">
      <c r="A4" s="5">
        <v>-7.5</v>
      </c>
      <c r="B4" s="5"/>
      <c r="C4" s="5"/>
      <c r="D4" s="5"/>
      <c r="E4" s="5"/>
      <c r="F4" s="5">
        <f t="shared" si="0"/>
        <v>2.25</v>
      </c>
      <c r="G4" s="5"/>
      <c r="H4">
        <f>-4*(A4+7)^2+4</f>
        <v>3</v>
      </c>
    </row>
    <row r="5" spans="1:10" x14ac:dyDescent="0.25">
      <c r="A5" s="5">
        <v>-7.4</v>
      </c>
      <c r="B5" s="5"/>
      <c r="C5" s="5"/>
      <c r="D5" s="5"/>
      <c r="E5" s="5"/>
      <c r="F5" s="5">
        <f t="shared" si="0"/>
        <v>1.9600000000000011</v>
      </c>
      <c r="G5" s="5"/>
      <c r="H5">
        <f t="shared" ref="H5:H14" si="1">-4*(A5+7)^2+4</f>
        <v>3.359999999999999</v>
      </c>
    </row>
    <row r="6" spans="1:10" x14ac:dyDescent="0.25">
      <c r="A6" s="5">
        <v>-7.3</v>
      </c>
      <c r="B6" s="5"/>
      <c r="C6" s="5"/>
      <c r="D6" s="5"/>
      <c r="E6" s="5"/>
      <c r="F6" s="5">
        <f t="shared" si="0"/>
        <v>1.6899999999999995</v>
      </c>
      <c r="G6" s="5"/>
      <c r="H6">
        <f t="shared" si="1"/>
        <v>3.6400000000000006</v>
      </c>
    </row>
    <row r="7" spans="1:10" x14ac:dyDescent="0.25">
      <c r="A7" s="5">
        <v>-7.2</v>
      </c>
      <c r="B7" s="5"/>
      <c r="C7" s="5"/>
      <c r="D7" s="5"/>
      <c r="E7" s="5"/>
      <c r="F7" s="5">
        <f t="shared" si="0"/>
        <v>1.4400000000000004</v>
      </c>
      <c r="G7" s="5"/>
      <c r="H7">
        <f t="shared" si="1"/>
        <v>3.84</v>
      </c>
    </row>
    <row r="8" spans="1:10" x14ac:dyDescent="0.25">
      <c r="A8" s="5">
        <v>-7.1</v>
      </c>
      <c r="B8" s="5"/>
      <c r="C8" s="5"/>
      <c r="D8" s="5"/>
      <c r="E8" s="5"/>
      <c r="F8" s="5">
        <f t="shared" si="0"/>
        <v>1.2099999999999993</v>
      </c>
      <c r="G8" s="5"/>
      <c r="H8">
        <f t="shared" si="1"/>
        <v>3.9600000000000004</v>
      </c>
    </row>
    <row r="9" spans="1:10" x14ac:dyDescent="0.25">
      <c r="A9" s="5">
        <v>-7</v>
      </c>
      <c r="B9" s="5"/>
      <c r="C9" s="5"/>
      <c r="D9" s="5"/>
      <c r="E9" s="5"/>
      <c r="F9" s="5">
        <f t="shared" si="0"/>
        <v>1</v>
      </c>
      <c r="G9" s="5"/>
      <c r="H9">
        <f t="shared" si="1"/>
        <v>4</v>
      </c>
    </row>
    <row r="10" spans="1:10" x14ac:dyDescent="0.25">
      <c r="A10" s="5">
        <v>-6.9</v>
      </c>
      <c r="B10" s="5"/>
      <c r="C10" s="5"/>
      <c r="D10" s="5"/>
      <c r="E10" s="5"/>
      <c r="F10" s="5">
        <f t="shared" si="0"/>
        <v>0.81000000000000061</v>
      </c>
      <c r="G10" s="5"/>
      <c r="H10">
        <f t="shared" si="1"/>
        <v>3.9600000000000004</v>
      </c>
    </row>
    <row r="11" spans="1:10" x14ac:dyDescent="0.25">
      <c r="A11" s="5">
        <v>-6.8</v>
      </c>
      <c r="B11" s="5"/>
      <c r="C11" s="5"/>
      <c r="D11" s="5"/>
      <c r="E11" s="5"/>
      <c r="F11" s="5">
        <f t="shared" si="0"/>
        <v>0.63999999999999968</v>
      </c>
      <c r="G11" s="5"/>
      <c r="H11">
        <f t="shared" si="1"/>
        <v>3.84</v>
      </c>
    </row>
    <row r="12" spans="1:10" x14ac:dyDescent="0.25">
      <c r="A12" s="5">
        <v>-6.6999999999999904</v>
      </c>
      <c r="B12" s="5"/>
      <c r="C12" s="5"/>
      <c r="D12" s="5"/>
      <c r="E12" s="5"/>
      <c r="F12" s="5">
        <f t="shared" si="0"/>
        <v>0.48999999999998656</v>
      </c>
      <c r="G12" s="5"/>
      <c r="H12">
        <f t="shared" si="1"/>
        <v>3.639999999999977</v>
      </c>
    </row>
    <row r="13" spans="1:10" x14ac:dyDescent="0.25">
      <c r="A13" s="5">
        <v>-6.5999999999999899</v>
      </c>
      <c r="B13" s="5"/>
      <c r="C13" s="5"/>
      <c r="D13" s="5"/>
      <c r="E13" s="5"/>
      <c r="F13" s="5">
        <f t="shared" si="0"/>
        <v>0.35999999999998783</v>
      </c>
      <c r="G13" s="5"/>
      <c r="H13">
        <f t="shared" si="1"/>
        <v>3.3599999999999675</v>
      </c>
    </row>
    <row r="14" spans="1:10" x14ac:dyDescent="0.25">
      <c r="A14" s="5">
        <v>-6.4999999999999902</v>
      </c>
      <c r="B14" s="5"/>
      <c r="C14" s="5"/>
      <c r="D14" s="5"/>
      <c r="E14" s="5"/>
      <c r="F14" s="5">
        <f t="shared" si="0"/>
        <v>0.24999999999999023</v>
      </c>
      <c r="G14" s="5"/>
      <c r="H14">
        <f t="shared" si="1"/>
        <v>2.9999999999999609</v>
      </c>
    </row>
    <row r="15" spans="1:10" x14ac:dyDescent="0.25">
      <c r="A15" s="5">
        <v>-6.3999999999999897</v>
      </c>
      <c r="B15" s="5"/>
      <c r="C15" s="5"/>
      <c r="D15" s="5"/>
      <c r="E15" s="5"/>
      <c r="F15" s="5">
        <f t="shared" si="0"/>
        <v>0.15999999999999176</v>
      </c>
      <c r="G15" s="5"/>
      <c r="H15" s="5"/>
    </row>
    <row r="16" spans="1:10" x14ac:dyDescent="0.25">
      <c r="A16" s="5">
        <v>-6.2999999999999901</v>
      </c>
      <c r="B16" s="5"/>
      <c r="C16" s="5"/>
      <c r="D16" s="5"/>
      <c r="E16" s="5"/>
      <c r="F16" s="5">
        <f t="shared" si="0"/>
        <v>8.9999999999994029E-2</v>
      </c>
      <c r="G16" s="5"/>
      <c r="H16" s="5"/>
    </row>
    <row r="17" spans="1:9" x14ac:dyDescent="0.25">
      <c r="A17" s="5">
        <v>-6.1999999999999904</v>
      </c>
      <c r="B17" s="5"/>
      <c r="C17" s="5"/>
      <c r="D17" s="5"/>
      <c r="E17" s="5"/>
      <c r="F17" s="5">
        <f t="shared" si="0"/>
        <v>3.9999999999996164E-2</v>
      </c>
      <c r="G17" s="5"/>
      <c r="H17" s="5"/>
    </row>
    <row r="18" spans="1:9" x14ac:dyDescent="0.25">
      <c r="A18" s="5">
        <v>-6.0999999999999899</v>
      </c>
      <c r="F18" s="5">
        <f t="shared" si="0"/>
        <v>9.9999999999979758E-3</v>
      </c>
    </row>
    <row r="19" spans="1:9" x14ac:dyDescent="0.25">
      <c r="A19" s="5">
        <v>-5.9999999999999902</v>
      </c>
      <c r="F19" s="5">
        <f t="shared" si="0"/>
        <v>9.5452169531742428E-29</v>
      </c>
    </row>
    <row r="20" spans="1:9" x14ac:dyDescent="0.25">
      <c r="A20" s="5">
        <v>-5.8999999999999897</v>
      </c>
      <c r="F20" s="5">
        <f t="shared" si="0"/>
        <v>1.0000000000002061E-2</v>
      </c>
    </row>
    <row r="21" spans="1:9" x14ac:dyDescent="0.25">
      <c r="A21" s="5">
        <v>-5.7999999999999901</v>
      </c>
      <c r="F21" s="5">
        <f t="shared" si="0"/>
        <v>4.0000000000003977E-2</v>
      </c>
    </row>
    <row r="22" spans="1:9" x14ac:dyDescent="0.25">
      <c r="A22" s="5">
        <v>-5.6999999999999904</v>
      </c>
      <c r="F22" s="5">
        <f t="shared" si="0"/>
        <v>9.0000000000005756E-2</v>
      </c>
    </row>
    <row r="23" spans="1:9" x14ac:dyDescent="0.25">
      <c r="A23" s="5">
        <v>-5.5999999999999899</v>
      </c>
      <c r="F23" s="5">
        <f t="shared" si="0"/>
        <v>0.16000000000000811</v>
      </c>
    </row>
    <row r="24" spans="1:9" x14ac:dyDescent="0.25">
      <c r="A24" s="5">
        <v>-5.4999999999999902</v>
      </c>
      <c r="F24" s="5">
        <f t="shared" si="0"/>
        <v>0.25000000000000977</v>
      </c>
      <c r="I24">
        <f>-4*(A24+5)^2+4</f>
        <v>3.0000000000000391</v>
      </c>
    </row>
    <row r="25" spans="1:9" x14ac:dyDescent="0.25">
      <c r="A25" s="5">
        <v>-5.3999999999999897</v>
      </c>
      <c r="F25" s="5">
        <f t="shared" si="0"/>
        <v>0.36000000000001237</v>
      </c>
      <c r="I25">
        <f t="shared" ref="I25:I34" si="2">-4*(A25+5)^2+4</f>
        <v>3.3600000000000332</v>
      </c>
    </row>
    <row r="26" spans="1:9" x14ac:dyDescent="0.25">
      <c r="A26" s="5">
        <v>-5.2999999999999901</v>
      </c>
      <c r="F26" s="5">
        <f t="shared" si="0"/>
        <v>0.49000000000001392</v>
      </c>
      <c r="I26">
        <f t="shared" si="2"/>
        <v>3.6400000000000237</v>
      </c>
    </row>
    <row r="27" spans="1:9" x14ac:dyDescent="0.25">
      <c r="A27" s="5">
        <v>-5.1999999999999904</v>
      </c>
      <c r="F27" s="5">
        <f t="shared" si="0"/>
        <v>0.64000000000001533</v>
      </c>
      <c r="I27">
        <f t="shared" si="2"/>
        <v>3.8400000000000154</v>
      </c>
    </row>
    <row r="28" spans="1:9" x14ac:dyDescent="0.25">
      <c r="A28" s="5">
        <v>-5.0999999999999899</v>
      </c>
      <c r="D28">
        <f>6*(A28+4)^2-7</f>
        <v>0.25999999999986656</v>
      </c>
      <c r="F28" s="5">
        <f t="shared" si="0"/>
        <v>0.81000000000001826</v>
      </c>
      <c r="I28">
        <f t="shared" si="2"/>
        <v>3.960000000000008</v>
      </c>
    </row>
    <row r="29" spans="1:9" x14ac:dyDescent="0.25">
      <c r="A29" s="5">
        <v>-4.9999999999999902</v>
      </c>
      <c r="D29">
        <f t="shared" ref="D29:D49" si="3">6*(A29+4)^2-7</f>
        <v>-1.0000000000001172</v>
      </c>
      <c r="F29" s="5">
        <f t="shared" si="0"/>
        <v>1.0000000000000195</v>
      </c>
      <c r="I29">
        <f t="shared" si="2"/>
        <v>4</v>
      </c>
    </row>
    <row r="30" spans="1:9" x14ac:dyDescent="0.25">
      <c r="A30" s="5">
        <v>-4.8999999999999897</v>
      </c>
      <c r="D30">
        <f t="shared" si="3"/>
        <v>-2.1400000000001116</v>
      </c>
      <c r="F30" s="5">
        <f t="shared" si="0"/>
        <v>1.2100000000000226</v>
      </c>
      <c r="I30">
        <f t="shared" si="2"/>
        <v>3.959999999999992</v>
      </c>
    </row>
    <row r="31" spans="1:9" x14ac:dyDescent="0.25">
      <c r="A31" s="5">
        <v>-4.7999999999999803</v>
      </c>
      <c r="D31">
        <f t="shared" si="3"/>
        <v>-3.1600000000001893</v>
      </c>
      <c r="F31" s="5">
        <f t="shared" si="0"/>
        <v>1.4400000000000472</v>
      </c>
      <c r="I31">
        <f t="shared" si="2"/>
        <v>3.8399999999999683</v>
      </c>
    </row>
    <row r="32" spans="1:9" x14ac:dyDescent="0.25">
      <c r="A32" s="5">
        <v>-4.6999999999999797</v>
      </c>
      <c r="D32">
        <f t="shared" si="3"/>
        <v>-4.0600000000001701</v>
      </c>
      <c r="F32" s="5">
        <f t="shared" si="0"/>
        <v>1.6900000000000526</v>
      </c>
      <c r="I32">
        <f t="shared" si="2"/>
        <v>3.6399999999999513</v>
      </c>
    </row>
    <row r="33" spans="1:9" x14ac:dyDescent="0.25">
      <c r="A33" s="5">
        <v>-4.5999999999999801</v>
      </c>
      <c r="B33">
        <f>-(3/25)*A33^2+6</f>
        <v>3.4608000000000221</v>
      </c>
      <c r="D33">
        <f t="shared" si="3"/>
        <v>-4.8400000000001437</v>
      </c>
      <c r="F33" s="5">
        <f t="shared" si="0"/>
        <v>1.9600000000000557</v>
      </c>
      <c r="I33">
        <f t="shared" si="2"/>
        <v>3.3599999999999364</v>
      </c>
    </row>
    <row r="34" spans="1:9" x14ac:dyDescent="0.25">
      <c r="A34" s="5">
        <v>-4.4999999999999796</v>
      </c>
      <c r="B34">
        <f t="shared" ref="B34:B97" si="4">-(3/25)*A34^2+6</f>
        <v>3.570000000000022</v>
      </c>
      <c r="D34">
        <f t="shared" si="3"/>
        <v>-5.5000000000001226</v>
      </c>
      <c r="F34" s="5">
        <f t="shared" si="0"/>
        <v>2.2500000000000613</v>
      </c>
      <c r="I34">
        <f t="shared" si="2"/>
        <v>2.9999999999999183</v>
      </c>
    </row>
    <row r="35" spans="1:9" x14ac:dyDescent="0.25">
      <c r="A35" s="5">
        <v>-4.3999999999999799</v>
      </c>
      <c r="B35">
        <f t="shared" si="4"/>
        <v>3.6768000000000214</v>
      </c>
      <c r="D35">
        <f t="shared" si="3"/>
        <v>-6.0400000000000968</v>
      </c>
      <c r="F35" s="5">
        <f t="shared" si="0"/>
        <v>2.5600000000000644</v>
      </c>
    </row>
    <row r="36" spans="1:9" x14ac:dyDescent="0.25">
      <c r="A36" s="5">
        <v>-4.2999999999999803</v>
      </c>
      <c r="B36">
        <f t="shared" si="4"/>
        <v>3.7812000000000201</v>
      </c>
      <c r="D36">
        <f t="shared" si="3"/>
        <v>-6.460000000000071</v>
      </c>
      <c r="F36" s="5">
        <f t="shared" si="0"/>
        <v>2.8900000000000672</v>
      </c>
    </row>
    <row r="37" spans="1:9" x14ac:dyDescent="0.25">
      <c r="A37" s="5">
        <v>-4.1999999999999797</v>
      </c>
      <c r="B37">
        <f t="shared" si="4"/>
        <v>3.8832000000000204</v>
      </c>
      <c r="D37">
        <f t="shared" si="3"/>
        <v>-6.7600000000000486</v>
      </c>
    </row>
    <row r="38" spans="1:9" x14ac:dyDescent="0.25">
      <c r="A38" s="5">
        <v>-4.0999999999999801</v>
      </c>
      <c r="B38">
        <f t="shared" si="4"/>
        <v>3.9828000000000197</v>
      </c>
      <c r="D38">
        <f t="shared" si="3"/>
        <v>-6.9400000000000235</v>
      </c>
    </row>
    <row r="39" spans="1:9" x14ac:dyDescent="0.25">
      <c r="A39" s="5">
        <v>-3.99999999999998</v>
      </c>
      <c r="B39">
        <f t="shared" si="4"/>
        <v>4.0800000000000196</v>
      </c>
      <c r="D39">
        <f t="shared" si="3"/>
        <v>-7</v>
      </c>
    </row>
    <row r="40" spans="1:9" x14ac:dyDescent="0.25">
      <c r="A40" s="5">
        <v>-3.8999999999999799</v>
      </c>
      <c r="B40">
        <f t="shared" si="4"/>
        <v>4.1748000000000189</v>
      </c>
      <c r="D40">
        <f t="shared" si="3"/>
        <v>-6.9399999999999755</v>
      </c>
    </row>
    <row r="41" spans="1:9" x14ac:dyDescent="0.25">
      <c r="A41" s="5">
        <v>-3.7999999999999798</v>
      </c>
      <c r="B41">
        <f t="shared" si="4"/>
        <v>4.2672000000000185</v>
      </c>
      <c r="D41">
        <f t="shared" si="3"/>
        <v>-6.7599999999999518</v>
      </c>
    </row>
    <row r="42" spans="1:9" x14ac:dyDescent="0.25">
      <c r="A42" s="5">
        <v>-3.6999999999999802</v>
      </c>
      <c r="B42">
        <f t="shared" si="4"/>
        <v>4.3572000000000175</v>
      </c>
      <c r="D42">
        <f t="shared" si="3"/>
        <v>-6.4599999999999289</v>
      </c>
    </row>
    <row r="43" spans="1:9" x14ac:dyDescent="0.25">
      <c r="A43" s="5">
        <v>-3.5999999999999801</v>
      </c>
      <c r="B43">
        <f t="shared" si="4"/>
        <v>4.4448000000000167</v>
      </c>
      <c r="D43">
        <f t="shared" si="3"/>
        <v>-6.039999999999905</v>
      </c>
    </row>
    <row r="44" spans="1:9" x14ac:dyDescent="0.25">
      <c r="A44" s="5">
        <v>-3.49999999999998</v>
      </c>
      <c r="B44">
        <f t="shared" si="4"/>
        <v>4.5300000000000171</v>
      </c>
      <c r="D44">
        <f t="shared" si="3"/>
        <v>-5.4999999999998801</v>
      </c>
    </row>
    <row r="45" spans="1:9" x14ac:dyDescent="0.25">
      <c r="A45" s="5">
        <v>-3.3999999999999799</v>
      </c>
      <c r="B45">
        <f t="shared" si="4"/>
        <v>4.612800000000016</v>
      </c>
      <c r="D45">
        <f t="shared" si="3"/>
        <v>-4.839999999999856</v>
      </c>
    </row>
    <row r="46" spans="1:9" x14ac:dyDescent="0.25">
      <c r="A46" s="5">
        <v>-3.2999999999999798</v>
      </c>
      <c r="B46">
        <f t="shared" si="4"/>
        <v>4.693200000000016</v>
      </c>
      <c r="D46">
        <f t="shared" si="3"/>
        <v>-4.05999999999983</v>
      </c>
    </row>
    <row r="47" spans="1:9" x14ac:dyDescent="0.25">
      <c r="A47" s="5">
        <v>-3.1999999999999802</v>
      </c>
      <c r="B47">
        <f t="shared" si="4"/>
        <v>4.7712000000000154</v>
      </c>
      <c r="D47">
        <f t="shared" si="3"/>
        <v>-3.1599999999998101</v>
      </c>
    </row>
    <row r="48" spans="1:9" x14ac:dyDescent="0.25">
      <c r="A48" s="5">
        <v>-3.0999999999999801</v>
      </c>
      <c r="B48">
        <f t="shared" si="4"/>
        <v>4.8468000000000151</v>
      </c>
      <c r="D48">
        <f t="shared" si="3"/>
        <v>-2.1399999999997856</v>
      </c>
    </row>
    <row r="49" spans="1:4" x14ac:dyDescent="0.25">
      <c r="A49" s="5">
        <v>-2.9999999999999698</v>
      </c>
      <c r="B49">
        <f t="shared" si="4"/>
        <v>4.9200000000000212</v>
      </c>
      <c r="C49">
        <f>-(1/3)*A49^2+2</f>
        <v>-0.9999999999999396</v>
      </c>
      <c r="D49">
        <f t="shared" si="3"/>
        <v>-0.99999999999963762</v>
      </c>
    </row>
    <row r="50" spans="1:4" x14ac:dyDescent="0.25">
      <c r="A50" s="5">
        <v>-2.8999999999999702</v>
      </c>
      <c r="B50">
        <f t="shared" si="4"/>
        <v>4.9908000000000214</v>
      </c>
      <c r="C50">
        <f t="shared" ref="C50:C109" si="5">-(1/3)*A50^2+2</f>
        <v>-0.80333333333327506</v>
      </c>
    </row>
    <row r="51" spans="1:4" x14ac:dyDescent="0.25">
      <c r="A51" s="5">
        <v>-2.7999999999999701</v>
      </c>
      <c r="B51">
        <f t="shared" si="4"/>
        <v>5.0592000000000201</v>
      </c>
      <c r="C51">
        <f t="shared" si="5"/>
        <v>-0.61333333333327733</v>
      </c>
    </row>
    <row r="52" spans="1:4" x14ac:dyDescent="0.25">
      <c r="A52" s="5">
        <v>-2.69999999999997</v>
      </c>
      <c r="B52">
        <f t="shared" si="4"/>
        <v>5.1252000000000191</v>
      </c>
      <c r="C52">
        <f t="shared" si="5"/>
        <v>-0.42999999999994554</v>
      </c>
    </row>
    <row r="53" spans="1:4" x14ac:dyDescent="0.25">
      <c r="A53" s="5">
        <v>-2.5999999999999699</v>
      </c>
      <c r="B53">
        <f t="shared" si="4"/>
        <v>5.1888000000000192</v>
      </c>
      <c r="C53">
        <f t="shared" si="5"/>
        <v>-0.25333333333328101</v>
      </c>
    </row>
    <row r="54" spans="1:4" x14ac:dyDescent="0.25">
      <c r="A54" s="5">
        <v>-2.4999999999999698</v>
      </c>
      <c r="B54">
        <f t="shared" si="4"/>
        <v>5.2500000000000178</v>
      </c>
      <c r="C54">
        <f t="shared" si="5"/>
        <v>-8.3333333333282855E-2</v>
      </c>
    </row>
    <row r="55" spans="1:4" x14ac:dyDescent="0.25">
      <c r="A55" s="5">
        <v>-2.3999999999999702</v>
      </c>
      <c r="B55">
        <f t="shared" si="4"/>
        <v>5.3088000000000175</v>
      </c>
      <c r="C55">
        <f t="shared" si="5"/>
        <v>8.0000000000047811E-2</v>
      </c>
    </row>
    <row r="56" spans="1:4" x14ac:dyDescent="0.25">
      <c r="A56" s="5">
        <v>-2.2999999999999701</v>
      </c>
      <c r="B56">
        <f t="shared" si="4"/>
        <v>5.3652000000000166</v>
      </c>
      <c r="C56">
        <f t="shared" si="5"/>
        <v>0.23666666666671254</v>
      </c>
    </row>
    <row r="57" spans="1:4" x14ac:dyDescent="0.25">
      <c r="A57" s="5">
        <v>-2.19999999999997</v>
      </c>
      <c r="B57">
        <f t="shared" si="4"/>
        <v>5.419200000000016</v>
      </c>
      <c r="C57">
        <f t="shared" si="5"/>
        <v>0.3866666666667109</v>
      </c>
    </row>
    <row r="58" spans="1:4" x14ac:dyDescent="0.25">
      <c r="A58" s="5">
        <v>-2.0999999999999699</v>
      </c>
      <c r="B58">
        <f t="shared" si="4"/>
        <v>5.4708000000000148</v>
      </c>
      <c r="C58">
        <f t="shared" si="5"/>
        <v>0.53000000000004244</v>
      </c>
    </row>
    <row r="59" spans="1:4" x14ac:dyDescent="0.25">
      <c r="A59" s="5">
        <v>-1.99999999999997</v>
      </c>
      <c r="B59">
        <f t="shared" si="4"/>
        <v>5.5200000000000147</v>
      </c>
      <c r="C59">
        <f t="shared" si="5"/>
        <v>0.66666666666670671</v>
      </c>
    </row>
    <row r="60" spans="1:4" x14ac:dyDescent="0.25">
      <c r="A60" s="5">
        <v>-1.8999999999999699</v>
      </c>
      <c r="B60">
        <f t="shared" si="4"/>
        <v>5.566800000000014</v>
      </c>
      <c r="C60">
        <f t="shared" si="5"/>
        <v>0.79666666666670483</v>
      </c>
    </row>
    <row r="61" spans="1:4" x14ac:dyDescent="0.25">
      <c r="A61" s="5">
        <v>-1.7999999999999701</v>
      </c>
      <c r="B61">
        <f t="shared" si="4"/>
        <v>5.6112000000000126</v>
      </c>
      <c r="C61">
        <f t="shared" si="5"/>
        <v>0.9200000000000359</v>
      </c>
    </row>
    <row r="62" spans="1:4" x14ac:dyDescent="0.25">
      <c r="A62" s="5">
        <v>-1.69999999999997</v>
      </c>
      <c r="B62">
        <f t="shared" si="4"/>
        <v>5.6532000000000124</v>
      </c>
      <c r="C62">
        <f t="shared" si="5"/>
        <v>1.0366666666667008</v>
      </c>
    </row>
    <row r="63" spans="1:4" x14ac:dyDescent="0.25">
      <c r="A63" s="5">
        <v>-1.5999999999999699</v>
      </c>
      <c r="B63">
        <f t="shared" si="4"/>
        <v>5.6928000000000116</v>
      </c>
      <c r="C63">
        <f t="shared" si="5"/>
        <v>1.1466666666666989</v>
      </c>
    </row>
    <row r="64" spans="1:4" x14ac:dyDescent="0.25">
      <c r="A64" s="5">
        <v>-1.49999999999997</v>
      </c>
      <c r="B64">
        <f t="shared" si="4"/>
        <v>5.7300000000000111</v>
      </c>
      <c r="C64">
        <f t="shared" si="5"/>
        <v>1.25000000000003</v>
      </c>
    </row>
    <row r="65" spans="1:3" x14ac:dyDescent="0.25">
      <c r="A65" s="5">
        <v>-1.3999999999999699</v>
      </c>
      <c r="B65">
        <f t="shared" si="4"/>
        <v>5.7648000000000099</v>
      </c>
      <c r="C65">
        <f t="shared" si="5"/>
        <v>1.3466666666666947</v>
      </c>
    </row>
    <row r="66" spans="1:3" x14ac:dyDescent="0.25">
      <c r="A66" s="5">
        <v>-1.2999999999999701</v>
      </c>
      <c r="B66">
        <f t="shared" si="4"/>
        <v>5.797200000000009</v>
      </c>
      <c r="C66">
        <f t="shared" si="5"/>
        <v>1.4366666666666927</v>
      </c>
    </row>
    <row r="67" spans="1:3" x14ac:dyDescent="0.25">
      <c r="A67" s="5">
        <v>-1.19999999999997</v>
      </c>
      <c r="B67">
        <f t="shared" si="4"/>
        <v>5.8272000000000084</v>
      </c>
      <c r="C67">
        <f t="shared" si="5"/>
        <v>1.520000000000024</v>
      </c>
    </row>
    <row r="68" spans="1:3" x14ac:dyDescent="0.25">
      <c r="A68" s="5">
        <v>-1.0999999999999599</v>
      </c>
      <c r="B68">
        <f t="shared" si="4"/>
        <v>5.8548000000000107</v>
      </c>
      <c r="C68">
        <f t="shared" si="5"/>
        <v>1.596666666666696</v>
      </c>
    </row>
    <row r="69" spans="1:3" x14ac:dyDescent="0.25">
      <c r="A69" s="5">
        <v>-0.99999999999996003</v>
      </c>
      <c r="B69">
        <f t="shared" si="4"/>
        <v>5.8800000000000097</v>
      </c>
      <c r="C69">
        <f t="shared" si="5"/>
        <v>1.6666666666666934</v>
      </c>
    </row>
    <row r="70" spans="1:3" x14ac:dyDescent="0.25">
      <c r="A70" s="5">
        <v>-0.89999999999996005</v>
      </c>
      <c r="B70">
        <f t="shared" si="4"/>
        <v>5.9028000000000089</v>
      </c>
      <c r="C70">
        <f t="shared" si="5"/>
        <v>1.730000000000024</v>
      </c>
    </row>
    <row r="71" spans="1:3" x14ac:dyDescent="0.25">
      <c r="A71" s="5">
        <v>-0.79999999999995997</v>
      </c>
      <c r="B71">
        <f t="shared" si="4"/>
        <v>5.9232000000000076</v>
      </c>
      <c r="C71">
        <f t="shared" si="5"/>
        <v>1.7866666666666879</v>
      </c>
    </row>
    <row r="72" spans="1:3" x14ac:dyDescent="0.25">
      <c r="A72" s="5">
        <v>-0.69999999999995999</v>
      </c>
      <c r="B72">
        <f t="shared" si="4"/>
        <v>5.9412000000000065</v>
      </c>
      <c r="C72">
        <f t="shared" si="5"/>
        <v>1.8366666666666853</v>
      </c>
    </row>
    <row r="73" spans="1:3" x14ac:dyDescent="0.25">
      <c r="A73" s="5">
        <v>-0.59999999999996101</v>
      </c>
      <c r="B73">
        <f t="shared" si="4"/>
        <v>5.9568000000000056</v>
      </c>
      <c r="C73">
        <f t="shared" si="5"/>
        <v>1.8800000000000157</v>
      </c>
    </row>
    <row r="74" spans="1:3" x14ac:dyDescent="0.25">
      <c r="A74" s="5">
        <v>-0.49999999999995998</v>
      </c>
      <c r="B74">
        <f t="shared" si="4"/>
        <v>5.9700000000000051</v>
      </c>
      <c r="C74">
        <f t="shared" si="5"/>
        <v>1.9166666666666801</v>
      </c>
    </row>
    <row r="75" spans="1:3" x14ac:dyDescent="0.25">
      <c r="A75" s="5">
        <v>-0.39999999999996</v>
      </c>
      <c r="B75">
        <f t="shared" si="4"/>
        <v>5.9808000000000039</v>
      </c>
      <c r="C75">
        <f t="shared" si="5"/>
        <v>1.9466666666666774</v>
      </c>
    </row>
    <row r="76" spans="1:3" x14ac:dyDescent="0.25">
      <c r="A76" s="5">
        <v>-0.29999999999996002</v>
      </c>
      <c r="B76">
        <f t="shared" si="4"/>
        <v>5.989200000000003</v>
      </c>
      <c r="C76">
        <f t="shared" si="5"/>
        <v>1.970000000000008</v>
      </c>
    </row>
    <row r="77" spans="1:3" x14ac:dyDescent="0.25">
      <c r="A77" s="5">
        <v>-0.19999999999995999</v>
      </c>
      <c r="B77">
        <f t="shared" si="4"/>
        <v>5.9952000000000023</v>
      </c>
      <c r="C77">
        <f t="shared" si="5"/>
        <v>1.9866666666666719</v>
      </c>
    </row>
    <row r="78" spans="1:3" x14ac:dyDescent="0.25">
      <c r="A78" s="5">
        <v>-9.9999999999960607E-2</v>
      </c>
      <c r="B78">
        <f t="shared" si="4"/>
        <v>5.998800000000001</v>
      </c>
      <c r="C78">
        <f t="shared" si="5"/>
        <v>1.9966666666666693</v>
      </c>
    </row>
    <row r="79" spans="1:3" x14ac:dyDescent="0.25">
      <c r="A79" s="5">
        <v>0</v>
      </c>
      <c r="B79">
        <f t="shared" si="4"/>
        <v>6</v>
      </c>
      <c r="C79">
        <f t="shared" si="5"/>
        <v>2</v>
      </c>
    </row>
    <row r="80" spans="1:3" x14ac:dyDescent="0.25">
      <c r="A80" s="5">
        <v>0.10000000000004</v>
      </c>
      <c r="B80">
        <f t="shared" si="4"/>
        <v>5.9987999999999992</v>
      </c>
      <c r="C80">
        <f t="shared" si="5"/>
        <v>1.9966666666666639</v>
      </c>
    </row>
    <row r="81" spans="1:3" x14ac:dyDescent="0.25">
      <c r="A81" s="5">
        <v>0.20000000000004001</v>
      </c>
      <c r="B81">
        <f t="shared" si="4"/>
        <v>5.9951999999999979</v>
      </c>
      <c r="C81">
        <f t="shared" si="5"/>
        <v>1.9866666666666613</v>
      </c>
    </row>
    <row r="82" spans="1:3" x14ac:dyDescent="0.25">
      <c r="A82" s="5">
        <v>0.30000000000004101</v>
      </c>
      <c r="B82">
        <f t="shared" si="4"/>
        <v>5.9891999999999967</v>
      </c>
      <c r="C82">
        <f t="shared" si="5"/>
        <v>1.9699999999999918</v>
      </c>
    </row>
    <row r="83" spans="1:3" x14ac:dyDescent="0.25">
      <c r="A83" s="5">
        <v>0.40000000000003999</v>
      </c>
      <c r="B83">
        <f t="shared" si="4"/>
        <v>5.9807999999999959</v>
      </c>
      <c r="C83">
        <f t="shared" si="5"/>
        <v>1.9466666666666561</v>
      </c>
    </row>
    <row r="84" spans="1:3" x14ac:dyDescent="0.25">
      <c r="A84" s="5">
        <v>0.50000000000003997</v>
      </c>
      <c r="B84">
        <f t="shared" si="4"/>
        <v>5.9699999999999953</v>
      </c>
      <c r="C84">
        <f t="shared" si="5"/>
        <v>1.9166666666666534</v>
      </c>
    </row>
    <row r="85" spans="1:3" x14ac:dyDescent="0.25">
      <c r="A85" s="5">
        <v>0.60000000000003995</v>
      </c>
      <c r="B85">
        <f t="shared" si="4"/>
        <v>5.9567999999999941</v>
      </c>
      <c r="C85">
        <f t="shared" si="5"/>
        <v>1.8799999999999839</v>
      </c>
    </row>
    <row r="86" spans="1:3" x14ac:dyDescent="0.25">
      <c r="A86" s="5">
        <v>0.70000000000003904</v>
      </c>
      <c r="B86">
        <f t="shared" si="4"/>
        <v>5.9411999999999932</v>
      </c>
      <c r="C86">
        <f t="shared" si="5"/>
        <v>1.8366666666666485</v>
      </c>
    </row>
    <row r="87" spans="1:3" x14ac:dyDescent="0.25">
      <c r="A87" s="5">
        <v>0.80000000000005</v>
      </c>
      <c r="B87">
        <f t="shared" si="4"/>
        <v>5.9231999999999907</v>
      </c>
      <c r="C87">
        <f t="shared" si="5"/>
        <v>1.78666666666664</v>
      </c>
    </row>
    <row r="88" spans="1:3" x14ac:dyDescent="0.25">
      <c r="A88" s="5">
        <v>0.90000000000004898</v>
      </c>
      <c r="B88">
        <f t="shared" si="4"/>
        <v>5.9027999999999894</v>
      </c>
      <c r="C88">
        <f t="shared" si="5"/>
        <v>1.7299999999999707</v>
      </c>
    </row>
    <row r="89" spans="1:3" x14ac:dyDescent="0.25">
      <c r="A89" s="5">
        <v>1.00000000000005</v>
      </c>
      <c r="B89">
        <f t="shared" si="4"/>
        <v>5.8799999999999883</v>
      </c>
      <c r="C89">
        <f t="shared" si="5"/>
        <v>1.6666666666666334</v>
      </c>
    </row>
    <row r="90" spans="1:3" x14ac:dyDescent="0.25">
      <c r="A90" s="5">
        <v>1.10000000000005</v>
      </c>
      <c r="B90">
        <f t="shared" si="4"/>
        <v>5.8547999999999867</v>
      </c>
      <c r="C90">
        <f t="shared" si="5"/>
        <v>1.59666666666663</v>
      </c>
    </row>
    <row r="91" spans="1:3" x14ac:dyDescent="0.25">
      <c r="A91" s="5">
        <v>1.2000000000000499</v>
      </c>
      <c r="B91">
        <f t="shared" si="4"/>
        <v>5.8271999999999853</v>
      </c>
      <c r="C91">
        <f t="shared" si="5"/>
        <v>1.51999999999996</v>
      </c>
    </row>
    <row r="92" spans="1:3" x14ac:dyDescent="0.25">
      <c r="A92" s="5">
        <v>1.30000000000005</v>
      </c>
      <c r="B92">
        <f t="shared" si="4"/>
        <v>5.7971999999999841</v>
      </c>
      <c r="C92">
        <f t="shared" si="5"/>
        <v>1.4366666666666235</v>
      </c>
    </row>
    <row r="93" spans="1:3" x14ac:dyDescent="0.25">
      <c r="A93" s="5">
        <v>1.4000000000000501</v>
      </c>
      <c r="B93">
        <f t="shared" si="4"/>
        <v>5.7647999999999833</v>
      </c>
      <c r="C93">
        <f t="shared" si="5"/>
        <v>1.34666666666662</v>
      </c>
    </row>
    <row r="94" spans="1:3" x14ac:dyDescent="0.25">
      <c r="A94" s="5">
        <v>1.50000000000005</v>
      </c>
      <c r="B94">
        <f t="shared" si="4"/>
        <v>5.7299999999999818</v>
      </c>
      <c r="C94">
        <f t="shared" si="5"/>
        <v>1.24999999999995</v>
      </c>
    </row>
    <row r="95" spans="1:3" x14ac:dyDescent="0.25">
      <c r="A95" s="5">
        <v>1.60000000000005</v>
      </c>
      <c r="B95">
        <f t="shared" si="4"/>
        <v>5.6927999999999805</v>
      </c>
      <c r="C95">
        <f t="shared" si="5"/>
        <v>1.1466666666666132</v>
      </c>
    </row>
    <row r="96" spans="1:3" x14ac:dyDescent="0.25">
      <c r="A96" s="5">
        <v>1.7000000000000499</v>
      </c>
      <c r="B96">
        <f t="shared" si="4"/>
        <v>5.6531999999999796</v>
      </c>
      <c r="C96">
        <f t="shared" si="5"/>
        <v>1.0366666666666102</v>
      </c>
    </row>
    <row r="97" spans="1:5" x14ac:dyDescent="0.25">
      <c r="A97" s="5">
        <v>1.80000000000005</v>
      </c>
      <c r="B97">
        <f t="shared" si="4"/>
        <v>5.6111999999999789</v>
      </c>
      <c r="C97">
        <f t="shared" si="5"/>
        <v>0.91999999999993998</v>
      </c>
    </row>
    <row r="98" spans="1:5" x14ac:dyDescent="0.25">
      <c r="A98" s="5">
        <v>1.9000000000000501</v>
      </c>
      <c r="B98">
        <f t="shared" ref="B98:B129" si="6">-(3/25)*A98^2+6</f>
        <v>5.5667999999999775</v>
      </c>
      <c r="C98">
        <f t="shared" si="5"/>
        <v>0.79666666666660335</v>
      </c>
    </row>
    <row r="99" spans="1:5" x14ac:dyDescent="0.25">
      <c r="A99" s="5">
        <v>2.0000000000000502</v>
      </c>
      <c r="B99">
        <f t="shared" si="6"/>
        <v>5.5199999999999756</v>
      </c>
      <c r="C99">
        <f t="shared" si="5"/>
        <v>0.66666666666659991</v>
      </c>
    </row>
    <row r="100" spans="1:5" x14ac:dyDescent="0.25">
      <c r="A100" s="5">
        <v>2.1000000000000498</v>
      </c>
      <c r="B100">
        <f t="shared" si="6"/>
        <v>5.4707999999999748</v>
      </c>
      <c r="C100">
        <f t="shared" si="5"/>
        <v>0.52999999999993053</v>
      </c>
    </row>
    <row r="101" spans="1:5" x14ac:dyDescent="0.25">
      <c r="A101" s="5">
        <v>2.2000000000000499</v>
      </c>
      <c r="B101">
        <f t="shared" si="6"/>
        <v>5.4191999999999734</v>
      </c>
      <c r="C101">
        <f t="shared" si="5"/>
        <v>0.38666666666659366</v>
      </c>
    </row>
    <row r="102" spans="1:5" x14ac:dyDescent="0.25">
      <c r="A102" s="5">
        <v>2.3000000000001002</v>
      </c>
      <c r="B102">
        <f t="shared" si="6"/>
        <v>5.3651999999999447</v>
      </c>
      <c r="C102">
        <f t="shared" si="5"/>
        <v>0.23666666666651315</v>
      </c>
    </row>
    <row r="103" spans="1:5" x14ac:dyDescent="0.25">
      <c r="A103" s="5">
        <v>2.4000000000000998</v>
      </c>
      <c r="B103">
        <f t="shared" si="6"/>
        <v>5.3087999999999429</v>
      </c>
      <c r="C103">
        <f t="shared" si="5"/>
        <v>7.9999999999840199E-2</v>
      </c>
    </row>
    <row r="104" spans="1:5" x14ac:dyDescent="0.25">
      <c r="A104" s="5">
        <v>2.5000000000000999</v>
      </c>
      <c r="B104">
        <f t="shared" si="6"/>
        <v>5.2499999999999405</v>
      </c>
      <c r="C104">
        <f t="shared" si="5"/>
        <v>-8.3333333333499571E-2</v>
      </c>
    </row>
    <row r="105" spans="1:5" x14ac:dyDescent="0.25">
      <c r="A105" s="5">
        <v>2.6000000000001</v>
      </c>
      <c r="B105">
        <f t="shared" si="6"/>
        <v>5.1887999999999375</v>
      </c>
      <c r="C105">
        <f t="shared" si="5"/>
        <v>-0.25333333333350661</v>
      </c>
    </row>
    <row r="106" spans="1:5" x14ac:dyDescent="0.25">
      <c r="A106" s="5">
        <v>2.7000000000001001</v>
      </c>
      <c r="B106">
        <f t="shared" si="6"/>
        <v>5.1251999999999356</v>
      </c>
      <c r="C106">
        <f t="shared" si="5"/>
        <v>-0.43000000000018002</v>
      </c>
    </row>
    <row r="107" spans="1:5" x14ac:dyDescent="0.25">
      <c r="A107" s="5">
        <v>2.8000000000001002</v>
      </c>
      <c r="B107">
        <f t="shared" si="6"/>
        <v>5.0591999999999331</v>
      </c>
      <c r="C107">
        <f t="shared" si="5"/>
        <v>-0.61333333333352025</v>
      </c>
    </row>
    <row r="108" spans="1:5" x14ac:dyDescent="0.25">
      <c r="A108" s="5">
        <v>2.9000000000000998</v>
      </c>
      <c r="B108">
        <f t="shared" si="6"/>
        <v>4.9907999999999308</v>
      </c>
      <c r="C108">
        <f t="shared" si="5"/>
        <v>-0.80333333333352641</v>
      </c>
    </row>
    <row r="109" spans="1:5" x14ac:dyDescent="0.25">
      <c r="A109" s="5">
        <v>3.0000000000000999</v>
      </c>
      <c r="B109">
        <f t="shared" si="6"/>
        <v>4.919999999999928</v>
      </c>
      <c r="C109">
        <f t="shared" si="5"/>
        <v>-1.0000000000001998</v>
      </c>
      <c r="E109">
        <f>6*(A109-4)^2-7</f>
        <v>-1.000000000001199</v>
      </c>
    </row>
    <row r="110" spans="1:5" x14ac:dyDescent="0.25">
      <c r="A110" s="5">
        <v>3.1000000000001</v>
      </c>
      <c r="B110">
        <f t="shared" si="6"/>
        <v>4.8467999999999254</v>
      </c>
      <c r="E110">
        <f t="shared" ref="E110:E132" si="7">6*(A110-4)^2-7</f>
        <v>-2.1400000000010806</v>
      </c>
    </row>
    <row r="111" spans="1:5" x14ac:dyDescent="0.25">
      <c r="A111" s="5">
        <v>3.2000000000001001</v>
      </c>
      <c r="B111">
        <f t="shared" si="6"/>
        <v>4.7711999999999231</v>
      </c>
      <c r="E111">
        <f t="shared" si="7"/>
        <v>-3.1600000000009612</v>
      </c>
    </row>
    <row r="112" spans="1:5" x14ac:dyDescent="0.25">
      <c r="A112" s="5">
        <v>3.3000000000001002</v>
      </c>
      <c r="B112">
        <f t="shared" si="6"/>
        <v>4.693199999999921</v>
      </c>
      <c r="E112">
        <f t="shared" si="7"/>
        <v>-4.0600000000008416</v>
      </c>
    </row>
    <row r="113" spans="1:7" x14ac:dyDescent="0.25">
      <c r="A113" s="5">
        <v>3.4000000000000998</v>
      </c>
      <c r="B113">
        <f t="shared" si="6"/>
        <v>4.6127999999999183</v>
      </c>
      <c r="E113">
        <f t="shared" si="7"/>
        <v>-4.8400000000007193</v>
      </c>
    </row>
    <row r="114" spans="1:7" x14ac:dyDescent="0.25">
      <c r="A114" s="5">
        <v>3.5000000000000999</v>
      </c>
      <c r="B114">
        <f t="shared" si="6"/>
        <v>4.5299999999999159</v>
      </c>
      <c r="E114">
        <f t="shared" si="7"/>
        <v>-5.5000000000005995</v>
      </c>
    </row>
    <row r="115" spans="1:7" x14ac:dyDescent="0.25">
      <c r="A115" s="5">
        <v>3.6000000000001</v>
      </c>
      <c r="B115">
        <f t="shared" si="6"/>
        <v>4.4447999999999137</v>
      </c>
      <c r="E115">
        <f t="shared" si="7"/>
        <v>-6.0400000000004805</v>
      </c>
    </row>
    <row r="116" spans="1:7" x14ac:dyDescent="0.25">
      <c r="A116" s="5">
        <v>3.7000000000001001</v>
      </c>
      <c r="B116">
        <f t="shared" si="6"/>
        <v>4.3571999999999109</v>
      </c>
      <c r="E116">
        <f t="shared" si="7"/>
        <v>-6.4600000000003606</v>
      </c>
    </row>
    <row r="117" spans="1:7" x14ac:dyDescent="0.25">
      <c r="A117" s="5">
        <v>3.8000000000001002</v>
      </c>
      <c r="B117">
        <f t="shared" si="6"/>
        <v>4.2671999999999084</v>
      </c>
      <c r="E117">
        <f t="shared" si="7"/>
        <v>-6.7600000000002405</v>
      </c>
    </row>
    <row r="118" spans="1:7" x14ac:dyDescent="0.25">
      <c r="A118" s="5">
        <v>3.9000000000000998</v>
      </c>
      <c r="B118">
        <f t="shared" si="6"/>
        <v>4.174799999999907</v>
      </c>
      <c r="E118">
        <f t="shared" si="7"/>
        <v>-6.9400000000001194</v>
      </c>
    </row>
    <row r="119" spans="1:7" x14ac:dyDescent="0.25">
      <c r="A119" s="5">
        <v>4.0000000000001004</v>
      </c>
      <c r="B119">
        <f t="shared" si="6"/>
        <v>4.0799999999999041</v>
      </c>
      <c r="E119">
        <f t="shared" si="7"/>
        <v>-7</v>
      </c>
    </row>
    <row r="120" spans="1:7" x14ac:dyDescent="0.25">
      <c r="A120" s="5">
        <v>4.1000000000001</v>
      </c>
      <c r="B120">
        <f t="shared" si="6"/>
        <v>3.9827999999999015</v>
      </c>
      <c r="E120">
        <f t="shared" si="7"/>
        <v>-6.9399999999998796</v>
      </c>
    </row>
    <row r="121" spans="1:7" x14ac:dyDescent="0.25">
      <c r="A121" s="5">
        <v>4.2000000000000997</v>
      </c>
      <c r="B121">
        <f t="shared" si="6"/>
        <v>3.8831999999998996</v>
      </c>
      <c r="E121">
        <f t="shared" si="7"/>
        <v>-6.7599999999997609</v>
      </c>
    </row>
    <row r="122" spans="1:7" x14ac:dyDescent="0.25">
      <c r="A122" s="5">
        <v>4.3000000000001002</v>
      </c>
      <c r="B122">
        <f t="shared" si="6"/>
        <v>3.7811999999998966</v>
      </c>
      <c r="E122">
        <f t="shared" si="7"/>
        <v>-6.4599999999996394</v>
      </c>
    </row>
    <row r="123" spans="1:7" x14ac:dyDescent="0.25">
      <c r="A123" s="5">
        <v>4.4000000000000998</v>
      </c>
      <c r="B123">
        <f t="shared" si="6"/>
        <v>3.6767999999998948</v>
      </c>
      <c r="E123">
        <f t="shared" si="7"/>
        <v>-6.0399999999995213</v>
      </c>
    </row>
    <row r="124" spans="1:7" x14ac:dyDescent="0.25">
      <c r="A124" s="5">
        <v>4.5000000000001004</v>
      </c>
      <c r="B124">
        <f t="shared" si="6"/>
        <v>3.5699999999998919</v>
      </c>
      <c r="E124">
        <f t="shared" si="7"/>
        <v>-5.4999999999993978</v>
      </c>
      <c r="G124">
        <f>-24*(A124-5)^2+9</f>
        <v>3.0000000000024087</v>
      </c>
    </row>
    <row r="125" spans="1:7" x14ac:dyDescent="0.25">
      <c r="A125" s="5">
        <v>4.6000000000001</v>
      </c>
      <c r="B125">
        <f t="shared" si="6"/>
        <v>3.4607999999998897</v>
      </c>
      <c r="E125">
        <f t="shared" si="7"/>
        <v>-4.8399999999992804</v>
      </c>
      <c r="G125">
        <f t="shared" ref="G125:G134" si="8">-24*(A125-5)^2+9</f>
        <v>5.1600000000019204</v>
      </c>
    </row>
    <row r="126" spans="1:7" x14ac:dyDescent="0.25">
      <c r="A126" s="5">
        <v>4.7000000000000997</v>
      </c>
      <c r="B126">
        <f t="shared" si="6"/>
        <v>3.3491999999998874</v>
      </c>
      <c r="E126">
        <f t="shared" si="7"/>
        <v>-4.0599999999991629</v>
      </c>
      <c r="G126">
        <f t="shared" si="8"/>
        <v>6.8400000000014352</v>
      </c>
    </row>
    <row r="127" spans="1:7" x14ac:dyDescent="0.25">
      <c r="A127" s="5">
        <v>4.8000000000001002</v>
      </c>
      <c r="B127">
        <f t="shared" si="6"/>
        <v>3.2351999999998848</v>
      </c>
      <c r="E127">
        <f t="shared" si="7"/>
        <v>-3.1599999999990382</v>
      </c>
      <c r="G127">
        <f t="shared" si="8"/>
        <v>8.0400000000009619</v>
      </c>
    </row>
    <row r="128" spans="1:7" x14ac:dyDescent="0.25">
      <c r="A128" s="5">
        <v>4.9000000000000998</v>
      </c>
      <c r="B128">
        <f t="shared" si="6"/>
        <v>3.1187999999998826</v>
      </c>
      <c r="E128">
        <f t="shared" si="7"/>
        <v>-2.1399999999989223</v>
      </c>
      <c r="G128">
        <f t="shared" si="8"/>
        <v>8.7600000000004794</v>
      </c>
    </row>
    <row r="129" spans="1:7" x14ac:dyDescent="0.25">
      <c r="A129" s="5">
        <v>5.0000000000001004</v>
      </c>
      <c r="B129">
        <f t="shared" si="6"/>
        <v>2.9999999999998801</v>
      </c>
      <c r="E129">
        <f t="shared" si="7"/>
        <v>-0.99999999999879563</v>
      </c>
      <c r="G129">
        <f t="shared" si="8"/>
        <v>9</v>
      </c>
    </row>
    <row r="130" spans="1:7" x14ac:dyDescent="0.25">
      <c r="A130" s="5">
        <v>5.1000000000001</v>
      </c>
      <c r="E130">
        <f t="shared" si="7"/>
        <v>0.26000000000131962</v>
      </c>
      <c r="G130">
        <f t="shared" si="8"/>
        <v>8.7599999999995202</v>
      </c>
    </row>
    <row r="131" spans="1:7" x14ac:dyDescent="0.25">
      <c r="A131" s="5">
        <v>5.2000000000000997</v>
      </c>
      <c r="E131">
        <f t="shared" si="7"/>
        <v>1.6400000000014341</v>
      </c>
      <c r="G131">
        <f t="shared" si="8"/>
        <v>8.0399999999990435</v>
      </c>
    </row>
    <row r="132" spans="1:7" x14ac:dyDescent="0.25">
      <c r="A132" s="5">
        <v>5.3000000000001002</v>
      </c>
      <c r="E132">
        <f t="shared" si="7"/>
        <v>3.140000000001562</v>
      </c>
      <c r="G132">
        <f t="shared" si="8"/>
        <v>6.8399999999985575</v>
      </c>
    </row>
    <row r="133" spans="1:7" x14ac:dyDescent="0.25">
      <c r="A133" s="5">
        <v>5.4000000000000998</v>
      </c>
      <c r="G133">
        <f t="shared" si="8"/>
        <v>5.1599999999980835</v>
      </c>
    </row>
    <row r="134" spans="1:7" x14ac:dyDescent="0.25">
      <c r="A134" s="5">
        <v>5.5000000000001004</v>
      </c>
      <c r="G134">
        <f t="shared" si="8"/>
        <v>2.9999999999975913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Vladisalv</dc:creator>
  <cp:lastModifiedBy>Дмитрий Пузынин</cp:lastModifiedBy>
  <dcterms:created xsi:type="dcterms:W3CDTF">2015-06-05T18:19:34Z</dcterms:created>
  <dcterms:modified xsi:type="dcterms:W3CDTF">2025-05-21T04:00:07Z</dcterms:modified>
</cp:coreProperties>
</file>