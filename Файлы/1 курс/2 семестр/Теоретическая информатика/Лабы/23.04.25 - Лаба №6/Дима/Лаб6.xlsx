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23.04.25 - Лаба №6\Дима\"/>
    </mc:Choice>
  </mc:AlternateContent>
  <xr:revisionPtr revIDLastSave="0" documentId="13_ncr:1_{D8C49ACF-8A43-489E-B002-E616AE44E8C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Моя семья" sheetId="1" r:id="rId1"/>
    <sheet name="Даты" sheetId="2" r:id="rId2"/>
    <sheet name="Дни Рождения" sheetId="3" r:id="rId3"/>
    <sheet name="Электронная почта" sheetId="4" r:id="rId4"/>
    <sheet name="Следующий День Рождения" sheetId="5" r:id="rId5"/>
    <sheet name="ДЗ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C21" i="6" s="1"/>
  <c r="F22" i="6"/>
  <c r="D22" i="6" s="1"/>
  <c r="F20" i="6"/>
  <c r="E20" i="6" s="1"/>
  <c r="K20" i="6"/>
  <c r="L20" i="6"/>
  <c r="J20" i="6"/>
  <c r="H15" i="6"/>
  <c r="K21" i="6" s="1"/>
  <c r="I15" i="6"/>
  <c r="L21" i="6" s="1"/>
  <c r="G15" i="6"/>
  <c r="J22" i="6" s="1"/>
  <c r="J3" i="6"/>
  <c r="J4" i="6"/>
  <c r="J5" i="6"/>
  <c r="J6" i="6"/>
  <c r="J7" i="6"/>
  <c r="J8" i="6"/>
  <c r="J9" i="6"/>
  <c r="J10" i="6"/>
  <c r="J11" i="6"/>
  <c r="J12" i="6"/>
  <c r="J13" i="6"/>
  <c r="J14" i="6"/>
  <c r="J2" i="6"/>
  <c r="E3" i="6"/>
  <c r="E4" i="6"/>
  <c r="E5" i="6"/>
  <c r="E6" i="6"/>
  <c r="E7" i="6"/>
  <c r="E8" i="6"/>
  <c r="E9" i="6"/>
  <c r="E10" i="6"/>
  <c r="E11" i="6"/>
  <c r="E12" i="6"/>
  <c r="E13" i="6"/>
  <c r="E14" i="6"/>
  <c r="E2" i="6"/>
  <c r="B4" i="5"/>
  <c r="C4" i="5" s="1"/>
  <c r="B5" i="5"/>
  <c r="C5" i="5" s="1"/>
  <c r="B6" i="5"/>
  <c r="C6" i="5" s="1"/>
  <c r="B7" i="5"/>
  <c r="C7" i="5" s="1"/>
  <c r="B3" i="5"/>
  <c r="C3" i="5" s="1"/>
  <c r="F4" i="4"/>
  <c r="F5" i="4"/>
  <c r="F6" i="4"/>
  <c r="F7" i="4"/>
  <c r="F3" i="4"/>
  <c r="E4" i="3"/>
  <c r="E5" i="3"/>
  <c r="E6" i="3"/>
  <c r="E7" i="3"/>
  <c r="E3" i="3"/>
  <c r="D4" i="3"/>
  <c r="C4" i="3"/>
  <c r="C5" i="3"/>
  <c r="D5" i="3" s="1"/>
  <c r="C6" i="3"/>
  <c r="D6" i="3" s="1"/>
  <c r="C7" i="3"/>
  <c r="D7" i="3" s="1"/>
  <c r="C3" i="3"/>
  <c r="D3" i="3" s="1"/>
  <c r="B4" i="3"/>
  <c r="B5" i="3"/>
  <c r="B6" i="3"/>
  <c r="B7" i="3"/>
  <c r="B3" i="3"/>
  <c r="C4" i="2"/>
  <c r="C5" i="2"/>
  <c r="C6" i="2"/>
  <c r="C7" i="2"/>
  <c r="C3" i="2"/>
  <c r="B4" i="2"/>
  <c r="B5" i="2"/>
  <c r="B6" i="2"/>
  <c r="B7" i="2"/>
  <c r="B3" i="2"/>
  <c r="L23" i="6" l="1"/>
  <c r="L22" i="6"/>
  <c r="K23" i="6"/>
  <c r="D20" i="6"/>
  <c r="E22" i="6"/>
  <c r="C22" i="6"/>
  <c r="E21" i="6"/>
  <c r="D21" i="6"/>
  <c r="G21" i="6" s="1"/>
  <c r="G22" i="6"/>
  <c r="J15" i="6"/>
  <c r="J21" i="6"/>
  <c r="J23" i="6"/>
  <c r="C20" i="6"/>
  <c r="P18" i="6"/>
  <c r="P19" i="6"/>
  <c r="K22" i="6"/>
  <c r="D7" i="5"/>
  <c r="E7" i="5" s="1"/>
  <c r="F7" i="5" s="1"/>
  <c r="D6" i="5"/>
  <c r="E6" i="5" s="1"/>
  <c r="F6" i="5" s="1"/>
  <c r="D5" i="5"/>
  <c r="E5" i="5" s="1"/>
  <c r="F5" i="5" s="1"/>
  <c r="D4" i="5"/>
  <c r="E4" i="5" s="1"/>
  <c r="F4" i="5" s="1"/>
  <c r="D3" i="5"/>
  <c r="E3" i="5" s="1"/>
  <c r="F3" i="5" s="1"/>
  <c r="G20" i="6" l="1"/>
</calcChain>
</file>

<file path=xl/sharedStrings.xml><?xml version="1.0" encoding="utf-8"?>
<sst xmlns="http://schemas.openxmlformats.org/spreadsheetml/2006/main" count="159" uniqueCount="103">
  <si>
    <t>Фамилия</t>
  </si>
  <si>
    <t>Имя</t>
  </si>
  <si>
    <t>Отчество</t>
  </si>
  <si>
    <t>Число</t>
  </si>
  <si>
    <t>Месяц</t>
  </si>
  <si>
    <t>Год рождения</t>
  </si>
  <si>
    <t>я</t>
  </si>
  <si>
    <t>Николаева</t>
  </si>
  <si>
    <t>Анна</t>
  </si>
  <si>
    <t>Дмитриевна</t>
  </si>
  <si>
    <t>мама</t>
  </si>
  <si>
    <t>Екатерина</t>
  </si>
  <si>
    <t>Александровна</t>
  </si>
  <si>
    <t>папа</t>
  </si>
  <si>
    <t>Николаев</t>
  </si>
  <si>
    <t>Дмитрий</t>
  </si>
  <si>
    <t>Михайлович</t>
  </si>
  <si>
    <t>брат</t>
  </si>
  <si>
    <t>Алексей</t>
  </si>
  <si>
    <t>Дмитриевич</t>
  </si>
  <si>
    <t>сестра</t>
  </si>
  <si>
    <t>Елена</t>
  </si>
  <si>
    <t>ФИО</t>
  </si>
  <si>
    <t>Дата рождения</t>
  </si>
  <si>
    <t>Николаева Анна Дмитриевна</t>
  </si>
  <si>
    <t>Николаева Екатерина Александровна</t>
  </si>
  <si>
    <t>Николаев Дмитрий Михайлович</t>
  </si>
  <si>
    <t>Николаев Алексей Дмитриевич</t>
  </si>
  <si>
    <t>Николаева Елена Дмитриевна</t>
  </si>
  <si>
    <t>День недели</t>
  </si>
  <si>
    <t>Название дня недели</t>
  </si>
  <si>
    <t>Сколько дней прошло с Дня Рождения</t>
  </si>
  <si>
    <t>Фамилия с инициалами</t>
  </si>
  <si>
    <t>Адрес электронной почты</t>
  </si>
  <si>
    <t>mailto:anna_nikolaeva@starnet.ru</t>
  </si>
  <si>
    <t>mailto:nikolaeva1980@mail.ru</t>
  </si>
  <si>
    <t>mailto:dm_nikolaev@econ.msu.ru</t>
  </si>
  <si>
    <t>mailto:10062005@gmail.ru</t>
  </si>
  <si>
    <t>Текущий год</t>
  </si>
  <si>
    <t>Новый год</t>
  </si>
  <si>
    <t>День Рождения в этом году</t>
  </si>
  <si>
    <t>Следующий День Рождения</t>
  </si>
  <si>
    <t>Сколько дней до следующего Дня Рождения</t>
  </si>
  <si>
    <t>Моя семья</t>
  </si>
  <si>
    <t>Даты</t>
  </si>
  <si>
    <t>Дни Рождения</t>
  </si>
  <si>
    <t>Электронная почта</t>
  </si>
  <si>
    <t>№ п/п</t>
  </si>
  <si>
    <t>Фамилия, инициалы</t>
  </si>
  <si>
    <t>№ акад. группы</t>
  </si>
  <si>
    <t>Бух. учет</t>
  </si>
  <si>
    <t>Матем. анализ</t>
  </si>
  <si>
    <t>Средний балл</t>
  </si>
  <si>
    <t>Булахова</t>
  </si>
  <si>
    <t>Михайловна</t>
  </si>
  <si>
    <t>Галкина</t>
  </si>
  <si>
    <t>Дарья</t>
  </si>
  <si>
    <t>Сергеевна</t>
  </si>
  <si>
    <t>Коваль</t>
  </si>
  <si>
    <t>Артем</t>
  </si>
  <si>
    <t>Максимович</t>
  </si>
  <si>
    <t>Матчин</t>
  </si>
  <si>
    <t>Сергеевич</t>
  </si>
  <si>
    <t>Морева</t>
  </si>
  <si>
    <t>Полина</t>
  </si>
  <si>
    <t>Максимовна</t>
  </si>
  <si>
    <t>Новак</t>
  </si>
  <si>
    <t>Ольга</t>
  </si>
  <si>
    <t>Алексеевна</t>
  </si>
  <si>
    <t>Новиков</t>
  </si>
  <si>
    <t>Никита</t>
  </si>
  <si>
    <t>Андреевич</t>
  </si>
  <si>
    <t>Пронькина</t>
  </si>
  <si>
    <t>Лидия</t>
  </si>
  <si>
    <t>Викторовна</t>
  </si>
  <si>
    <t>Солянник</t>
  </si>
  <si>
    <t>Генриховна</t>
  </si>
  <si>
    <t>Судьина</t>
  </si>
  <si>
    <t>Антоновна</t>
  </si>
  <si>
    <t>Травкова</t>
  </si>
  <si>
    <t>Алина</t>
  </si>
  <si>
    <t>Васильевна</t>
  </si>
  <si>
    <t>Уралова</t>
  </si>
  <si>
    <t>Нина</t>
  </si>
  <si>
    <t>Ивановна</t>
  </si>
  <si>
    <t>Чубанова</t>
  </si>
  <si>
    <t>Заяна</t>
  </si>
  <si>
    <t>Информ-атика</t>
  </si>
  <si>
    <t>Распределение оценок</t>
  </si>
  <si>
    <t>Инф</t>
  </si>
  <si>
    <t>Бух-Уч</t>
  </si>
  <si>
    <t>Мат-Ан</t>
  </si>
  <si>
    <t>Кол-во "5" =</t>
  </si>
  <si>
    <t>Кол-во "4" =</t>
  </si>
  <si>
    <t>Кол-во "3" =</t>
  </si>
  <si>
    <t>Кол-во "2" =</t>
  </si>
  <si>
    <t>Средние баллы</t>
  </si>
  <si>
    <t>Инфор матика</t>
  </si>
  <si>
    <t>Бух. Учет</t>
  </si>
  <si>
    <t>Матем. Анализ</t>
  </si>
  <si>
    <t>Количество студентов</t>
  </si>
  <si>
    <t>Количество двоечников =</t>
  </si>
  <si>
    <t>Количество отличников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</si>
</sst>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" fontId="0" fillId="0" borderId="1" xfId="0" applyNumberFormat="1" applyBorder="1"/>
    <xf numFmtId="0" fontId="4" fillId="6" borderId="1" xfId="0" applyFont="1" applyFill="1" applyBorder="1"/>
    <xf numFmtId="0" fontId="0" fillId="0" borderId="1" xfId="0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0" fontId="0" fillId="6" borderId="1" xfId="0" applyFill="1" applyBorder="1"/>
    <xf numFmtId="0" fontId="0" fillId="8" borderId="1" xfId="0" applyFill="1" applyBorder="1" applyAlignment="1">
      <alignment vertical="center" wrapText="1"/>
    </xf>
    <xf numFmtId="2" fontId="0" fillId="6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3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m_nikolaev@econ.msu.ru" TargetMode="External"/><Relationship Id="rId2" Type="http://schemas.openxmlformats.org/officeDocument/2006/relationships/hyperlink" Target="mailto:nikolaeva1980@mail.ru" TargetMode="External"/><Relationship Id="rId1" Type="http://schemas.openxmlformats.org/officeDocument/2006/relationships/hyperlink" Target="mailto:anna_nikolaeva@starnet.r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0062005@g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7"/>
  <sheetViews>
    <sheetView workbookViewId="0">
      <selection activeCell="G12" sqref="G12"/>
    </sheetView>
  </sheetViews>
  <sheetFormatPr defaultRowHeight="15" x14ac:dyDescent="0.25"/>
  <cols>
    <col min="1" max="1" width="6.7109375" bestFit="1" customWidth="1"/>
    <col min="2" max="2" width="10.5703125" bestFit="1" customWidth="1"/>
    <col min="3" max="3" width="10.140625" bestFit="1" customWidth="1"/>
    <col min="4" max="4" width="14.85546875" bestFit="1" customWidth="1"/>
    <col min="5" max="5" width="6.85546875" bestFit="1" customWidth="1"/>
    <col min="6" max="6" width="7.28515625" bestFit="1" customWidth="1"/>
    <col min="7" max="7" width="14.5703125" bestFit="1" customWidth="1"/>
  </cols>
  <sheetData>
    <row r="1" spans="1:7" x14ac:dyDescent="0.25">
      <c r="A1" s="20" t="s">
        <v>43</v>
      </c>
      <c r="B1" s="20"/>
      <c r="C1" s="20"/>
      <c r="D1" s="20"/>
      <c r="E1" s="20"/>
      <c r="F1" s="20"/>
      <c r="G1" s="20"/>
    </row>
    <row r="2" spans="1:7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x14ac:dyDescent="0.25">
      <c r="A3" s="1" t="s">
        <v>6</v>
      </c>
      <c r="B3" s="2" t="s">
        <v>7</v>
      </c>
      <c r="C3" s="2" t="s">
        <v>8</v>
      </c>
      <c r="D3" s="2" t="s">
        <v>9</v>
      </c>
      <c r="E3" s="2">
        <v>6</v>
      </c>
      <c r="F3" s="2">
        <v>12</v>
      </c>
      <c r="G3" s="2">
        <v>2001</v>
      </c>
    </row>
    <row r="4" spans="1:7" x14ac:dyDescent="0.25">
      <c r="A4" s="1" t="s">
        <v>10</v>
      </c>
      <c r="B4" s="2" t="s">
        <v>7</v>
      </c>
      <c r="C4" s="2" t="s">
        <v>11</v>
      </c>
      <c r="D4" s="2" t="s">
        <v>12</v>
      </c>
      <c r="E4" s="2">
        <v>10</v>
      </c>
      <c r="F4" s="2">
        <v>7</v>
      </c>
      <c r="G4" s="2">
        <v>1980</v>
      </c>
    </row>
    <row r="5" spans="1:7" x14ac:dyDescent="0.25">
      <c r="A5" s="1" t="s">
        <v>13</v>
      </c>
      <c r="B5" s="2" t="s">
        <v>14</v>
      </c>
      <c r="C5" s="2" t="s">
        <v>15</v>
      </c>
      <c r="D5" s="2" t="s">
        <v>16</v>
      </c>
      <c r="E5" s="2">
        <v>2</v>
      </c>
      <c r="F5" s="2">
        <v>4</v>
      </c>
      <c r="G5" s="2">
        <v>1977</v>
      </c>
    </row>
    <row r="6" spans="1:7" x14ac:dyDescent="0.25">
      <c r="A6" s="1" t="s">
        <v>17</v>
      </c>
      <c r="B6" s="2" t="s">
        <v>14</v>
      </c>
      <c r="C6" s="2" t="s">
        <v>18</v>
      </c>
      <c r="D6" s="2" t="s">
        <v>19</v>
      </c>
      <c r="E6" s="2">
        <v>10</v>
      </c>
      <c r="F6" s="2">
        <v>6</v>
      </c>
      <c r="G6" s="2">
        <v>2005</v>
      </c>
    </row>
    <row r="7" spans="1:7" x14ac:dyDescent="0.25">
      <c r="A7" s="1" t="s">
        <v>20</v>
      </c>
      <c r="B7" s="2" t="s">
        <v>7</v>
      </c>
      <c r="C7" s="2" t="s">
        <v>21</v>
      </c>
      <c r="D7" s="2" t="s">
        <v>9</v>
      </c>
      <c r="E7" s="2">
        <v>30</v>
      </c>
      <c r="F7" s="2">
        <v>10</v>
      </c>
      <c r="G7" s="2">
        <v>2010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7"/>
  <sheetViews>
    <sheetView workbookViewId="0">
      <selection activeCell="C5" sqref="C5"/>
    </sheetView>
  </sheetViews>
  <sheetFormatPr defaultRowHeight="15" x14ac:dyDescent="0.25"/>
  <cols>
    <col min="1" max="1" width="6.7109375" bestFit="1" customWidth="1"/>
    <col min="2" max="2" width="35.140625" bestFit="1" customWidth="1"/>
    <col min="3" max="3" width="16.5703125" bestFit="1" customWidth="1"/>
  </cols>
  <sheetData>
    <row r="1" spans="1:3" x14ac:dyDescent="0.25">
      <c r="A1" s="20" t="s">
        <v>44</v>
      </c>
      <c r="B1" s="20"/>
      <c r="C1" s="20"/>
    </row>
    <row r="2" spans="1:3" ht="30.75" customHeight="1" x14ac:dyDescent="0.25">
      <c r="A2" s="4"/>
      <c r="B2" s="30" t="s">
        <v>22</v>
      </c>
      <c r="C2" s="30" t="s">
        <v>23</v>
      </c>
    </row>
    <row r="3" spans="1:3" x14ac:dyDescent="0.25">
      <c r="A3" s="1" t="s">
        <v>6</v>
      </c>
      <c r="B3" s="2" t="str">
        <f>CONCATENATE('Моя семья'!B3," ",'Моя семья'!C3," ",'Моя семья'!D3)</f>
        <v>Николаева Анна Дмитриевна</v>
      </c>
      <c r="C3" s="5">
        <f>DATE('Моя семья'!G3,'Моя семья'!F3,'Моя семья'!E3)</f>
        <v>37231</v>
      </c>
    </row>
    <row r="4" spans="1:3" x14ac:dyDescent="0.25">
      <c r="A4" s="1" t="s">
        <v>10</v>
      </c>
      <c r="B4" s="2" t="str">
        <f>CONCATENATE('Моя семья'!B4," ",'Моя семья'!C4," ",'Моя семья'!D4)</f>
        <v>Николаева Екатерина Александровна</v>
      </c>
      <c r="C4" s="5">
        <f>DATE('Моя семья'!G4,'Моя семья'!F4,'Моя семья'!E4)</f>
        <v>29412</v>
      </c>
    </row>
    <row r="5" spans="1:3" x14ac:dyDescent="0.25">
      <c r="A5" s="1" t="s">
        <v>13</v>
      </c>
      <c r="B5" s="2" t="str">
        <f>CONCATENATE('Моя семья'!B5," ",'Моя семья'!C5," ",'Моя семья'!D5)</f>
        <v>Николаев Дмитрий Михайлович</v>
      </c>
      <c r="C5" s="5">
        <f>DATE('Моя семья'!G5,'Моя семья'!F5,'Моя семья'!E5)</f>
        <v>28217</v>
      </c>
    </row>
    <row r="6" spans="1:3" x14ac:dyDescent="0.25">
      <c r="A6" s="1" t="s">
        <v>17</v>
      </c>
      <c r="B6" s="2" t="str">
        <f>CONCATENATE('Моя семья'!B6," ",'Моя семья'!C6," ",'Моя семья'!D6)</f>
        <v>Николаев Алексей Дмитриевич</v>
      </c>
      <c r="C6" s="5">
        <f>DATE('Моя семья'!G6,'Моя семья'!F6,'Моя семья'!E6)</f>
        <v>38513</v>
      </c>
    </row>
    <row r="7" spans="1:3" x14ac:dyDescent="0.25">
      <c r="A7" s="1" t="s">
        <v>20</v>
      </c>
      <c r="B7" s="2" t="str">
        <f>CONCATENATE('Моя семья'!B7," ",'Моя семья'!C7," ",'Моя семья'!D7)</f>
        <v>Николаева Елена Дмитриевна</v>
      </c>
      <c r="C7" s="5">
        <f>DATE('Моя семья'!G7,'Моя семья'!F7,'Моя семья'!E7)</f>
        <v>40481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7"/>
  <sheetViews>
    <sheetView workbookViewId="0">
      <selection activeCell="D4" sqref="D4"/>
    </sheetView>
  </sheetViews>
  <sheetFormatPr defaultRowHeight="15" x14ac:dyDescent="0.25"/>
  <cols>
    <col min="1" max="1" width="6.7109375" bestFit="1" customWidth="1"/>
    <col min="2" max="2" width="16.5703125" bestFit="1" customWidth="1"/>
    <col min="3" max="3" width="12.85546875" bestFit="1" customWidth="1"/>
    <col min="4" max="4" width="20.85546875" bestFit="1" customWidth="1"/>
    <col min="5" max="5" width="36.7109375" bestFit="1" customWidth="1"/>
  </cols>
  <sheetData>
    <row r="1" spans="1:5" x14ac:dyDescent="0.25">
      <c r="A1" s="20" t="s">
        <v>45</v>
      </c>
      <c r="B1" s="20"/>
      <c r="C1" s="20"/>
      <c r="D1" s="20"/>
      <c r="E1" s="20"/>
    </row>
    <row r="2" spans="1:5" x14ac:dyDescent="0.25">
      <c r="A2" s="6"/>
      <c r="B2" s="7" t="s">
        <v>23</v>
      </c>
      <c r="C2" s="7" t="s">
        <v>29</v>
      </c>
      <c r="D2" s="7" t="s">
        <v>30</v>
      </c>
      <c r="E2" s="7" t="s">
        <v>31</v>
      </c>
    </row>
    <row r="3" spans="1:5" x14ac:dyDescent="0.25">
      <c r="A3" s="1" t="s">
        <v>6</v>
      </c>
      <c r="B3" s="5">
        <f>DATE('Моя семья'!G3,'Моя семья'!F3,'Моя семья'!E3)</f>
        <v>37231</v>
      </c>
      <c r="C3" s="2">
        <f>WEEKDAY(B3,2)</f>
        <v>4</v>
      </c>
      <c r="D3" s="2" t="str">
        <f>CHOOSE(C3,"Понедельник","Вторник","Среда","Четверг", "Пятница","Суббота","Воскресенье")</f>
        <v>Четверг</v>
      </c>
      <c r="E3" s="8">
        <f ca="1">TODAY()-B3</f>
        <v>8553</v>
      </c>
    </row>
    <row r="4" spans="1:5" x14ac:dyDescent="0.25">
      <c r="A4" s="1" t="s">
        <v>10</v>
      </c>
      <c r="B4" s="5">
        <f>DATE('Моя семья'!G4,'Моя семья'!F4,'Моя семья'!E4)</f>
        <v>29412</v>
      </c>
      <c r="C4" s="2">
        <f t="shared" ref="C4:C7" si="0">WEEKDAY(B4,2)</f>
        <v>4</v>
      </c>
      <c r="D4" s="2" t="str">
        <f t="shared" ref="D4:D7" si="1">CHOOSE(C4,"Понедельник","Вторник","Среда","Четверг", "Пятница","Суббота","Воскресенье")</f>
        <v>Четверг</v>
      </c>
      <c r="E4" s="8">
        <f t="shared" ref="E4:E7" ca="1" si="2">TODAY()-B4</f>
        <v>16372</v>
      </c>
    </row>
    <row r="5" spans="1:5" x14ac:dyDescent="0.25">
      <c r="A5" s="1" t="s">
        <v>13</v>
      </c>
      <c r="B5" s="5">
        <f>DATE('Моя семья'!G5,'Моя семья'!F5,'Моя семья'!E5)</f>
        <v>28217</v>
      </c>
      <c r="C5" s="2">
        <f t="shared" si="0"/>
        <v>6</v>
      </c>
      <c r="D5" s="2" t="str">
        <f t="shared" si="1"/>
        <v>Суббота</v>
      </c>
      <c r="E5" s="8">
        <f t="shared" ca="1" si="2"/>
        <v>17567</v>
      </c>
    </row>
    <row r="6" spans="1:5" x14ac:dyDescent="0.25">
      <c r="A6" s="1" t="s">
        <v>17</v>
      </c>
      <c r="B6" s="5">
        <f>DATE('Моя семья'!G6,'Моя семья'!F6,'Моя семья'!E6)</f>
        <v>38513</v>
      </c>
      <c r="C6" s="2">
        <f t="shared" si="0"/>
        <v>5</v>
      </c>
      <c r="D6" s="2" t="str">
        <f t="shared" si="1"/>
        <v>Пятница</v>
      </c>
      <c r="E6" s="8">
        <f t="shared" ca="1" si="2"/>
        <v>7271</v>
      </c>
    </row>
    <row r="7" spans="1:5" x14ac:dyDescent="0.25">
      <c r="A7" s="1" t="s">
        <v>20</v>
      </c>
      <c r="B7" s="5">
        <f>DATE('Моя семья'!G7,'Моя семья'!F7,'Моя семья'!E7)</f>
        <v>40481</v>
      </c>
      <c r="C7" s="2">
        <f t="shared" si="0"/>
        <v>6</v>
      </c>
      <c r="D7" s="2" t="str">
        <f t="shared" si="1"/>
        <v>Суббота</v>
      </c>
      <c r="E7" s="8">
        <f t="shared" ca="1" si="2"/>
        <v>5303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CC"/>
  </sheetPr>
  <dimension ref="A1:G7"/>
  <sheetViews>
    <sheetView workbookViewId="0">
      <selection activeCell="F7" sqref="F7"/>
    </sheetView>
  </sheetViews>
  <sheetFormatPr defaultRowHeight="15" x14ac:dyDescent="0.25"/>
  <cols>
    <col min="1" max="1" width="6.7109375" bestFit="1" customWidth="1"/>
    <col min="2" max="2" width="14.28515625" customWidth="1"/>
    <col min="3" max="3" width="10.5703125" bestFit="1" customWidth="1"/>
    <col min="4" max="4" width="10.140625" bestFit="1" customWidth="1"/>
    <col min="5" max="5" width="14.85546875" bestFit="1" customWidth="1"/>
    <col min="6" max="6" width="23" customWidth="1"/>
    <col min="7" max="7" width="31.5703125" bestFit="1" customWidth="1"/>
  </cols>
  <sheetData>
    <row r="1" spans="1:7" x14ac:dyDescent="0.25">
      <c r="A1" s="20" t="s">
        <v>46</v>
      </c>
      <c r="B1" s="20"/>
      <c r="C1" s="20"/>
      <c r="D1" s="20"/>
      <c r="E1" s="20"/>
      <c r="F1" s="20"/>
      <c r="G1" s="20"/>
    </row>
    <row r="2" spans="1:7" ht="45" customHeight="1" x14ac:dyDescent="0.25">
      <c r="A2" s="31"/>
      <c r="B2" s="31" t="s">
        <v>22</v>
      </c>
      <c r="C2" s="31" t="s">
        <v>0</v>
      </c>
      <c r="D2" s="31" t="s">
        <v>1</v>
      </c>
      <c r="E2" s="31" t="s">
        <v>2</v>
      </c>
      <c r="F2" s="31" t="s">
        <v>32</v>
      </c>
      <c r="G2" s="31" t="s">
        <v>33</v>
      </c>
    </row>
    <row r="3" spans="1:7" ht="47.25" customHeight="1" x14ac:dyDescent="0.25">
      <c r="A3" s="1" t="s">
        <v>6</v>
      </c>
      <c r="B3" s="27" t="s">
        <v>24</v>
      </c>
      <c r="C3" s="26" t="s">
        <v>7</v>
      </c>
      <c r="D3" s="26" t="s">
        <v>8</v>
      </c>
      <c r="E3" s="26" t="s">
        <v>9</v>
      </c>
      <c r="F3" s="26" t="str">
        <f>CONCATENATE('Моя семья'!B3, " ",LEFT('Моя семья'!C3,1),".",LEFT('Моя семья'!D3,1),".")</f>
        <v>Николаева А.Д.</v>
      </c>
      <c r="G3" s="28" t="s">
        <v>34</v>
      </c>
    </row>
    <row r="4" spans="1:7" ht="44.25" customHeight="1" x14ac:dyDescent="0.25">
      <c r="A4" s="1" t="s">
        <v>10</v>
      </c>
      <c r="B4" s="27" t="s">
        <v>25</v>
      </c>
      <c r="C4" s="26" t="s">
        <v>7</v>
      </c>
      <c r="D4" s="26" t="s">
        <v>11</v>
      </c>
      <c r="E4" s="26" t="s">
        <v>12</v>
      </c>
      <c r="F4" s="26" t="str">
        <f>CONCATENATE('Моя семья'!B4, " ",LEFT('Моя семья'!C4,1),".",LEFT('Моя семья'!D4,1),".")</f>
        <v>Николаева Е.А.</v>
      </c>
      <c r="G4" s="28" t="s">
        <v>35</v>
      </c>
    </row>
    <row r="5" spans="1:7" ht="42" customHeight="1" x14ac:dyDescent="0.25">
      <c r="A5" s="1" t="s">
        <v>13</v>
      </c>
      <c r="B5" s="27" t="s">
        <v>26</v>
      </c>
      <c r="C5" s="26" t="s">
        <v>14</v>
      </c>
      <c r="D5" s="26" t="s">
        <v>15</v>
      </c>
      <c r="E5" s="26" t="s">
        <v>16</v>
      </c>
      <c r="F5" s="26" t="str">
        <f>CONCATENATE('Моя семья'!B5, " ",LEFT('Моя семья'!C5,1),".",LEFT('Моя семья'!D5,1),".")</f>
        <v>Николаев Д.М.</v>
      </c>
      <c r="G5" s="28" t="s">
        <v>36</v>
      </c>
    </row>
    <row r="6" spans="1:7" ht="44.25" customHeight="1" x14ac:dyDescent="0.25">
      <c r="A6" s="1" t="s">
        <v>17</v>
      </c>
      <c r="B6" s="27" t="s">
        <v>27</v>
      </c>
      <c r="C6" s="26" t="s">
        <v>14</v>
      </c>
      <c r="D6" s="26" t="s">
        <v>18</v>
      </c>
      <c r="E6" s="26" t="s">
        <v>19</v>
      </c>
      <c r="F6" s="26" t="str">
        <f>CONCATENATE('Моя семья'!B6, " ",LEFT('Моя семья'!C6,1),".",LEFT('Моя семья'!D6,1),".")</f>
        <v>Николаев А.Д.</v>
      </c>
      <c r="G6" s="28" t="s">
        <v>37</v>
      </c>
    </row>
    <row r="7" spans="1:7" ht="43.5" customHeight="1" x14ac:dyDescent="0.25">
      <c r="A7" s="1" t="s">
        <v>20</v>
      </c>
      <c r="B7" s="27" t="s">
        <v>28</v>
      </c>
      <c r="C7" s="26" t="s">
        <v>7</v>
      </c>
      <c r="D7" s="26" t="s">
        <v>21</v>
      </c>
      <c r="E7" s="26" t="s">
        <v>9</v>
      </c>
      <c r="F7" s="26" t="str">
        <f>CONCATENATE('Моя семья'!B7, " ",LEFT('Моя семья'!C7,1),".",LEFT('Моя семья'!D7,1),".")</f>
        <v>Николаева Е.Д.</v>
      </c>
      <c r="G7" s="29"/>
    </row>
  </sheetData>
  <mergeCells count="1">
    <mergeCell ref="A1:G1"/>
  </mergeCells>
  <hyperlinks>
    <hyperlink ref="G3" r:id="rId1" xr:uid="{00000000-0004-0000-0300-000000000000}"/>
    <hyperlink ref="G4" r:id="rId2" xr:uid="{00000000-0004-0000-0300-000001000000}"/>
    <hyperlink ref="G5" r:id="rId3" xr:uid="{00000000-0004-0000-0300-000002000000}"/>
    <hyperlink ref="G6" r:id="rId4" xr:uid="{00000000-0004-0000-0300-000003000000}"/>
  </hyperlinks>
  <pageMargins left="0.75" right="0.75" top="1" bottom="1" header="0.5" footer="0.5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08E"/>
  </sheetPr>
  <dimension ref="A1:F7"/>
  <sheetViews>
    <sheetView workbookViewId="0">
      <selection activeCell="E7" sqref="E7"/>
    </sheetView>
  </sheetViews>
  <sheetFormatPr defaultRowHeight="15" x14ac:dyDescent="0.25"/>
  <cols>
    <col min="1" max="1" width="6.7109375" bestFit="1" customWidth="1"/>
    <col min="2" max="2" width="12.140625" bestFit="1" customWidth="1"/>
    <col min="3" max="3" width="10.140625" bestFit="1" customWidth="1"/>
    <col min="4" max="4" width="26" bestFit="1" customWidth="1"/>
    <col min="5" max="5" width="26.7109375" bestFit="1" customWidth="1"/>
    <col min="6" max="6" width="41.7109375" bestFit="1" customWidth="1"/>
  </cols>
  <sheetData>
    <row r="1" spans="1:6" x14ac:dyDescent="0.25">
      <c r="A1" s="21" t="s">
        <v>41</v>
      </c>
      <c r="B1" s="21"/>
      <c r="C1" s="21"/>
      <c r="D1" s="21"/>
      <c r="E1" s="21"/>
      <c r="F1" s="21"/>
    </row>
    <row r="2" spans="1:6" x14ac:dyDescent="0.25">
      <c r="A2" s="9"/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</row>
    <row r="3" spans="1:6" x14ac:dyDescent="0.25">
      <c r="A3" s="1" t="s">
        <v>6</v>
      </c>
      <c r="B3" s="2">
        <f ca="1">YEAR(TODAY())</f>
        <v>2025</v>
      </c>
      <c r="C3" s="5">
        <f ca="1">DATE(B3+1,1,1)</f>
        <v>46023</v>
      </c>
      <c r="D3" s="5">
        <f ca="1">DATE(B3,'Моя семья'!F3,'Моя семья'!E3)</f>
        <v>45997</v>
      </c>
      <c r="E3" s="5">
        <f ca="1">IF(D3&gt;=TODAY(),D3,DATE(B3+1,'Моя семья'!F3,'Моя семья'!E3))</f>
        <v>45997</v>
      </c>
      <c r="F3" s="2">
        <f ca="1">E3-TODAY()</f>
        <v>213</v>
      </c>
    </row>
    <row r="4" spans="1:6" x14ac:dyDescent="0.25">
      <c r="A4" s="1" t="s">
        <v>10</v>
      </c>
      <c r="B4" s="2">
        <f t="shared" ref="B4:B7" ca="1" si="0">YEAR(TODAY())</f>
        <v>2025</v>
      </c>
      <c r="C4" s="5">
        <f t="shared" ref="C4:C7" ca="1" si="1">DATE(B4+1,1,1)</f>
        <v>46023</v>
      </c>
      <c r="D4" s="5">
        <f ca="1">DATE(B4,'Моя семья'!F4,'Моя семья'!E4)</f>
        <v>45848</v>
      </c>
      <c r="E4" s="5">
        <f ca="1">IF(D4&gt;=TODAY(),D4,DATE(B4+1,'Моя семья'!F4,'Моя семья'!E4))</f>
        <v>45848</v>
      </c>
      <c r="F4" s="2">
        <f t="shared" ref="F4:F7" ca="1" si="2">E4-TODAY()</f>
        <v>64</v>
      </c>
    </row>
    <row r="5" spans="1:6" x14ac:dyDescent="0.25">
      <c r="A5" s="1" t="s">
        <v>13</v>
      </c>
      <c r="B5" s="2">
        <f t="shared" ca="1" si="0"/>
        <v>2025</v>
      </c>
      <c r="C5" s="5">
        <f t="shared" ca="1" si="1"/>
        <v>46023</v>
      </c>
      <c r="D5" s="5">
        <f ca="1">DATE(B5,'Моя семья'!F5,'Моя семья'!E5)</f>
        <v>45749</v>
      </c>
      <c r="E5" s="5">
        <f ca="1">IF(D5&gt;=TODAY(),D5,DATE(B5+1,'Моя семья'!F5,'Моя семья'!E5))</f>
        <v>46114</v>
      </c>
      <c r="F5" s="2">
        <f t="shared" ca="1" si="2"/>
        <v>330</v>
      </c>
    </row>
    <row r="6" spans="1:6" x14ac:dyDescent="0.25">
      <c r="A6" s="1" t="s">
        <v>17</v>
      </c>
      <c r="B6" s="2">
        <f t="shared" ca="1" si="0"/>
        <v>2025</v>
      </c>
      <c r="C6" s="5">
        <f t="shared" ca="1" si="1"/>
        <v>46023</v>
      </c>
      <c r="D6" s="5">
        <f ca="1">DATE(B6,'Моя семья'!F6,'Моя семья'!E6)</f>
        <v>45818</v>
      </c>
      <c r="E6" s="5">
        <f ca="1">IF(D6&gt;=TODAY(),D6,DATE(B6+1,'Моя семья'!F6,'Моя семья'!E6))</f>
        <v>45818</v>
      </c>
      <c r="F6" s="2">
        <f t="shared" ca="1" si="2"/>
        <v>34</v>
      </c>
    </row>
    <row r="7" spans="1:6" x14ac:dyDescent="0.25">
      <c r="A7" s="1" t="s">
        <v>20</v>
      </c>
      <c r="B7" s="2">
        <f t="shared" ca="1" si="0"/>
        <v>2025</v>
      </c>
      <c r="C7" s="5">
        <f t="shared" ca="1" si="1"/>
        <v>46023</v>
      </c>
      <c r="D7" s="5">
        <f ca="1">DATE(B7,'Моя семья'!F7,'Моя семья'!E7)</f>
        <v>45960</v>
      </c>
      <c r="E7" s="5">
        <f ca="1">IF(D7&gt;=TODAY(),D7,DATE(B7+1,'Моя семья'!F7,'Моя семья'!E7))</f>
        <v>45960</v>
      </c>
      <c r="F7" s="2">
        <f t="shared" ca="1" si="2"/>
        <v>176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S23"/>
  <sheetViews>
    <sheetView tabSelected="1" workbookViewId="0">
      <selection activeCell="P19" sqref="P19"/>
    </sheetView>
  </sheetViews>
  <sheetFormatPr defaultRowHeight="15" x14ac:dyDescent="0.25"/>
  <cols>
    <col min="1" max="1" width="3.28515625" bestFit="1" customWidth="1"/>
    <col min="2" max="2" width="10.7109375" customWidth="1"/>
    <col min="3" max="3" width="7.7109375" bestFit="1" customWidth="1"/>
    <col min="4" max="4" width="12.140625" bestFit="1" customWidth="1"/>
    <col min="5" max="5" width="14.7109375" bestFit="1" customWidth="1"/>
    <col min="6" max="6" width="13.5703125" customWidth="1"/>
    <col min="7" max="7" width="8.5703125" bestFit="1" customWidth="1"/>
    <col min="9" max="9" width="7.7109375" bestFit="1" customWidth="1"/>
    <col min="13" max="13" width="6.7109375" customWidth="1"/>
    <col min="14" max="14" width="11.5703125" bestFit="1" customWidth="1"/>
    <col min="15" max="15" width="24.7109375" bestFit="1" customWidth="1"/>
    <col min="19" max="19" width="8.85546875" hidden="1" customWidth="1"/>
    <col min="20" max="20" width="10.5703125" customWidth="1"/>
  </cols>
  <sheetData>
    <row r="1" spans="1:19" ht="45" x14ac:dyDescent="0.25">
      <c r="A1" s="11" t="s">
        <v>47</v>
      </c>
      <c r="B1" s="11" t="s">
        <v>0</v>
      </c>
      <c r="C1" s="11" t="s">
        <v>1</v>
      </c>
      <c r="D1" s="11" t="s">
        <v>2</v>
      </c>
      <c r="E1" s="11" t="s">
        <v>48</v>
      </c>
      <c r="F1" s="11" t="s">
        <v>49</v>
      </c>
      <c r="G1" s="11" t="s">
        <v>87</v>
      </c>
      <c r="H1" s="11" t="s">
        <v>50</v>
      </c>
      <c r="I1" s="11" t="s">
        <v>51</v>
      </c>
      <c r="J1" s="11" t="s">
        <v>52</v>
      </c>
    </row>
    <row r="2" spans="1:19" ht="30" x14ac:dyDescent="0.25">
      <c r="A2" s="10">
        <v>1</v>
      </c>
      <c r="B2" s="10" t="s">
        <v>53</v>
      </c>
      <c r="C2" s="10" t="s">
        <v>21</v>
      </c>
      <c r="D2" s="10" t="s">
        <v>54</v>
      </c>
      <c r="E2" s="12" t="str">
        <f>CONCATENATE(B2," ",LEFT(C2,1),".",LEFT(D2,1),".")</f>
        <v>Булахова Е.М.</v>
      </c>
      <c r="F2" s="15">
        <v>101</v>
      </c>
      <c r="G2" s="10">
        <v>5</v>
      </c>
      <c r="H2" s="10">
        <v>5</v>
      </c>
      <c r="I2" s="10">
        <v>5</v>
      </c>
      <c r="J2" s="13">
        <f>AVERAGE(G2:I2)</f>
        <v>5</v>
      </c>
      <c r="S2">
        <v>101</v>
      </c>
    </row>
    <row r="3" spans="1:19" x14ac:dyDescent="0.25">
      <c r="A3" s="10">
        <v>2</v>
      </c>
      <c r="B3" s="10" t="s">
        <v>55</v>
      </c>
      <c r="C3" s="10" t="s">
        <v>56</v>
      </c>
      <c r="D3" s="10" t="s">
        <v>57</v>
      </c>
      <c r="E3" s="12" t="str">
        <f t="shared" ref="E3:E14" si="0">CONCATENATE(B3," ",LEFT(C3,1),".",LEFT(D3,1),".")</f>
        <v>Галкина Д.С.</v>
      </c>
      <c r="F3" s="15">
        <v>103</v>
      </c>
      <c r="G3" s="10">
        <v>4</v>
      </c>
      <c r="H3" s="10">
        <v>4</v>
      </c>
      <c r="I3" s="10">
        <v>4</v>
      </c>
      <c r="J3" s="13">
        <f t="shared" ref="J3:J14" si="1">AVERAGE(G3:I3)</f>
        <v>4</v>
      </c>
      <c r="S3">
        <v>102</v>
      </c>
    </row>
    <row r="4" spans="1:19" ht="30" x14ac:dyDescent="0.25">
      <c r="A4" s="10">
        <v>3</v>
      </c>
      <c r="B4" s="10" t="s">
        <v>58</v>
      </c>
      <c r="C4" s="10" t="s">
        <v>59</v>
      </c>
      <c r="D4" s="10" t="s">
        <v>60</v>
      </c>
      <c r="E4" s="12" t="str">
        <f t="shared" si="0"/>
        <v>Коваль А.М.</v>
      </c>
      <c r="F4" s="15">
        <v>102</v>
      </c>
      <c r="G4" s="10">
        <v>4</v>
      </c>
      <c r="H4" s="10">
        <v>4</v>
      </c>
      <c r="I4" s="10">
        <v>5</v>
      </c>
      <c r="J4" s="13">
        <f t="shared" si="1"/>
        <v>4.333333333333333</v>
      </c>
      <c r="S4">
        <v>103</v>
      </c>
    </row>
    <row r="5" spans="1:19" x14ac:dyDescent="0.25">
      <c r="A5" s="10">
        <v>4</v>
      </c>
      <c r="B5" s="10" t="s">
        <v>61</v>
      </c>
      <c r="C5" s="10" t="s">
        <v>59</v>
      </c>
      <c r="D5" s="10" t="s">
        <v>62</v>
      </c>
      <c r="E5" s="12" t="str">
        <f t="shared" si="0"/>
        <v>Матчин А.С.</v>
      </c>
      <c r="F5" s="15">
        <v>102</v>
      </c>
      <c r="G5" s="10">
        <v>2</v>
      </c>
      <c r="H5" s="10">
        <v>5</v>
      </c>
      <c r="I5" s="10">
        <v>3</v>
      </c>
      <c r="J5" s="13">
        <f t="shared" si="1"/>
        <v>3.3333333333333335</v>
      </c>
      <c r="S5">
        <v>5</v>
      </c>
    </row>
    <row r="6" spans="1:19" ht="30" x14ac:dyDescent="0.25">
      <c r="A6" s="10">
        <v>5</v>
      </c>
      <c r="B6" s="10" t="s">
        <v>63</v>
      </c>
      <c r="C6" s="10" t="s">
        <v>64</v>
      </c>
      <c r="D6" s="10" t="s">
        <v>65</v>
      </c>
      <c r="E6" s="12" t="str">
        <f t="shared" si="0"/>
        <v>Морева П.М.</v>
      </c>
      <c r="F6" s="15">
        <v>101</v>
      </c>
      <c r="G6" s="10">
        <v>5</v>
      </c>
      <c r="H6" s="10">
        <v>3</v>
      </c>
      <c r="I6" s="10">
        <v>2</v>
      </c>
      <c r="J6" s="13">
        <f t="shared" si="1"/>
        <v>3.3333333333333335</v>
      </c>
      <c r="S6">
        <v>4</v>
      </c>
    </row>
    <row r="7" spans="1:19" x14ac:dyDescent="0.25">
      <c r="A7" s="10">
        <v>6</v>
      </c>
      <c r="B7" s="10" t="s">
        <v>66</v>
      </c>
      <c r="C7" s="10" t="s">
        <v>67</v>
      </c>
      <c r="D7" s="10" t="s">
        <v>68</v>
      </c>
      <c r="E7" s="12" t="str">
        <f t="shared" si="0"/>
        <v>Новак О.А.</v>
      </c>
      <c r="F7" s="15">
        <v>103</v>
      </c>
      <c r="G7" s="10">
        <v>5</v>
      </c>
      <c r="H7" s="10">
        <v>3</v>
      </c>
      <c r="I7" s="10">
        <v>4</v>
      </c>
      <c r="J7" s="13">
        <f t="shared" si="1"/>
        <v>4</v>
      </c>
      <c r="S7">
        <v>3</v>
      </c>
    </row>
    <row r="8" spans="1:19" x14ac:dyDescent="0.25">
      <c r="A8" s="10">
        <v>7</v>
      </c>
      <c r="B8" s="10" t="s">
        <v>69</v>
      </c>
      <c r="C8" s="10" t="s">
        <v>70</v>
      </c>
      <c r="D8" s="10" t="s">
        <v>71</v>
      </c>
      <c r="E8" s="12" t="str">
        <f t="shared" si="0"/>
        <v>Новиков Н.А.</v>
      </c>
      <c r="F8" s="15">
        <v>102</v>
      </c>
      <c r="G8" s="10">
        <v>4</v>
      </c>
      <c r="H8" s="10">
        <v>4</v>
      </c>
      <c r="I8" s="10">
        <v>4</v>
      </c>
      <c r="J8" s="13">
        <f t="shared" si="1"/>
        <v>4</v>
      </c>
      <c r="S8">
        <v>2</v>
      </c>
    </row>
    <row r="9" spans="1:19" ht="30" x14ac:dyDescent="0.25">
      <c r="A9" s="10">
        <v>8</v>
      </c>
      <c r="B9" s="10" t="s">
        <v>72</v>
      </c>
      <c r="C9" s="10" t="s">
        <v>73</v>
      </c>
      <c r="D9" s="10" t="s">
        <v>74</v>
      </c>
      <c r="E9" s="12" t="str">
        <f t="shared" si="0"/>
        <v>Пронькина Л.В.</v>
      </c>
      <c r="F9" s="15">
        <v>101</v>
      </c>
      <c r="G9" s="10">
        <v>5</v>
      </c>
      <c r="H9" s="10">
        <v>2</v>
      </c>
      <c r="I9" s="10">
        <v>2</v>
      </c>
      <c r="J9" s="13">
        <f t="shared" si="1"/>
        <v>3</v>
      </c>
    </row>
    <row r="10" spans="1:19" x14ac:dyDescent="0.25">
      <c r="A10" s="10">
        <v>9</v>
      </c>
      <c r="B10" s="10" t="s">
        <v>75</v>
      </c>
      <c r="C10" s="10" t="s">
        <v>8</v>
      </c>
      <c r="D10" s="10" t="s">
        <v>76</v>
      </c>
      <c r="E10" s="12" t="str">
        <f t="shared" si="0"/>
        <v>Солянник А.Г.</v>
      </c>
      <c r="F10" s="15">
        <v>103</v>
      </c>
      <c r="G10" s="10">
        <v>5</v>
      </c>
      <c r="H10" s="10">
        <v>5</v>
      </c>
      <c r="I10" s="10">
        <v>5</v>
      </c>
      <c r="J10" s="13">
        <f t="shared" si="1"/>
        <v>5</v>
      </c>
    </row>
    <row r="11" spans="1:19" x14ac:dyDescent="0.25">
      <c r="A11" s="10">
        <v>10</v>
      </c>
      <c r="B11" s="10" t="s">
        <v>77</v>
      </c>
      <c r="C11" s="10" t="s">
        <v>56</v>
      </c>
      <c r="D11" s="10" t="s">
        <v>78</v>
      </c>
      <c r="E11" s="12" t="str">
        <f t="shared" si="0"/>
        <v>Судьина Д.А.</v>
      </c>
      <c r="F11" s="15">
        <v>101</v>
      </c>
      <c r="G11" s="10">
        <v>3</v>
      </c>
      <c r="H11" s="10">
        <v>5</v>
      </c>
      <c r="I11" s="10">
        <v>4</v>
      </c>
      <c r="J11" s="13">
        <f t="shared" si="1"/>
        <v>4</v>
      </c>
    </row>
    <row r="12" spans="1:19" x14ac:dyDescent="0.25">
      <c r="A12" s="10">
        <v>11</v>
      </c>
      <c r="B12" s="10" t="s">
        <v>79</v>
      </c>
      <c r="C12" s="10" t="s">
        <v>80</v>
      </c>
      <c r="D12" s="10" t="s">
        <v>81</v>
      </c>
      <c r="E12" s="12" t="str">
        <f t="shared" si="0"/>
        <v>Травкова А.В.</v>
      </c>
      <c r="F12" s="15">
        <v>102</v>
      </c>
      <c r="G12" s="10">
        <v>4</v>
      </c>
      <c r="H12" s="10">
        <v>4</v>
      </c>
      <c r="I12" s="10">
        <v>3</v>
      </c>
      <c r="J12" s="13">
        <f t="shared" si="1"/>
        <v>3.6666666666666665</v>
      </c>
    </row>
    <row r="13" spans="1:19" x14ac:dyDescent="0.25">
      <c r="A13" s="10">
        <v>12</v>
      </c>
      <c r="B13" s="10" t="s">
        <v>82</v>
      </c>
      <c r="C13" s="10" t="s">
        <v>83</v>
      </c>
      <c r="D13" s="10" t="s">
        <v>84</v>
      </c>
      <c r="E13" s="12" t="str">
        <f t="shared" si="0"/>
        <v>Уралова Н.И.</v>
      </c>
      <c r="F13" s="15">
        <v>101</v>
      </c>
      <c r="G13" s="10">
        <v>2</v>
      </c>
      <c r="H13" s="10">
        <v>2</v>
      </c>
      <c r="I13" s="10">
        <v>2</v>
      </c>
      <c r="J13" s="13">
        <f t="shared" si="1"/>
        <v>2</v>
      </c>
    </row>
    <row r="14" spans="1:19" x14ac:dyDescent="0.25">
      <c r="A14" s="10">
        <v>13</v>
      </c>
      <c r="B14" s="10" t="s">
        <v>85</v>
      </c>
      <c r="C14" s="10" t="s">
        <v>86</v>
      </c>
      <c r="D14" s="10" t="s">
        <v>57</v>
      </c>
      <c r="E14" s="12" t="str">
        <f t="shared" si="0"/>
        <v>Чубанова З.С.</v>
      </c>
      <c r="F14" s="15">
        <v>102</v>
      </c>
      <c r="G14" s="10">
        <v>3</v>
      </c>
      <c r="H14" s="10">
        <v>3</v>
      </c>
      <c r="I14" s="10">
        <v>4</v>
      </c>
      <c r="J14" s="13">
        <f t="shared" si="1"/>
        <v>3.3333333333333335</v>
      </c>
    </row>
    <row r="15" spans="1:19" x14ac:dyDescent="0.25">
      <c r="F15" t="s">
        <v>52</v>
      </c>
      <c r="G15" s="16">
        <f>AVERAGE(G2:G14)</f>
        <v>3.9230769230769229</v>
      </c>
      <c r="H15" s="16">
        <f t="shared" ref="H15:J15" si="2">AVERAGE(H2:H14)</f>
        <v>3.7692307692307692</v>
      </c>
      <c r="I15" s="16">
        <f t="shared" si="2"/>
        <v>3.6153846153846154</v>
      </c>
      <c r="J15" s="16">
        <f t="shared" si="2"/>
        <v>3.7692307692307692</v>
      </c>
    </row>
    <row r="18" spans="2:16" x14ac:dyDescent="0.25">
      <c r="B18" s="25" t="s">
        <v>96</v>
      </c>
      <c r="C18" s="25"/>
      <c r="D18" s="25"/>
      <c r="E18" s="25"/>
      <c r="F18" s="25"/>
      <c r="G18" s="25"/>
      <c r="I18" s="22" t="s">
        <v>88</v>
      </c>
      <c r="J18" s="23"/>
      <c r="K18" s="23"/>
      <c r="L18" s="24"/>
      <c r="O18" s="17" t="s">
        <v>102</v>
      </c>
      <c r="P18" s="14">
        <f>COUNTIF(J2:J14,S5)</f>
        <v>2</v>
      </c>
    </row>
    <row r="19" spans="2:16" ht="30" x14ac:dyDescent="0.25">
      <c r="B19" s="19" t="s">
        <v>49</v>
      </c>
      <c r="C19" s="19" t="s">
        <v>97</v>
      </c>
      <c r="D19" s="19" t="s">
        <v>98</v>
      </c>
      <c r="E19" s="19" t="s">
        <v>99</v>
      </c>
      <c r="F19" s="19" t="s">
        <v>100</v>
      </c>
      <c r="G19" s="19" t="s">
        <v>52</v>
      </c>
      <c r="I19" s="18"/>
      <c r="J19" s="18" t="s">
        <v>89</v>
      </c>
      <c r="K19" s="18" t="s">
        <v>90</v>
      </c>
      <c r="L19" s="18" t="s">
        <v>91</v>
      </c>
      <c r="O19" s="17" t="s">
        <v>101</v>
      </c>
      <c r="P19" s="14">
        <f>COUNTIF(J2:J14,S8)</f>
        <v>1</v>
      </c>
    </row>
    <row r="20" spans="2:16" x14ac:dyDescent="0.25">
      <c r="B20" s="17">
        <v>101</v>
      </c>
      <c r="C20" s="16">
        <f>(SUMIF($F$2:$F$14,$B20,G$2:G$14)/$F20)</f>
        <v>4</v>
      </c>
      <c r="D20" s="16">
        <f>(SUMIF($F$2:$F$14,$B20,H$2:H$14)/$F20)</f>
        <v>3.4</v>
      </c>
      <c r="E20" s="16">
        <f>(SUMIF($F$2:$F$14,$B20,I$2:I$14)/$F20)</f>
        <v>3</v>
      </c>
      <c r="F20" s="14">
        <f>COUNTIF($F$2:$F$14,B20)</f>
        <v>5</v>
      </c>
      <c r="G20" s="16">
        <f>AVERAGE(C20:E20)</f>
        <v>3.4666666666666668</v>
      </c>
      <c r="I20" s="17" t="s">
        <v>92</v>
      </c>
      <c r="J20" s="14">
        <f>COUNTIF(G2:G14,$S5)</f>
        <v>5</v>
      </c>
      <c r="K20" s="14">
        <f>COUNTIF(H2:H14,$S5)</f>
        <v>4</v>
      </c>
      <c r="L20" s="14">
        <f>COUNTIF(I2:I14,$S5)</f>
        <v>3</v>
      </c>
    </row>
    <row r="21" spans="2:16" x14ac:dyDescent="0.25">
      <c r="B21" s="17">
        <v>102</v>
      </c>
      <c r="C21" s="16">
        <f>(SUMIF($F$2:$F$14,$B21,G$2:G$14)/$F21)</f>
        <v>3.4</v>
      </c>
      <c r="D21" s="16">
        <f>(SUMIF($F$2:$F$14,$B21,H$2:H$14)/$F21)</f>
        <v>4</v>
      </c>
      <c r="E21" s="16">
        <f>(SUMIF($F$2:$F$14,$B21,I$2:I$14)/$F21)</f>
        <v>3.8</v>
      </c>
      <c r="F21" s="14">
        <f t="shared" ref="F21:F22" si="3">COUNTIF($F$2:$F$14,B21)</f>
        <v>5</v>
      </c>
      <c r="G21" s="16">
        <f t="shared" ref="G21:G22" si="4">AVERAGE(C21:E21)</f>
        <v>3.7333333333333329</v>
      </c>
      <c r="I21" s="17" t="s">
        <v>93</v>
      </c>
      <c r="J21" s="14">
        <f>COUNTIF(G3:G15,$S6)</f>
        <v>4</v>
      </c>
      <c r="K21" s="14">
        <f>COUNTIF(H3:H15,$S6)</f>
        <v>4</v>
      </c>
      <c r="L21" s="14">
        <f>COUNTIF(I3:I15,$S6)</f>
        <v>5</v>
      </c>
    </row>
    <row r="22" spans="2:16" x14ac:dyDescent="0.25">
      <c r="B22" s="17">
        <v>103</v>
      </c>
      <c r="C22" s="16">
        <f>(SUMIF($F$2:$F$14,$B22,G$2:G$14)/$F22)</f>
        <v>4.666666666666667</v>
      </c>
      <c r="D22" s="16">
        <f>(SUMIF($F$2:$F$14,$B22,H$2:H$14)/$F22)</f>
        <v>4</v>
      </c>
      <c r="E22" s="16">
        <f>(SUMIF($F$2:$F$14,$B22,I$2:I$14)/$F22)</f>
        <v>4.333333333333333</v>
      </c>
      <c r="F22" s="14">
        <f t="shared" si="3"/>
        <v>3</v>
      </c>
      <c r="G22" s="16">
        <f t="shared" si="4"/>
        <v>4.333333333333333</v>
      </c>
      <c r="I22" s="17" t="s">
        <v>94</v>
      </c>
      <c r="J22" s="14">
        <f>COUNTIF(G4:G16,$S7)</f>
        <v>2</v>
      </c>
      <c r="K22" s="14">
        <f>COUNTIF(H4:H16,$S7)</f>
        <v>3</v>
      </c>
      <c r="L22" s="14">
        <f>COUNTIF(I4:I16,$S7)</f>
        <v>2</v>
      </c>
    </row>
    <row r="23" spans="2:16" x14ac:dyDescent="0.25">
      <c r="I23" s="17" t="s">
        <v>95</v>
      </c>
      <c r="J23" s="14">
        <f>COUNTIF(G5:G17,$S8)</f>
        <v>2</v>
      </c>
      <c r="K23" s="14">
        <f>COUNTIF(H5:H17,$S8)</f>
        <v>2</v>
      </c>
      <c r="L23" s="14">
        <f>COUNTIF(I5:I17,$S8)</f>
        <v>3</v>
      </c>
    </row>
  </sheetData>
  <mergeCells count="2">
    <mergeCell ref="I18:L18"/>
    <mergeCell ref="B18:G18"/>
  </mergeCells>
  <dataValidations disablePrompts="1" count="1">
    <dataValidation type="list" allowBlank="1" showInputMessage="1" showErrorMessage="1" sqref="F2:F14" xr:uid="{00000000-0002-0000-0500-000000000000}">
      <formula1>$S$2:$S$4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Моя семья</vt:lpstr>
      <vt:lpstr>Даты</vt:lpstr>
      <vt:lpstr>Дни Рождения</vt:lpstr>
      <vt:lpstr>Электронная почта</vt:lpstr>
      <vt:lpstr>Следующий День Рождения</vt:lpstr>
      <vt:lpstr>ДЗ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Дмитрий Пузынин</cp:lastModifiedBy>
  <dcterms:created xsi:type="dcterms:W3CDTF">2025-04-17T10:19:30Z</dcterms:created>
  <dcterms:modified xsi:type="dcterms:W3CDTF">2025-05-07T03:25:18Z</dcterms:modified>
</cp:coreProperties>
</file>