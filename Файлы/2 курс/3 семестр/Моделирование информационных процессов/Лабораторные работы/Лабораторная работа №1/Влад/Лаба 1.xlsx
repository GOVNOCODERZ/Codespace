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despace\Файлы\2 курс\3 семестр\Моделирование информационных процессов\Лабораторные работы\Лабораторная работа №1\Влад\"/>
    </mc:Choice>
  </mc:AlternateContent>
  <xr:revisionPtr revIDLastSave="0" documentId="8_{9716BD1A-1A86-4C5F-A3C4-443EDA0D40CA}" xr6:coauthVersionLast="47" xr6:coauthVersionMax="47" xr10:uidLastSave="{00000000-0000-0000-0000-000000000000}"/>
  <bookViews>
    <workbookView xWindow="14400" yWindow="450" windowWidth="14325" windowHeight="15750" firstSheet="1" activeTab="3" xr2:uid="{97B3B689-7A48-46E9-85B4-2B85A19FB769}"/>
  </bookViews>
  <sheets>
    <sheet name="Задание 1" sheetId="1" r:id="rId1"/>
    <sheet name="Задание 1 (график)" sheetId="2" r:id="rId2"/>
    <sheet name="Задание 3" sheetId="4" r:id="rId3"/>
    <sheet name="Задание 4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9" i="5" l="1"/>
  <c r="B29" i="5"/>
  <c r="A30" i="5"/>
  <c r="B30" i="5"/>
  <c r="A31" i="5"/>
  <c r="B31" i="5"/>
  <c r="A32" i="5"/>
  <c r="B32" i="5"/>
  <c r="A33" i="5"/>
  <c r="B33" i="5"/>
  <c r="A34" i="5"/>
  <c r="B34" i="5"/>
  <c r="A13" i="5"/>
  <c r="B13" i="5"/>
  <c r="A14" i="5"/>
  <c r="B14" i="5"/>
  <c r="A15" i="5"/>
  <c r="B15" i="5"/>
  <c r="A16" i="5"/>
  <c r="B16" i="5"/>
  <c r="A17" i="5"/>
  <c r="B17" i="5"/>
  <c r="A18" i="5"/>
  <c r="B18" i="5"/>
  <c r="A19" i="5"/>
  <c r="B19" i="5"/>
  <c r="A20" i="5"/>
  <c r="B20" i="5"/>
  <c r="A21" i="5"/>
  <c r="B21" i="5"/>
  <c r="A22" i="5"/>
  <c r="B22" i="5"/>
  <c r="A23" i="5"/>
  <c r="B23" i="5"/>
  <c r="A24" i="5"/>
  <c r="B24" i="5"/>
  <c r="A25" i="5"/>
  <c r="B25" i="5"/>
  <c r="A26" i="5"/>
  <c r="B26" i="5"/>
  <c r="A27" i="5"/>
  <c r="B27" i="5"/>
  <c r="A28" i="5"/>
  <c r="B28" i="5"/>
  <c r="A5" i="5"/>
  <c r="B5" i="5"/>
  <c r="A6" i="5"/>
  <c r="B6" i="5"/>
  <c r="A7" i="5"/>
  <c r="B7" i="5"/>
  <c r="A8" i="5"/>
  <c r="B8" i="5"/>
  <c r="A9" i="5"/>
  <c r="B9" i="5"/>
  <c r="A10" i="5"/>
  <c r="B10" i="5"/>
  <c r="A11" i="5"/>
  <c r="B11" i="5"/>
  <c r="A12" i="5"/>
  <c r="B12" i="5"/>
  <c r="B4" i="5"/>
  <c r="A4" i="5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8" i="4"/>
  <c r="A7" i="4"/>
  <c r="B7" i="4" s="1"/>
  <c r="C7" i="4" s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2" i="1"/>
  <c r="C22" i="1"/>
  <c r="B23" i="1"/>
  <c r="C23" i="1"/>
  <c r="B24" i="1"/>
  <c r="C24" i="1"/>
  <c r="B25" i="1"/>
  <c r="C25" i="1"/>
  <c r="B26" i="1"/>
  <c r="C26" i="1"/>
  <c r="B27" i="1"/>
  <c r="C27" i="1"/>
  <c r="B28" i="1"/>
  <c r="C28" i="1"/>
  <c r="B29" i="1"/>
  <c r="C29" i="1"/>
  <c r="B30" i="1"/>
  <c r="C30" i="1"/>
  <c r="B31" i="1"/>
  <c r="C31" i="1"/>
  <c r="B32" i="1"/>
  <c r="C32" i="1"/>
  <c r="B33" i="1"/>
  <c r="C33" i="1"/>
  <c r="B34" i="1"/>
  <c r="C34" i="1"/>
  <c r="B35" i="1"/>
  <c r="C35" i="1"/>
  <c r="B36" i="1"/>
  <c r="C36" i="1"/>
  <c r="B37" i="1"/>
  <c r="C37" i="1"/>
  <c r="B38" i="1"/>
  <c r="C38" i="1"/>
  <c r="B39" i="1"/>
  <c r="C39" i="1"/>
  <c r="B40" i="1"/>
  <c r="C40" i="1"/>
  <c r="B41" i="1"/>
  <c r="C41" i="1"/>
  <c r="B42" i="1"/>
  <c r="C42" i="1"/>
  <c r="B43" i="1"/>
  <c r="C43" i="1"/>
  <c r="B44" i="1"/>
  <c r="C44" i="1"/>
  <c r="B45" i="1"/>
  <c r="C45" i="1"/>
  <c r="B46" i="1"/>
  <c r="C46" i="1"/>
  <c r="B47" i="1"/>
  <c r="C47" i="1"/>
  <c r="B48" i="1"/>
  <c r="C48" i="1"/>
  <c r="B49" i="1"/>
  <c r="C49" i="1"/>
  <c r="B50" i="1"/>
  <c r="C50" i="1"/>
  <c r="B51" i="1"/>
  <c r="C51" i="1"/>
  <c r="B52" i="1"/>
  <c r="C52" i="1"/>
  <c r="B53" i="1"/>
  <c r="C53" i="1"/>
  <c r="B54" i="1"/>
  <c r="C54" i="1"/>
  <c r="B55" i="1"/>
  <c r="C55" i="1"/>
  <c r="B56" i="1"/>
  <c r="C56" i="1"/>
  <c r="B57" i="1"/>
  <c r="C57" i="1"/>
  <c r="B58" i="1"/>
  <c r="C58" i="1"/>
  <c r="B59" i="1"/>
  <c r="C59" i="1"/>
  <c r="B60" i="1"/>
  <c r="C60" i="1"/>
  <c r="B61" i="1"/>
  <c r="C61" i="1"/>
  <c r="B62" i="1"/>
  <c r="C62" i="1"/>
  <c r="B63" i="1"/>
  <c r="C63" i="1"/>
  <c r="B64" i="1"/>
  <c r="C64" i="1"/>
  <c r="B65" i="1"/>
  <c r="C65" i="1"/>
  <c r="B66" i="1"/>
  <c r="C66" i="1"/>
  <c r="B67" i="1"/>
  <c r="C67" i="1"/>
  <c r="B68" i="1"/>
  <c r="C68" i="1"/>
  <c r="B69" i="1"/>
  <c r="C69" i="1"/>
  <c r="B70" i="1"/>
  <c r="C70" i="1"/>
  <c r="B71" i="1"/>
  <c r="C71" i="1"/>
  <c r="B72" i="1"/>
  <c r="C72" i="1"/>
  <c r="B73" i="1"/>
  <c r="C73" i="1"/>
  <c r="B74" i="1"/>
  <c r="C74" i="1"/>
  <c r="B75" i="1"/>
  <c r="C75" i="1"/>
  <c r="B76" i="1"/>
  <c r="C76" i="1"/>
  <c r="B77" i="1"/>
  <c r="C77" i="1"/>
  <c r="B78" i="1"/>
  <c r="C78" i="1"/>
  <c r="B79" i="1"/>
  <c r="C79" i="1"/>
  <c r="B80" i="1"/>
  <c r="C80" i="1"/>
  <c r="B81" i="1"/>
  <c r="C81" i="1"/>
  <c r="B82" i="1"/>
  <c r="C82" i="1"/>
  <c r="B83" i="1"/>
  <c r="C83" i="1"/>
  <c r="B84" i="1"/>
  <c r="C84" i="1"/>
  <c r="B85" i="1"/>
  <c r="C85" i="1"/>
  <c r="B86" i="1"/>
  <c r="C86" i="1"/>
  <c r="B87" i="1"/>
  <c r="C87" i="1"/>
  <c r="B88" i="1"/>
  <c r="C88" i="1"/>
  <c r="B89" i="1"/>
  <c r="C89" i="1"/>
  <c r="B90" i="1"/>
  <c r="C90" i="1"/>
  <c r="B91" i="1"/>
  <c r="C91" i="1"/>
  <c r="B92" i="1"/>
  <c r="C92" i="1"/>
  <c r="B93" i="1"/>
  <c r="C93" i="1"/>
  <c r="B94" i="1"/>
  <c r="C94" i="1"/>
  <c r="B95" i="1"/>
  <c r="C95" i="1"/>
  <c r="B96" i="1"/>
  <c r="C96" i="1"/>
  <c r="B97" i="1"/>
  <c r="C97" i="1"/>
  <c r="B98" i="1"/>
  <c r="C98" i="1"/>
  <c r="B99" i="1"/>
  <c r="C99" i="1"/>
  <c r="B100" i="1"/>
  <c r="C100" i="1"/>
  <c r="B101" i="1"/>
  <c r="C101" i="1"/>
  <c r="B102" i="1"/>
  <c r="C102" i="1"/>
  <c r="B103" i="1"/>
  <c r="C103" i="1"/>
  <c r="B104" i="1"/>
  <c r="C104" i="1"/>
  <c r="B105" i="1"/>
  <c r="C105" i="1"/>
  <c r="B106" i="1"/>
  <c r="C106" i="1"/>
  <c r="B107" i="1"/>
  <c r="C107" i="1"/>
  <c r="B108" i="1"/>
  <c r="C108" i="1"/>
  <c r="B109" i="1"/>
  <c r="C109" i="1"/>
  <c r="B110" i="1"/>
  <c r="C110" i="1"/>
  <c r="B111" i="1"/>
  <c r="C111" i="1"/>
  <c r="B112" i="1"/>
  <c r="C112" i="1"/>
  <c r="B113" i="1"/>
  <c r="C113" i="1"/>
  <c r="B114" i="1"/>
  <c r="C114" i="1"/>
  <c r="B115" i="1"/>
  <c r="C115" i="1"/>
  <c r="B116" i="1"/>
  <c r="C116" i="1"/>
  <c r="B117" i="1"/>
  <c r="C117" i="1"/>
  <c r="B118" i="1"/>
  <c r="C118" i="1"/>
  <c r="B119" i="1"/>
  <c r="C119" i="1"/>
  <c r="B120" i="1"/>
  <c r="C120" i="1"/>
  <c r="B121" i="1"/>
  <c r="C121" i="1"/>
  <c r="B122" i="1"/>
  <c r="C122" i="1"/>
  <c r="B123" i="1"/>
  <c r="C123" i="1"/>
  <c r="B124" i="1"/>
  <c r="C124" i="1"/>
  <c r="B125" i="1"/>
  <c r="C125" i="1"/>
  <c r="B126" i="1"/>
  <c r="C126" i="1"/>
  <c r="B127" i="1"/>
  <c r="C127" i="1"/>
  <c r="B128" i="1"/>
  <c r="C128" i="1"/>
  <c r="B129" i="1"/>
  <c r="C129" i="1"/>
  <c r="B130" i="1"/>
  <c r="C130" i="1"/>
  <c r="B131" i="1"/>
  <c r="C131" i="1"/>
  <c r="B132" i="1"/>
  <c r="C132" i="1"/>
  <c r="B133" i="1"/>
  <c r="C133" i="1"/>
  <c r="B134" i="1"/>
  <c r="C134" i="1"/>
  <c r="B135" i="1"/>
  <c r="C135" i="1"/>
  <c r="B136" i="1"/>
  <c r="C136" i="1"/>
  <c r="B137" i="1"/>
  <c r="C137" i="1"/>
  <c r="B138" i="1"/>
  <c r="C138" i="1"/>
  <c r="B139" i="1"/>
  <c r="C139" i="1"/>
  <c r="B140" i="1"/>
  <c r="C140" i="1"/>
  <c r="B141" i="1"/>
  <c r="C141" i="1"/>
  <c r="B142" i="1"/>
  <c r="C142" i="1"/>
  <c r="B143" i="1"/>
  <c r="C143" i="1"/>
  <c r="B144" i="1"/>
  <c r="C144" i="1"/>
  <c r="B145" i="1"/>
  <c r="C145" i="1"/>
  <c r="B146" i="1"/>
  <c r="C146" i="1"/>
  <c r="B147" i="1"/>
  <c r="C147" i="1"/>
  <c r="B148" i="1"/>
  <c r="C148" i="1"/>
  <c r="B149" i="1"/>
  <c r="C149" i="1"/>
  <c r="B150" i="1"/>
  <c r="C150" i="1"/>
  <c r="B151" i="1"/>
  <c r="C151" i="1"/>
  <c r="B152" i="1"/>
  <c r="C152" i="1"/>
  <c r="B153" i="1"/>
  <c r="C153" i="1"/>
  <c r="B154" i="1"/>
  <c r="C154" i="1"/>
  <c r="B155" i="1"/>
  <c r="C155" i="1"/>
  <c r="B156" i="1"/>
  <c r="C156" i="1"/>
  <c r="B157" i="1"/>
  <c r="C157" i="1"/>
  <c r="B158" i="1"/>
  <c r="C158" i="1"/>
  <c r="B159" i="1"/>
  <c r="C159" i="1"/>
  <c r="B160" i="1"/>
  <c r="C160" i="1"/>
  <c r="B161" i="1"/>
  <c r="C161" i="1"/>
  <c r="B162" i="1"/>
  <c r="C162" i="1"/>
  <c r="B163" i="1"/>
  <c r="C163" i="1"/>
  <c r="B164" i="1"/>
  <c r="C164" i="1"/>
  <c r="B165" i="1"/>
  <c r="C165" i="1"/>
  <c r="B166" i="1"/>
  <c r="C166" i="1"/>
  <c r="B167" i="1"/>
  <c r="C167" i="1"/>
  <c r="B168" i="1"/>
  <c r="C168" i="1"/>
  <c r="B169" i="1"/>
  <c r="C169" i="1"/>
  <c r="B170" i="1"/>
  <c r="C170" i="1"/>
  <c r="B171" i="1"/>
  <c r="C171" i="1"/>
  <c r="B172" i="1"/>
  <c r="C172" i="1"/>
  <c r="B173" i="1"/>
  <c r="C173" i="1"/>
  <c r="B174" i="1"/>
  <c r="C174" i="1"/>
  <c r="B175" i="1"/>
  <c r="C175" i="1"/>
  <c r="B176" i="1"/>
  <c r="C176" i="1"/>
  <c r="B177" i="1"/>
  <c r="C177" i="1"/>
  <c r="B178" i="1"/>
  <c r="C178" i="1"/>
  <c r="B179" i="1"/>
  <c r="C179" i="1"/>
  <c r="B180" i="1"/>
  <c r="C180" i="1"/>
  <c r="B181" i="1"/>
  <c r="C181" i="1"/>
  <c r="B182" i="1"/>
  <c r="C182" i="1"/>
  <c r="B183" i="1"/>
  <c r="C183" i="1"/>
  <c r="B184" i="1"/>
  <c r="C184" i="1"/>
  <c r="B185" i="1"/>
  <c r="C185" i="1"/>
  <c r="B186" i="1"/>
  <c r="C186" i="1"/>
  <c r="B187" i="1"/>
  <c r="C187" i="1"/>
  <c r="B188" i="1"/>
  <c r="C188" i="1"/>
  <c r="B189" i="1"/>
  <c r="C189" i="1"/>
  <c r="B190" i="1"/>
  <c r="C190" i="1"/>
  <c r="B191" i="1"/>
  <c r="C191" i="1"/>
  <c r="B192" i="1"/>
  <c r="C192" i="1"/>
  <c r="B193" i="1"/>
  <c r="C193" i="1"/>
  <c r="B194" i="1"/>
  <c r="C194" i="1"/>
  <c r="B195" i="1"/>
  <c r="C195" i="1"/>
  <c r="B196" i="1"/>
  <c r="C196" i="1"/>
  <c r="B197" i="1"/>
  <c r="C197" i="1"/>
  <c r="B198" i="1"/>
  <c r="C198" i="1"/>
  <c r="B199" i="1"/>
  <c r="C199" i="1"/>
  <c r="B200" i="1"/>
  <c r="C200" i="1"/>
  <c r="B201" i="1"/>
  <c r="C201" i="1"/>
  <c r="B202" i="1"/>
  <c r="C202" i="1"/>
  <c r="B203" i="1"/>
  <c r="C203" i="1"/>
  <c r="B204" i="1"/>
  <c r="C204" i="1"/>
  <c r="B205" i="1"/>
  <c r="C205" i="1"/>
  <c r="B206" i="1"/>
  <c r="C206" i="1"/>
  <c r="B207" i="1"/>
  <c r="C207" i="1"/>
  <c r="B208" i="1"/>
  <c r="C208" i="1"/>
  <c r="B209" i="1"/>
  <c r="C209" i="1"/>
  <c r="B210" i="1"/>
  <c r="C210" i="1"/>
  <c r="B211" i="1"/>
  <c r="C211" i="1"/>
  <c r="B212" i="1"/>
  <c r="C212" i="1"/>
  <c r="B213" i="1"/>
  <c r="C213" i="1"/>
  <c r="B214" i="1"/>
  <c r="C214" i="1"/>
  <c r="B215" i="1"/>
  <c r="C215" i="1"/>
  <c r="B216" i="1"/>
  <c r="C216" i="1"/>
  <c r="B217" i="1"/>
  <c r="C217" i="1"/>
  <c r="B218" i="1"/>
  <c r="C218" i="1"/>
  <c r="B219" i="1"/>
  <c r="C219" i="1"/>
  <c r="B220" i="1"/>
  <c r="C220" i="1"/>
  <c r="B221" i="1"/>
  <c r="C221" i="1"/>
  <c r="B222" i="1"/>
  <c r="C222" i="1"/>
  <c r="B223" i="1"/>
  <c r="C223" i="1"/>
  <c r="B224" i="1"/>
  <c r="C224" i="1"/>
  <c r="B225" i="1"/>
  <c r="C225" i="1"/>
  <c r="B226" i="1"/>
  <c r="C226" i="1"/>
  <c r="B227" i="1"/>
  <c r="C227" i="1"/>
  <c r="B228" i="1"/>
  <c r="C228" i="1"/>
  <c r="B229" i="1"/>
  <c r="C229" i="1"/>
  <c r="B230" i="1"/>
  <c r="C230" i="1"/>
  <c r="B231" i="1"/>
  <c r="C231" i="1"/>
  <c r="B232" i="1"/>
  <c r="C232" i="1"/>
  <c r="B233" i="1"/>
  <c r="C233" i="1"/>
  <c r="B234" i="1"/>
  <c r="C234" i="1"/>
  <c r="B235" i="1"/>
  <c r="C235" i="1"/>
  <c r="B236" i="1"/>
  <c r="C236" i="1"/>
  <c r="B237" i="1"/>
  <c r="C237" i="1"/>
  <c r="B238" i="1"/>
  <c r="C238" i="1"/>
  <c r="B239" i="1"/>
  <c r="C239" i="1"/>
  <c r="B240" i="1"/>
  <c r="C240" i="1"/>
  <c r="B241" i="1"/>
  <c r="C241" i="1"/>
  <c r="B242" i="1"/>
  <c r="C242" i="1"/>
  <c r="B243" i="1"/>
  <c r="C243" i="1"/>
  <c r="B244" i="1"/>
  <c r="C244" i="1"/>
  <c r="B245" i="1"/>
  <c r="C245" i="1"/>
  <c r="B246" i="1"/>
  <c r="C246" i="1"/>
  <c r="B247" i="1"/>
  <c r="C247" i="1"/>
  <c r="B248" i="1"/>
  <c r="C248" i="1"/>
  <c r="B249" i="1"/>
  <c r="C249" i="1"/>
  <c r="B250" i="1"/>
  <c r="C250" i="1"/>
  <c r="B251" i="1"/>
  <c r="C251" i="1"/>
  <c r="B252" i="1"/>
  <c r="C252" i="1"/>
  <c r="B253" i="1"/>
  <c r="C253" i="1"/>
  <c r="B254" i="1"/>
  <c r="C254" i="1"/>
  <c r="B255" i="1"/>
  <c r="C255" i="1"/>
  <c r="B256" i="1"/>
  <c r="C256" i="1"/>
  <c r="B257" i="1"/>
  <c r="C257" i="1"/>
  <c r="B258" i="1"/>
  <c r="C258" i="1"/>
  <c r="B259" i="1"/>
  <c r="C259" i="1"/>
  <c r="B260" i="1"/>
  <c r="C260" i="1"/>
  <c r="B261" i="1"/>
  <c r="C261" i="1"/>
  <c r="B262" i="1"/>
  <c r="C262" i="1"/>
  <c r="B263" i="1"/>
  <c r="C263" i="1"/>
  <c r="B264" i="1"/>
  <c r="C264" i="1"/>
  <c r="B265" i="1"/>
  <c r="C265" i="1"/>
  <c r="B266" i="1"/>
  <c r="C266" i="1"/>
  <c r="B267" i="1"/>
  <c r="C267" i="1"/>
  <c r="B268" i="1"/>
  <c r="C268" i="1"/>
  <c r="B269" i="1"/>
  <c r="C269" i="1"/>
  <c r="B270" i="1"/>
  <c r="C270" i="1"/>
  <c r="B271" i="1"/>
  <c r="C271" i="1"/>
  <c r="B272" i="1"/>
  <c r="C272" i="1"/>
  <c r="B273" i="1"/>
  <c r="C273" i="1"/>
  <c r="B274" i="1"/>
  <c r="C274" i="1"/>
  <c r="B275" i="1"/>
  <c r="C275" i="1"/>
  <c r="B276" i="1"/>
  <c r="C276" i="1"/>
  <c r="B277" i="1"/>
  <c r="C277" i="1"/>
  <c r="B278" i="1"/>
  <c r="C278" i="1"/>
  <c r="B279" i="1"/>
  <c r="C279" i="1"/>
  <c r="B280" i="1"/>
  <c r="C280" i="1"/>
  <c r="B281" i="1"/>
  <c r="C281" i="1"/>
  <c r="B282" i="1"/>
  <c r="C282" i="1"/>
  <c r="B283" i="1"/>
  <c r="C283" i="1"/>
  <c r="B284" i="1"/>
  <c r="C284" i="1"/>
  <c r="B285" i="1"/>
  <c r="C285" i="1"/>
  <c r="B286" i="1"/>
  <c r="C286" i="1"/>
  <c r="B287" i="1"/>
  <c r="C287" i="1"/>
  <c r="B288" i="1"/>
  <c r="C288" i="1"/>
  <c r="B289" i="1"/>
  <c r="C289" i="1"/>
  <c r="B290" i="1"/>
  <c r="C290" i="1"/>
  <c r="B291" i="1"/>
  <c r="C291" i="1"/>
  <c r="B292" i="1"/>
  <c r="C292" i="1"/>
  <c r="B293" i="1"/>
  <c r="C293" i="1"/>
  <c r="B294" i="1"/>
  <c r="C294" i="1"/>
  <c r="B295" i="1"/>
  <c r="C295" i="1"/>
  <c r="B296" i="1"/>
  <c r="C296" i="1"/>
  <c r="B297" i="1"/>
  <c r="C297" i="1"/>
  <c r="B298" i="1"/>
  <c r="C298" i="1"/>
  <c r="B299" i="1"/>
  <c r="C299" i="1"/>
  <c r="B300" i="1"/>
  <c r="C300" i="1"/>
  <c r="B301" i="1"/>
  <c r="C301" i="1"/>
  <c r="B302" i="1"/>
  <c r="C302" i="1"/>
  <c r="B303" i="1"/>
  <c r="C303" i="1"/>
  <c r="B304" i="1"/>
  <c r="C304" i="1"/>
  <c r="B305" i="1"/>
  <c r="C305" i="1"/>
  <c r="B306" i="1"/>
  <c r="C306" i="1"/>
  <c r="B307" i="1"/>
  <c r="C307" i="1"/>
  <c r="B308" i="1"/>
  <c r="C308" i="1"/>
  <c r="B309" i="1"/>
  <c r="C309" i="1"/>
  <c r="B310" i="1"/>
  <c r="C310" i="1"/>
  <c r="B311" i="1"/>
  <c r="C311" i="1"/>
  <c r="B312" i="1"/>
  <c r="C312" i="1"/>
  <c r="B313" i="1"/>
  <c r="C313" i="1"/>
  <c r="B314" i="1"/>
  <c r="C314" i="1"/>
  <c r="B315" i="1"/>
  <c r="C315" i="1"/>
  <c r="B316" i="1"/>
  <c r="C316" i="1"/>
  <c r="B317" i="1"/>
  <c r="C317" i="1"/>
  <c r="B318" i="1"/>
  <c r="C318" i="1"/>
  <c r="B319" i="1"/>
  <c r="C319" i="1"/>
  <c r="B320" i="1"/>
  <c r="C320" i="1"/>
  <c r="B321" i="1"/>
  <c r="C321" i="1"/>
  <c r="B322" i="1"/>
  <c r="C322" i="1"/>
  <c r="B323" i="1"/>
  <c r="C323" i="1"/>
  <c r="B324" i="1"/>
  <c r="C324" i="1"/>
  <c r="B325" i="1"/>
  <c r="C325" i="1"/>
  <c r="B326" i="1"/>
  <c r="C326" i="1"/>
  <c r="B327" i="1"/>
  <c r="C327" i="1"/>
  <c r="B328" i="1"/>
  <c r="C328" i="1"/>
  <c r="B329" i="1"/>
  <c r="C329" i="1"/>
  <c r="B330" i="1"/>
  <c r="C330" i="1"/>
  <c r="B331" i="1"/>
  <c r="C331" i="1"/>
  <c r="B332" i="1"/>
  <c r="C332" i="1"/>
  <c r="B333" i="1"/>
  <c r="C333" i="1"/>
  <c r="B334" i="1"/>
  <c r="C334" i="1"/>
  <c r="B335" i="1"/>
  <c r="C335" i="1"/>
  <c r="B336" i="1"/>
  <c r="C336" i="1"/>
  <c r="B337" i="1"/>
  <c r="C337" i="1"/>
  <c r="B338" i="1"/>
  <c r="C338" i="1"/>
  <c r="B339" i="1"/>
  <c r="C339" i="1"/>
  <c r="B340" i="1"/>
  <c r="C340" i="1"/>
  <c r="B341" i="1"/>
  <c r="C341" i="1"/>
  <c r="B342" i="1"/>
  <c r="C342" i="1"/>
  <c r="B343" i="1"/>
  <c r="C343" i="1"/>
  <c r="B344" i="1"/>
  <c r="C344" i="1"/>
  <c r="B345" i="1"/>
  <c r="C345" i="1"/>
  <c r="B346" i="1"/>
  <c r="C346" i="1"/>
  <c r="B347" i="1"/>
  <c r="C347" i="1"/>
  <c r="B348" i="1"/>
  <c r="C348" i="1"/>
  <c r="B349" i="1"/>
  <c r="C349" i="1"/>
  <c r="B350" i="1"/>
  <c r="C350" i="1"/>
  <c r="B351" i="1"/>
  <c r="C351" i="1"/>
  <c r="B352" i="1"/>
  <c r="C352" i="1"/>
  <c r="B353" i="1"/>
  <c r="C353" i="1"/>
  <c r="B354" i="1"/>
  <c r="C354" i="1"/>
  <c r="B355" i="1"/>
  <c r="C355" i="1"/>
  <c r="B356" i="1"/>
  <c r="C356" i="1"/>
  <c r="B357" i="1"/>
  <c r="C357" i="1"/>
  <c r="B358" i="1"/>
  <c r="C358" i="1"/>
  <c r="B359" i="1"/>
  <c r="C359" i="1"/>
  <c r="B360" i="1"/>
  <c r="C360" i="1"/>
  <c r="B361" i="1"/>
  <c r="C361" i="1"/>
  <c r="B362" i="1"/>
  <c r="C362" i="1"/>
  <c r="B363" i="1"/>
  <c r="C363" i="1"/>
  <c r="B364" i="1"/>
  <c r="C364" i="1"/>
  <c r="B365" i="1"/>
  <c r="C365" i="1"/>
  <c r="B366" i="1"/>
  <c r="C366" i="1"/>
  <c r="B367" i="1"/>
  <c r="C367" i="1"/>
  <c r="B368" i="1"/>
  <c r="C368" i="1"/>
  <c r="B369" i="1"/>
  <c r="C369" i="1"/>
  <c r="B370" i="1"/>
  <c r="C370" i="1"/>
  <c r="B6" i="1"/>
  <c r="C6" i="1"/>
  <c r="C32" i="5" l="1"/>
  <c r="C29" i="5"/>
  <c r="D31" i="5"/>
  <c r="D16" i="5"/>
  <c r="D33" i="5"/>
  <c r="C4" i="5"/>
  <c r="E4" i="5" s="1"/>
  <c r="D34" i="5"/>
  <c r="C33" i="5"/>
  <c r="C34" i="5"/>
  <c r="D29" i="5"/>
  <c r="D30" i="5"/>
  <c r="C18" i="5"/>
  <c r="C30" i="5"/>
  <c r="D15" i="5"/>
  <c r="C27" i="5"/>
  <c r="D32" i="5"/>
  <c r="C31" i="5"/>
  <c r="D9" i="5"/>
  <c r="D28" i="5"/>
  <c r="D22" i="5"/>
  <c r="C21" i="5"/>
  <c r="C15" i="5"/>
  <c r="D7" i="5"/>
  <c r="C28" i="5"/>
  <c r="E28" i="5" s="1"/>
  <c r="D23" i="5"/>
  <c r="C22" i="5"/>
  <c r="E22" i="5" s="1"/>
  <c r="D17" i="5"/>
  <c r="C16" i="5"/>
  <c r="E16" i="5" s="1"/>
  <c r="D24" i="5"/>
  <c r="C23" i="5"/>
  <c r="E23" i="5" s="1"/>
  <c r="D18" i="5"/>
  <c r="C17" i="5"/>
  <c r="D25" i="5"/>
  <c r="C24" i="5"/>
  <c r="D19" i="5"/>
  <c r="D13" i="5"/>
  <c r="C7" i="5"/>
  <c r="D26" i="5"/>
  <c r="C25" i="5"/>
  <c r="E25" i="5" s="1"/>
  <c r="D20" i="5"/>
  <c r="C19" i="5"/>
  <c r="E19" i="5" s="1"/>
  <c r="D14" i="5"/>
  <c r="C13" i="5"/>
  <c r="D8" i="5"/>
  <c r="D27" i="5"/>
  <c r="E27" i="5" s="1"/>
  <c r="C26" i="5"/>
  <c r="D21" i="5"/>
  <c r="C20" i="5"/>
  <c r="E20" i="5" s="1"/>
  <c r="C14" i="5"/>
  <c r="C8" i="5"/>
  <c r="E8" i="5" s="1"/>
  <c r="D4" i="5"/>
  <c r="D10" i="5"/>
  <c r="C9" i="5"/>
  <c r="D11" i="5"/>
  <c r="C10" i="5"/>
  <c r="D5" i="5"/>
  <c r="D12" i="5"/>
  <c r="C11" i="5"/>
  <c r="D6" i="5"/>
  <c r="C5" i="5"/>
  <c r="C12" i="5"/>
  <c r="C6" i="5"/>
  <c r="B8" i="4"/>
  <c r="B9" i="4" s="1"/>
  <c r="D7" i="4"/>
  <c r="D205" i="1"/>
  <c r="D35" i="1"/>
  <c r="D240" i="1"/>
  <c r="D231" i="1"/>
  <c r="D225" i="1"/>
  <c r="D135" i="1"/>
  <c r="D132" i="1"/>
  <c r="D51" i="1"/>
  <c r="D48" i="1"/>
  <c r="D228" i="1"/>
  <c r="D222" i="1"/>
  <c r="D138" i="1"/>
  <c r="D329" i="1"/>
  <c r="D317" i="1"/>
  <c r="D209" i="1"/>
  <c r="D236" i="1"/>
  <c r="D232" i="1"/>
  <c r="D211" i="1"/>
  <c r="D330" i="1"/>
  <c r="D145" i="1"/>
  <c r="D121" i="1"/>
  <c r="D118" i="1"/>
  <c r="D115" i="1"/>
  <c r="D34" i="1"/>
  <c r="D31" i="1"/>
  <c r="D28" i="1"/>
  <c r="D25" i="1"/>
  <c r="D159" i="1"/>
  <c r="D343" i="1"/>
  <c r="D349" i="1"/>
  <c r="D351" i="1"/>
  <c r="D316" i="1"/>
  <c r="D307" i="1"/>
  <c r="D250" i="1"/>
  <c r="D173" i="1"/>
  <c r="D125" i="1"/>
  <c r="D363" i="1"/>
  <c r="D340" i="1"/>
  <c r="D325" i="1"/>
  <c r="D304" i="1"/>
  <c r="D253" i="1"/>
  <c r="D155" i="1"/>
  <c r="D368" i="1"/>
  <c r="D336" i="1"/>
  <c r="D300" i="1"/>
  <c r="D288" i="1"/>
  <c r="D273" i="1"/>
  <c r="D264" i="1"/>
  <c r="D261" i="1"/>
  <c r="D199" i="1"/>
  <c r="D196" i="1"/>
  <c r="D190" i="1"/>
  <c r="D178" i="1"/>
  <c r="D169" i="1"/>
  <c r="D157" i="1"/>
  <c r="D151" i="1"/>
  <c r="D17" i="1"/>
  <c r="D11" i="1"/>
  <c r="D8" i="1"/>
  <c r="D366" i="1"/>
  <c r="D337" i="1"/>
  <c r="D322" i="1"/>
  <c r="D289" i="1"/>
  <c r="D271" i="1"/>
  <c r="D152" i="1"/>
  <c r="D353" i="1"/>
  <c r="D347" i="1"/>
  <c r="D344" i="1"/>
  <c r="D213" i="1"/>
  <c r="D210" i="1"/>
  <c r="D207" i="1"/>
  <c r="D64" i="1"/>
  <c r="D328" i="1"/>
  <c r="D313" i="1"/>
  <c r="D283" i="1"/>
  <c r="D259" i="1"/>
  <c r="D161" i="1"/>
  <c r="D362" i="1"/>
  <c r="D245" i="1"/>
  <c r="D186" i="1"/>
  <c r="D183" i="1"/>
  <c r="D180" i="1"/>
  <c r="D302" i="1"/>
  <c r="D293" i="1"/>
  <c r="D281" i="1"/>
  <c r="D258" i="1"/>
  <c r="D249" i="1"/>
  <c r="D226" i="1"/>
  <c r="D217" i="1"/>
  <c r="D177" i="1"/>
  <c r="D122" i="1"/>
  <c r="D65" i="1"/>
  <c r="D33" i="1"/>
  <c r="D30" i="1"/>
  <c r="D21" i="1"/>
  <c r="D18" i="1"/>
  <c r="D335" i="1"/>
  <c r="D299" i="1"/>
  <c r="D284" i="1"/>
  <c r="D275" i="1"/>
  <c r="D255" i="1"/>
  <c r="D252" i="1"/>
  <c r="D223" i="1"/>
  <c r="D214" i="1"/>
  <c r="D191" i="1"/>
  <c r="D369" i="1"/>
  <c r="D354" i="1"/>
  <c r="D269" i="1"/>
  <c r="D263" i="1"/>
  <c r="D237" i="1"/>
  <c r="D234" i="1"/>
  <c r="D182" i="1"/>
  <c r="D171" i="1"/>
  <c r="D153" i="1"/>
  <c r="D62" i="1"/>
  <c r="D53" i="1"/>
  <c r="D348" i="1"/>
  <c r="D265" i="1"/>
  <c r="D187" i="1"/>
  <c r="D184" i="1"/>
  <c r="D112" i="1"/>
  <c r="D61" i="1"/>
  <c r="E317" i="1"/>
  <c r="D324" i="1"/>
  <c r="D309" i="1"/>
  <c r="D306" i="1"/>
  <c r="D294" i="1"/>
  <c r="D285" i="1"/>
  <c r="D282" i="1"/>
  <c r="D244" i="1"/>
  <c r="D241" i="1"/>
  <c r="D238" i="1"/>
  <c r="D218" i="1"/>
  <c r="D204" i="1"/>
  <c r="D201" i="1"/>
  <c r="D198" i="1"/>
  <c r="D195" i="1"/>
  <c r="D172" i="1"/>
  <c r="D154" i="1"/>
  <c r="D301" i="1"/>
  <c r="D295" i="1"/>
  <c r="D243" i="1"/>
  <c r="D227" i="1"/>
  <c r="D219" i="1"/>
  <c r="D208" i="1"/>
  <c r="D200" i="1"/>
  <c r="D192" i="1"/>
  <c r="D181" i="1"/>
  <c r="D162" i="1"/>
  <c r="D143" i="1"/>
  <c r="D137" i="1"/>
  <c r="D123" i="1"/>
  <c r="D120" i="1"/>
  <c r="D117" i="1"/>
  <c r="D47" i="1"/>
  <c r="D44" i="1"/>
  <c r="D41" i="1"/>
  <c r="D15" i="1"/>
  <c r="D12" i="1"/>
  <c r="D341" i="1"/>
  <c r="D298" i="1"/>
  <c r="D290" i="1"/>
  <c r="D262" i="1"/>
  <c r="D254" i="1"/>
  <c r="D246" i="1"/>
  <c r="D235" i="1"/>
  <c r="D216" i="1"/>
  <c r="D189" i="1"/>
  <c r="D165" i="1"/>
  <c r="D360" i="1"/>
  <c r="D357" i="1"/>
  <c r="D321" i="1"/>
  <c r="D315" i="1"/>
  <c r="D297" i="1"/>
  <c r="E294" i="1"/>
  <c r="D256" i="1"/>
  <c r="D229" i="1"/>
  <c r="D202" i="1"/>
  <c r="D167" i="1"/>
  <c r="D139" i="1"/>
  <c r="D136" i="1"/>
  <c r="D131" i="1"/>
  <c r="D128" i="1"/>
  <c r="D52" i="1"/>
  <c r="D49" i="1"/>
  <c r="D32" i="1"/>
  <c r="D29" i="1"/>
  <c r="D26" i="1"/>
  <c r="D23" i="1"/>
  <c r="D359" i="1"/>
  <c r="D356" i="1"/>
  <c r="D345" i="1"/>
  <c r="D342" i="1"/>
  <c r="D323" i="1"/>
  <c r="D320" i="1"/>
  <c r="D305" i="1"/>
  <c r="D277" i="1"/>
  <c r="D247" i="1"/>
  <c r="D220" i="1"/>
  <c r="D193" i="1"/>
  <c r="D158" i="1"/>
  <c r="D147" i="1"/>
  <c r="D133" i="1"/>
  <c r="D127" i="1"/>
  <c r="D124" i="1"/>
  <c r="D113" i="1"/>
  <c r="D57" i="1"/>
  <c r="D54" i="1"/>
  <c r="D16" i="1"/>
  <c r="D13" i="1"/>
  <c r="D160" i="1"/>
  <c r="D149" i="1"/>
  <c r="D59" i="1"/>
  <c r="D370" i="1"/>
  <c r="D358" i="1"/>
  <c r="E340" i="1"/>
  <c r="D334" i="1"/>
  <c r="D326" i="1"/>
  <c r="D314" i="1"/>
  <c r="D287" i="1"/>
  <c r="D267" i="1"/>
  <c r="D144" i="1"/>
  <c r="D134" i="1"/>
  <c r="D129" i="1"/>
  <c r="D119" i="1"/>
  <c r="D114" i="1"/>
  <c r="D56" i="1"/>
  <c r="D45" i="1"/>
  <c r="D42" i="1"/>
  <c r="D20" i="1"/>
  <c r="D9" i="1"/>
  <c r="D361" i="1"/>
  <c r="D331" i="1"/>
  <c r="D319" i="1"/>
  <c r="D292" i="1"/>
  <c r="D272" i="1"/>
  <c r="E369" i="1"/>
  <c r="D365" i="1"/>
  <c r="D355" i="1"/>
  <c r="D350" i="1"/>
  <c r="D338" i="1"/>
  <c r="D333" i="1"/>
  <c r="E330" i="1"/>
  <c r="D318" i="1"/>
  <c r="D311" i="1"/>
  <c r="E286" i="1"/>
  <c r="D276" i="1"/>
  <c r="D274" i="1"/>
  <c r="E266" i="1"/>
  <c r="D260" i="1"/>
  <c r="D251" i="1"/>
  <c r="D242" i="1"/>
  <c r="D233" i="1"/>
  <c r="D224" i="1"/>
  <c r="D215" i="1"/>
  <c r="D206" i="1"/>
  <c r="D197" i="1"/>
  <c r="D188" i="1"/>
  <c r="D179" i="1"/>
  <c r="D174" i="1"/>
  <c r="D166" i="1"/>
  <c r="D163" i="1"/>
  <c r="D156" i="1"/>
  <c r="D148" i="1"/>
  <c r="D146" i="1"/>
  <c r="D141" i="1"/>
  <c r="D126" i="1"/>
  <c r="D116" i="1"/>
  <c r="D111" i="1"/>
  <c r="D108" i="1"/>
  <c r="D105" i="1"/>
  <c r="D102" i="1"/>
  <c r="D99" i="1"/>
  <c r="D96" i="1"/>
  <c r="D93" i="1"/>
  <c r="D90" i="1"/>
  <c r="D87" i="1"/>
  <c r="D84" i="1"/>
  <c r="D81" i="1"/>
  <c r="D78" i="1"/>
  <c r="D75" i="1"/>
  <c r="D72" i="1"/>
  <c r="D69" i="1"/>
  <c r="D66" i="1"/>
  <c r="D58" i="1"/>
  <c r="D55" i="1"/>
  <c r="D50" i="1"/>
  <c r="D39" i="1"/>
  <c r="D36" i="1"/>
  <c r="D22" i="1"/>
  <c r="D19" i="1"/>
  <c r="D14" i="1"/>
  <c r="E268" i="1"/>
  <c r="E276" i="1"/>
  <c r="D367" i="1"/>
  <c r="D364" i="1"/>
  <c r="D352" i="1"/>
  <c r="E346" i="1"/>
  <c r="E322" i="1"/>
  <c r="D310" i="1"/>
  <c r="D286" i="1"/>
  <c r="D278" i="1"/>
  <c r="D270" i="1"/>
  <c r="D266" i="1"/>
  <c r="D257" i="1"/>
  <c r="D248" i="1"/>
  <c r="D239" i="1"/>
  <c r="D230" i="1"/>
  <c r="D221" i="1"/>
  <c r="D212" i="1"/>
  <c r="D203" i="1"/>
  <c r="D194" i="1"/>
  <c r="D185" i="1"/>
  <c r="D176" i="1"/>
  <c r="D168" i="1"/>
  <c r="D150" i="1"/>
  <c r="D140" i="1"/>
  <c r="D130" i="1"/>
  <c r="D110" i="1"/>
  <c r="D107" i="1"/>
  <c r="D104" i="1"/>
  <c r="D101" i="1"/>
  <c r="D98" i="1"/>
  <c r="D95" i="1"/>
  <c r="D92" i="1"/>
  <c r="D89" i="1"/>
  <c r="D86" i="1"/>
  <c r="D83" i="1"/>
  <c r="D80" i="1"/>
  <c r="D77" i="1"/>
  <c r="D74" i="1"/>
  <c r="D71" i="1"/>
  <c r="D68" i="1"/>
  <c r="D63" i="1"/>
  <c r="D60" i="1"/>
  <c r="D46" i="1"/>
  <c r="D43" i="1"/>
  <c r="D38" i="1"/>
  <c r="D27" i="1"/>
  <c r="D24" i="1"/>
  <c r="D10" i="1"/>
  <c r="D7" i="1"/>
  <c r="E117" i="1"/>
  <c r="E363" i="1"/>
  <c r="E353" i="1"/>
  <c r="D312" i="1"/>
  <c r="E304" i="1"/>
  <c r="D175" i="1"/>
  <c r="D142" i="1"/>
  <c r="D109" i="1"/>
  <c r="D106" i="1"/>
  <c r="D103" i="1"/>
  <c r="D100" i="1"/>
  <c r="D97" i="1"/>
  <c r="D94" i="1"/>
  <c r="D91" i="1"/>
  <c r="D88" i="1"/>
  <c r="D85" i="1"/>
  <c r="D82" i="1"/>
  <c r="D79" i="1"/>
  <c r="D76" i="1"/>
  <c r="D73" i="1"/>
  <c r="D70" i="1"/>
  <c r="D67" i="1"/>
  <c r="D40" i="1"/>
  <c r="D37" i="1"/>
  <c r="E364" i="1"/>
  <c r="E358" i="1"/>
  <c r="E350" i="1"/>
  <c r="E325" i="1"/>
  <c r="E289" i="1"/>
  <c r="D279" i="1"/>
  <c r="E111" i="1"/>
  <c r="E84" i="1"/>
  <c r="E42" i="1"/>
  <c r="E365" i="1"/>
  <c r="E359" i="1"/>
  <c r="E355" i="1"/>
  <c r="E347" i="1"/>
  <c r="D346" i="1"/>
  <c r="E344" i="1"/>
  <c r="E341" i="1"/>
  <c r="E328" i="1"/>
  <c r="E318" i="1"/>
  <c r="E310" i="1"/>
  <c r="E305" i="1"/>
  <c r="E292" i="1"/>
  <c r="E282" i="1"/>
  <c r="E269" i="1"/>
  <c r="D268" i="1"/>
  <c r="E164" i="1"/>
  <c r="E370" i="1"/>
  <c r="E354" i="1"/>
  <c r="E338" i="1"/>
  <c r="D332" i="1"/>
  <c r="D327" i="1"/>
  <c r="E320" i="1"/>
  <c r="E312" i="1"/>
  <c r="E302" i="1"/>
  <c r="D296" i="1"/>
  <c r="D291" i="1"/>
  <c r="E284" i="1"/>
  <c r="E366" i="1"/>
  <c r="E360" i="1"/>
  <c r="E336" i="1"/>
  <c r="E326" i="1"/>
  <c r="E313" i="1"/>
  <c r="E308" i="1"/>
  <c r="E300" i="1"/>
  <c r="E290" i="1"/>
  <c r="E280" i="1"/>
  <c r="E278" i="1"/>
  <c r="E168" i="1"/>
  <c r="E152" i="1"/>
  <c r="E102" i="1"/>
  <c r="E75" i="1"/>
  <c r="E54" i="1"/>
  <c r="E18" i="1"/>
  <c r="E367" i="1"/>
  <c r="E361" i="1"/>
  <c r="E356" i="1"/>
  <c r="E348" i="1"/>
  <c r="E342" i="1"/>
  <c r="E334" i="1"/>
  <c r="E329" i="1"/>
  <c r="E298" i="1"/>
  <c r="E293" i="1"/>
  <c r="E274" i="1"/>
  <c r="E272" i="1"/>
  <c r="E140" i="1"/>
  <c r="E352" i="1"/>
  <c r="E316" i="1"/>
  <c r="E306" i="1"/>
  <c r="E10" i="1"/>
  <c r="E16" i="1"/>
  <c r="E22" i="1"/>
  <c r="E28" i="1"/>
  <c r="E34" i="1"/>
  <c r="E40" i="1"/>
  <c r="E46" i="1"/>
  <c r="E52" i="1"/>
  <c r="E58" i="1"/>
  <c r="E64" i="1"/>
  <c r="E70" i="1"/>
  <c r="E76" i="1"/>
  <c r="E82" i="1"/>
  <c r="E88" i="1"/>
  <c r="E94" i="1"/>
  <c r="E100" i="1"/>
  <c r="E106" i="1"/>
  <c r="E112" i="1"/>
  <c r="E118" i="1"/>
  <c r="E9" i="1"/>
  <c r="E15" i="1"/>
  <c r="E21" i="1"/>
  <c r="E27" i="1"/>
  <c r="E33" i="1"/>
  <c r="E39" i="1"/>
  <c r="E45" i="1"/>
  <c r="E51" i="1"/>
  <c r="E57" i="1"/>
  <c r="E8" i="1"/>
  <c r="E14" i="1"/>
  <c r="E20" i="1"/>
  <c r="E26" i="1"/>
  <c r="E32" i="1"/>
  <c r="E38" i="1"/>
  <c r="E44" i="1"/>
  <c r="E50" i="1"/>
  <c r="E56" i="1"/>
  <c r="E62" i="1"/>
  <c r="E68" i="1"/>
  <c r="E7" i="1"/>
  <c r="E13" i="1"/>
  <c r="E19" i="1"/>
  <c r="E25" i="1"/>
  <c r="E31" i="1"/>
  <c r="E37" i="1"/>
  <c r="E43" i="1"/>
  <c r="E49" i="1"/>
  <c r="E55" i="1"/>
  <c r="E61" i="1"/>
  <c r="E67" i="1"/>
  <c r="E73" i="1"/>
  <c r="E79" i="1"/>
  <c r="E85" i="1"/>
  <c r="E91" i="1"/>
  <c r="E97" i="1"/>
  <c r="E103" i="1"/>
  <c r="E109" i="1"/>
  <c r="E115" i="1"/>
  <c r="E121" i="1"/>
  <c r="E127" i="1"/>
  <c r="E133" i="1"/>
  <c r="E139" i="1"/>
  <c r="E145" i="1"/>
  <c r="E151" i="1"/>
  <c r="E157" i="1"/>
  <c r="E163" i="1"/>
  <c r="E169" i="1"/>
  <c r="E175" i="1"/>
  <c r="E66" i="1"/>
  <c r="E131" i="1"/>
  <c r="E143" i="1"/>
  <c r="E155" i="1"/>
  <c r="E167" i="1"/>
  <c r="E180" i="1"/>
  <c r="E186" i="1"/>
  <c r="E192" i="1"/>
  <c r="E198" i="1"/>
  <c r="E204" i="1"/>
  <c r="E210" i="1"/>
  <c r="E216" i="1"/>
  <c r="E222" i="1"/>
  <c r="E228" i="1"/>
  <c r="E234" i="1"/>
  <c r="E240" i="1"/>
  <c r="E246" i="1"/>
  <c r="E252" i="1"/>
  <c r="E258" i="1"/>
  <c r="E264" i="1"/>
  <c r="E11" i="1"/>
  <c r="E17" i="1"/>
  <c r="E23" i="1"/>
  <c r="E29" i="1"/>
  <c r="E35" i="1"/>
  <c r="E41" i="1"/>
  <c r="E47" i="1"/>
  <c r="E53" i="1"/>
  <c r="E59" i="1"/>
  <c r="E63" i="1"/>
  <c r="E71" i="1"/>
  <c r="E74" i="1"/>
  <c r="E77" i="1"/>
  <c r="E80" i="1"/>
  <c r="E83" i="1"/>
  <c r="E86" i="1"/>
  <c r="E89" i="1"/>
  <c r="E92" i="1"/>
  <c r="E95" i="1"/>
  <c r="E98" i="1"/>
  <c r="E101" i="1"/>
  <c r="E104" i="1"/>
  <c r="E107" i="1"/>
  <c r="E110" i="1"/>
  <c r="E113" i="1"/>
  <c r="E116" i="1"/>
  <c r="E119" i="1"/>
  <c r="E122" i="1"/>
  <c r="E126" i="1"/>
  <c r="E130" i="1"/>
  <c r="E134" i="1"/>
  <c r="E138" i="1"/>
  <c r="E142" i="1"/>
  <c r="E146" i="1"/>
  <c r="E150" i="1"/>
  <c r="E154" i="1"/>
  <c r="E158" i="1"/>
  <c r="E162" i="1"/>
  <c r="E166" i="1"/>
  <c r="E170" i="1"/>
  <c r="E129" i="1"/>
  <c r="E141" i="1"/>
  <c r="E153" i="1"/>
  <c r="E65" i="1"/>
  <c r="E125" i="1"/>
  <c r="E137" i="1"/>
  <c r="E149" i="1"/>
  <c r="E161" i="1"/>
  <c r="E173" i="1"/>
  <c r="E177" i="1"/>
  <c r="E183" i="1"/>
  <c r="E189" i="1"/>
  <c r="E195" i="1"/>
  <c r="E201" i="1"/>
  <c r="E207" i="1"/>
  <c r="E213" i="1"/>
  <c r="E219" i="1"/>
  <c r="E225" i="1"/>
  <c r="E231" i="1"/>
  <c r="E237" i="1"/>
  <c r="E243" i="1"/>
  <c r="E249" i="1"/>
  <c r="E255" i="1"/>
  <c r="E261" i="1"/>
  <c r="E267" i="1"/>
  <c r="E273" i="1"/>
  <c r="E279" i="1"/>
  <c r="E285" i="1"/>
  <c r="E291" i="1"/>
  <c r="E297" i="1"/>
  <c r="E303" i="1"/>
  <c r="E309" i="1"/>
  <c r="E315" i="1"/>
  <c r="E321" i="1"/>
  <c r="E327" i="1"/>
  <c r="E333" i="1"/>
  <c r="E339" i="1"/>
  <c r="E345" i="1"/>
  <c r="E351" i="1"/>
  <c r="E357" i="1"/>
  <c r="E123" i="1"/>
  <c r="E135" i="1"/>
  <c r="E147" i="1"/>
  <c r="E159" i="1"/>
  <c r="E172" i="1"/>
  <c r="E178" i="1"/>
  <c r="E181" i="1"/>
  <c r="E184" i="1"/>
  <c r="E187" i="1"/>
  <c r="E190" i="1"/>
  <c r="E193" i="1"/>
  <c r="E196" i="1"/>
  <c r="E199" i="1"/>
  <c r="E202" i="1"/>
  <c r="E205" i="1"/>
  <c r="E208" i="1"/>
  <c r="E211" i="1"/>
  <c r="E214" i="1"/>
  <c r="E217" i="1"/>
  <c r="E220" i="1"/>
  <c r="E223" i="1"/>
  <c r="E226" i="1"/>
  <c r="E229" i="1"/>
  <c r="E232" i="1"/>
  <c r="E235" i="1"/>
  <c r="E238" i="1"/>
  <c r="E241" i="1"/>
  <c r="E244" i="1"/>
  <c r="E247" i="1"/>
  <c r="E250" i="1"/>
  <c r="E253" i="1"/>
  <c r="E256" i="1"/>
  <c r="E259" i="1"/>
  <c r="E262" i="1"/>
  <c r="E265" i="1"/>
  <c r="E277" i="1"/>
  <c r="E12" i="1"/>
  <c r="E24" i="1"/>
  <c r="E36" i="1"/>
  <c r="E48" i="1"/>
  <c r="E60" i="1"/>
  <c r="E69" i="1"/>
  <c r="E78" i="1"/>
  <c r="E87" i="1"/>
  <c r="E96" i="1"/>
  <c r="E105" i="1"/>
  <c r="E114" i="1"/>
  <c r="E120" i="1"/>
  <c r="E132" i="1"/>
  <c r="E144" i="1"/>
  <c r="E156" i="1"/>
  <c r="E165" i="1"/>
  <c r="E174" i="1"/>
  <c r="E275" i="1"/>
  <c r="E287" i="1"/>
  <c r="E299" i="1"/>
  <c r="E311" i="1"/>
  <c r="E323" i="1"/>
  <c r="E335" i="1"/>
  <c r="E72" i="1"/>
  <c r="E81" i="1"/>
  <c r="E90" i="1"/>
  <c r="E99" i="1"/>
  <c r="E108" i="1"/>
  <c r="E124" i="1"/>
  <c r="E136" i="1"/>
  <c r="E148" i="1"/>
  <c r="E160" i="1"/>
  <c r="E171" i="1"/>
  <c r="E176" i="1"/>
  <c r="E179" i="1"/>
  <c r="E182" i="1"/>
  <c r="E185" i="1"/>
  <c r="E188" i="1"/>
  <c r="E191" i="1"/>
  <c r="E194" i="1"/>
  <c r="E197" i="1"/>
  <c r="E200" i="1"/>
  <c r="E203" i="1"/>
  <c r="E206" i="1"/>
  <c r="E209" i="1"/>
  <c r="E212" i="1"/>
  <c r="E215" i="1"/>
  <c r="E218" i="1"/>
  <c r="E221" i="1"/>
  <c r="E224" i="1"/>
  <c r="E227" i="1"/>
  <c r="E230" i="1"/>
  <c r="E233" i="1"/>
  <c r="E236" i="1"/>
  <c r="E239" i="1"/>
  <c r="E242" i="1"/>
  <c r="E245" i="1"/>
  <c r="E248" i="1"/>
  <c r="E251" i="1"/>
  <c r="E254" i="1"/>
  <c r="E257" i="1"/>
  <c r="E260" i="1"/>
  <c r="E263" i="1"/>
  <c r="E271" i="1"/>
  <c r="E283" i="1"/>
  <c r="E295" i="1"/>
  <c r="E307" i="1"/>
  <c r="E319" i="1"/>
  <c r="E331" i="1"/>
  <c r="E343" i="1"/>
  <c r="E368" i="1"/>
  <c r="E362" i="1"/>
  <c r="E349" i="1"/>
  <c r="D339" i="1"/>
  <c r="E337" i="1"/>
  <c r="E332" i="1"/>
  <c r="E324" i="1"/>
  <c r="E314" i="1"/>
  <c r="D308" i="1"/>
  <c r="D303" i="1"/>
  <c r="E301" i="1"/>
  <c r="E296" i="1"/>
  <c r="E288" i="1"/>
  <c r="E281" i="1"/>
  <c r="D280" i="1"/>
  <c r="E270" i="1"/>
  <c r="D170" i="1"/>
  <c r="E128" i="1"/>
  <c r="E93" i="1"/>
  <c r="E30" i="1"/>
  <c r="D164" i="1"/>
  <c r="E6" i="1"/>
  <c r="D6" i="1"/>
  <c r="E21" i="5" l="1"/>
  <c r="E33" i="5"/>
  <c r="E30" i="5"/>
  <c r="E31" i="5"/>
  <c r="E26" i="5"/>
  <c r="E15" i="5"/>
  <c r="E32" i="5"/>
  <c r="E29" i="5"/>
  <c r="E18" i="5"/>
  <c r="E34" i="5"/>
  <c r="E6" i="5"/>
  <c r="E17" i="5"/>
  <c r="E12" i="5"/>
  <c r="E10" i="5"/>
  <c r="E14" i="5"/>
  <c r="E13" i="5"/>
  <c r="E7" i="5"/>
  <c r="E9" i="5"/>
  <c r="E11" i="5"/>
  <c r="E24" i="5"/>
  <c r="E5" i="5"/>
  <c r="C9" i="4"/>
  <c r="D9" i="4"/>
  <c r="B10" i="4"/>
  <c r="C8" i="4"/>
  <c r="D8" i="4"/>
  <c r="F11" i="1"/>
  <c r="F17" i="1"/>
  <c r="F23" i="1"/>
  <c r="F29" i="1"/>
  <c r="F35" i="1"/>
  <c r="F41" i="1"/>
  <c r="F47" i="1"/>
  <c r="F53" i="1"/>
  <c r="F59" i="1"/>
  <c r="F65" i="1"/>
  <c r="F71" i="1"/>
  <c r="F77" i="1"/>
  <c r="F83" i="1"/>
  <c r="F89" i="1"/>
  <c r="F95" i="1"/>
  <c r="F101" i="1"/>
  <c r="F107" i="1"/>
  <c r="F113" i="1"/>
  <c r="F119" i="1"/>
  <c r="F10" i="1"/>
  <c r="F16" i="1"/>
  <c r="F22" i="1"/>
  <c r="F28" i="1"/>
  <c r="F34" i="1"/>
  <c r="F40" i="1"/>
  <c r="F46" i="1"/>
  <c r="F52" i="1"/>
  <c r="F58" i="1"/>
  <c r="F9" i="1"/>
  <c r="F15" i="1"/>
  <c r="F21" i="1"/>
  <c r="F27" i="1"/>
  <c r="F33" i="1"/>
  <c r="F39" i="1"/>
  <c r="F45" i="1"/>
  <c r="F51" i="1"/>
  <c r="F57" i="1"/>
  <c r="F63" i="1"/>
  <c r="F8" i="1"/>
  <c r="F14" i="1"/>
  <c r="F20" i="1"/>
  <c r="F26" i="1"/>
  <c r="F32" i="1"/>
  <c r="F38" i="1"/>
  <c r="F44" i="1"/>
  <c r="F50" i="1"/>
  <c r="F56" i="1"/>
  <c r="F62" i="1"/>
  <c r="F68" i="1"/>
  <c r="F74" i="1"/>
  <c r="F80" i="1"/>
  <c r="F86" i="1"/>
  <c r="F92" i="1"/>
  <c r="F98" i="1"/>
  <c r="F104" i="1"/>
  <c r="F110" i="1"/>
  <c r="F116" i="1"/>
  <c r="F122" i="1"/>
  <c r="F128" i="1"/>
  <c r="F134" i="1"/>
  <c r="F140" i="1"/>
  <c r="F146" i="1"/>
  <c r="F152" i="1"/>
  <c r="F158" i="1"/>
  <c r="F164" i="1"/>
  <c r="F170" i="1"/>
  <c r="F123" i="1"/>
  <c r="F127" i="1"/>
  <c r="F135" i="1"/>
  <c r="F139" i="1"/>
  <c r="F147" i="1"/>
  <c r="F151" i="1"/>
  <c r="F159" i="1"/>
  <c r="F163" i="1"/>
  <c r="F171" i="1"/>
  <c r="F175" i="1"/>
  <c r="F181" i="1"/>
  <c r="F187" i="1"/>
  <c r="F193" i="1"/>
  <c r="F199" i="1"/>
  <c r="F205" i="1"/>
  <c r="F211" i="1"/>
  <c r="F217" i="1"/>
  <c r="F223" i="1"/>
  <c r="F229" i="1"/>
  <c r="F235" i="1"/>
  <c r="F241" i="1"/>
  <c r="F247" i="1"/>
  <c r="F253" i="1"/>
  <c r="F259" i="1"/>
  <c r="F66" i="1"/>
  <c r="F131" i="1"/>
  <c r="F143" i="1"/>
  <c r="F155" i="1"/>
  <c r="F167" i="1"/>
  <c r="F7" i="1"/>
  <c r="F13" i="1"/>
  <c r="F19" i="1"/>
  <c r="F25" i="1"/>
  <c r="F31" i="1"/>
  <c r="F37" i="1"/>
  <c r="F43" i="1"/>
  <c r="F49" i="1"/>
  <c r="F55" i="1"/>
  <c r="F61" i="1"/>
  <c r="F126" i="1"/>
  <c r="F130" i="1"/>
  <c r="F138" i="1"/>
  <c r="F142" i="1"/>
  <c r="F150" i="1"/>
  <c r="F154" i="1"/>
  <c r="F70" i="1"/>
  <c r="F73" i="1"/>
  <c r="F76" i="1"/>
  <c r="F79" i="1"/>
  <c r="F82" i="1"/>
  <c r="F85" i="1"/>
  <c r="F88" i="1"/>
  <c r="F91" i="1"/>
  <c r="F94" i="1"/>
  <c r="F97" i="1"/>
  <c r="F100" i="1"/>
  <c r="F103" i="1"/>
  <c r="F106" i="1"/>
  <c r="F109" i="1"/>
  <c r="F112" i="1"/>
  <c r="F115" i="1"/>
  <c r="F118" i="1"/>
  <c r="F121" i="1"/>
  <c r="F129" i="1"/>
  <c r="F133" i="1"/>
  <c r="F141" i="1"/>
  <c r="F145" i="1"/>
  <c r="F153" i="1"/>
  <c r="F157" i="1"/>
  <c r="F165" i="1"/>
  <c r="F169" i="1"/>
  <c r="F178" i="1"/>
  <c r="F184" i="1"/>
  <c r="F190" i="1"/>
  <c r="F196" i="1"/>
  <c r="F202" i="1"/>
  <c r="F208" i="1"/>
  <c r="F214" i="1"/>
  <c r="F220" i="1"/>
  <c r="F226" i="1"/>
  <c r="F232" i="1"/>
  <c r="F238" i="1"/>
  <c r="F244" i="1"/>
  <c r="F250" i="1"/>
  <c r="F256" i="1"/>
  <c r="F262" i="1"/>
  <c r="F268" i="1"/>
  <c r="F274" i="1"/>
  <c r="F280" i="1"/>
  <c r="F286" i="1"/>
  <c r="F292" i="1"/>
  <c r="F298" i="1"/>
  <c r="F304" i="1"/>
  <c r="F310" i="1"/>
  <c r="F316" i="1"/>
  <c r="F322" i="1"/>
  <c r="F328" i="1"/>
  <c r="F334" i="1"/>
  <c r="F340" i="1"/>
  <c r="F346" i="1"/>
  <c r="F352" i="1"/>
  <c r="F64" i="1"/>
  <c r="F75" i="1"/>
  <c r="F84" i="1"/>
  <c r="F93" i="1"/>
  <c r="F102" i="1"/>
  <c r="F111" i="1"/>
  <c r="F117" i="1"/>
  <c r="F168" i="1"/>
  <c r="F269" i="1"/>
  <c r="F273" i="1"/>
  <c r="F281" i="1"/>
  <c r="F172" i="1"/>
  <c r="F12" i="1"/>
  <c r="F24" i="1"/>
  <c r="F36" i="1"/>
  <c r="F48" i="1"/>
  <c r="F60" i="1"/>
  <c r="F67" i="1"/>
  <c r="F69" i="1"/>
  <c r="F78" i="1"/>
  <c r="F87" i="1"/>
  <c r="F96" i="1"/>
  <c r="F105" i="1"/>
  <c r="F125" i="1"/>
  <c r="F137" i="1"/>
  <c r="F149" i="1"/>
  <c r="F161" i="1"/>
  <c r="F177" i="1"/>
  <c r="F180" i="1"/>
  <c r="F183" i="1"/>
  <c r="F186" i="1"/>
  <c r="F189" i="1"/>
  <c r="F192" i="1"/>
  <c r="F195" i="1"/>
  <c r="F198" i="1"/>
  <c r="F201" i="1"/>
  <c r="F204" i="1"/>
  <c r="F207" i="1"/>
  <c r="F210" i="1"/>
  <c r="F213" i="1"/>
  <c r="F216" i="1"/>
  <c r="F219" i="1"/>
  <c r="F222" i="1"/>
  <c r="F225" i="1"/>
  <c r="F228" i="1"/>
  <c r="F231" i="1"/>
  <c r="F234" i="1"/>
  <c r="F237" i="1"/>
  <c r="F240" i="1"/>
  <c r="F243" i="1"/>
  <c r="F246" i="1"/>
  <c r="F249" i="1"/>
  <c r="F252" i="1"/>
  <c r="F255" i="1"/>
  <c r="F258" i="1"/>
  <c r="F261" i="1"/>
  <c r="F264" i="1"/>
  <c r="F272" i="1"/>
  <c r="F276" i="1"/>
  <c r="F284" i="1"/>
  <c r="F288" i="1"/>
  <c r="F296" i="1"/>
  <c r="F300" i="1"/>
  <c r="F308" i="1"/>
  <c r="F312" i="1"/>
  <c r="F320" i="1"/>
  <c r="F324" i="1"/>
  <c r="F332" i="1"/>
  <c r="F336" i="1"/>
  <c r="F114" i="1"/>
  <c r="F120" i="1"/>
  <c r="F132" i="1"/>
  <c r="F144" i="1"/>
  <c r="F156" i="1"/>
  <c r="F174" i="1"/>
  <c r="F267" i="1"/>
  <c r="F275" i="1"/>
  <c r="F279" i="1"/>
  <c r="F287" i="1"/>
  <c r="F291" i="1"/>
  <c r="F299" i="1"/>
  <c r="F303" i="1"/>
  <c r="F311" i="1"/>
  <c r="F315" i="1"/>
  <c r="F323" i="1"/>
  <c r="F327" i="1"/>
  <c r="F335" i="1"/>
  <c r="F339" i="1"/>
  <c r="F347" i="1"/>
  <c r="F266" i="1"/>
  <c r="F294" i="1"/>
  <c r="F309" i="1"/>
  <c r="F317" i="1"/>
  <c r="F330" i="1"/>
  <c r="F343" i="1"/>
  <c r="F353" i="1"/>
  <c r="F357" i="1"/>
  <c r="F363" i="1"/>
  <c r="F369" i="1"/>
  <c r="F239" i="1"/>
  <c r="F349" i="1"/>
  <c r="F362" i="1"/>
  <c r="F368" i="1"/>
  <c r="F350" i="1"/>
  <c r="F354" i="1"/>
  <c r="F358" i="1"/>
  <c r="F30" i="1"/>
  <c r="F72" i="1"/>
  <c r="F99" i="1"/>
  <c r="F124" i="1"/>
  <c r="F179" i="1"/>
  <c r="F185" i="1"/>
  <c r="F191" i="1"/>
  <c r="F197" i="1"/>
  <c r="F203" i="1"/>
  <c r="F209" i="1"/>
  <c r="F215" i="1"/>
  <c r="F221" i="1"/>
  <c r="F227" i="1"/>
  <c r="F233" i="1"/>
  <c r="F245" i="1"/>
  <c r="F251" i="1"/>
  <c r="F257" i="1"/>
  <c r="F263" i="1"/>
  <c r="F270" i="1"/>
  <c r="F283" i="1"/>
  <c r="F301" i="1"/>
  <c r="F314" i="1"/>
  <c r="F319" i="1"/>
  <c r="F337" i="1"/>
  <c r="F277" i="1"/>
  <c r="F289" i="1"/>
  <c r="F325" i="1"/>
  <c r="F136" i="1"/>
  <c r="F166" i="1"/>
  <c r="F265" i="1"/>
  <c r="F285" i="1"/>
  <c r="F293" i="1"/>
  <c r="F306" i="1"/>
  <c r="F321" i="1"/>
  <c r="F329" i="1"/>
  <c r="F342" i="1"/>
  <c r="F345" i="1"/>
  <c r="F348" i="1"/>
  <c r="F356" i="1"/>
  <c r="F361" i="1"/>
  <c r="F367" i="1"/>
  <c r="F182" i="1"/>
  <c r="F206" i="1"/>
  <c r="F218" i="1"/>
  <c r="F230" i="1"/>
  <c r="F236" i="1"/>
  <c r="F242" i="1"/>
  <c r="F254" i="1"/>
  <c r="F305" i="1"/>
  <c r="F341" i="1"/>
  <c r="F359" i="1"/>
  <c r="F365" i="1"/>
  <c r="F90" i="1"/>
  <c r="F338" i="1"/>
  <c r="F18" i="1"/>
  <c r="F54" i="1"/>
  <c r="F81" i="1"/>
  <c r="F108" i="1"/>
  <c r="F148" i="1"/>
  <c r="F173" i="1"/>
  <c r="F278" i="1"/>
  <c r="F290" i="1"/>
  <c r="F295" i="1"/>
  <c r="F313" i="1"/>
  <c r="F326" i="1"/>
  <c r="F331" i="1"/>
  <c r="F351" i="1"/>
  <c r="F360" i="1"/>
  <c r="F366" i="1"/>
  <c r="F160" i="1"/>
  <c r="F162" i="1"/>
  <c r="F176" i="1"/>
  <c r="F188" i="1"/>
  <c r="F194" i="1"/>
  <c r="F200" i="1"/>
  <c r="F212" i="1"/>
  <c r="F224" i="1"/>
  <c r="F248" i="1"/>
  <c r="F260" i="1"/>
  <c r="F271" i="1"/>
  <c r="F282" i="1"/>
  <c r="F297" i="1"/>
  <c r="F318" i="1"/>
  <c r="F333" i="1"/>
  <c r="F344" i="1"/>
  <c r="F355" i="1"/>
  <c r="F42" i="1"/>
  <c r="F302" i="1"/>
  <c r="F307" i="1"/>
  <c r="F364" i="1"/>
  <c r="F370" i="1"/>
  <c r="F6" i="1"/>
  <c r="C10" i="4" l="1"/>
  <c r="D10" i="4"/>
  <c r="B11" i="4"/>
  <c r="C11" i="4" l="1"/>
  <c r="D11" i="4"/>
  <c r="B12" i="4"/>
  <c r="C12" i="4" l="1"/>
  <c r="B13" i="4"/>
  <c r="D12" i="4"/>
  <c r="C13" i="4" l="1"/>
  <c r="D13" i="4"/>
  <c r="B14" i="4"/>
  <c r="D14" i="4" l="1"/>
  <c r="C14" i="4"/>
  <c r="B15" i="4"/>
  <c r="B16" i="4" l="1"/>
  <c r="C15" i="4"/>
  <c r="D15" i="4"/>
  <c r="C16" i="4" l="1"/>
  <c r="D16" i="4"/>
  <c r="B17" i="4"/>
  <c r="C17" i="4" l="1"/>
  <c r="D17" i="4"/>
  <c r="B18" i="4"/>
  <c r="C18" i="4" l="1"/>
  <c r="D18" i="4"/>
  <c r="B19" i="4"/>
  <c r="C19" i="4" l="1"/>
  <c r="D19" i="4"/>
  <c r="B20" i="4"/>
  <c r="C20" i="4" l="1"/>
  <c r="D20" i="4"/>
  <c r="B21" i="4"/>
  <c r="C21" i="4" l="1"/>
  <c r="D21" i="4"/>
  <c r="B22" i="4"/>
  <c r="C22" i="4" l="1"/>
  <c r="D22" i="4"/>
  <c r="B23" i="4"/>
  <c r="C23" i="4" l="1"/>
  <c r="D23" i="4"/>
  <c r="B24" i="4"/>
  <c r="C24" i="4" l="1"/>
  <c r="D24" i="4"/>
  <c r="B25" i="4"/>
  <c r="C25" i="4" l="1"/>
  <c r="D25" i="4"/>
  <c r="B26" i="4"/>
  <c r="D26" i="4" l="1"/>
  <c r="C26" i="4"/>
  <c r="B27" i="4"/>
  <c r="C27" i="4" l="1"/>
  <c r="D27" i="4"/>
  <c r="B28" i="4"/>
  <c r="C28" i="4" l="1"/>
  <c r="D28" i="4"/>
  <c r="B29" i="4"/>
  <c r="C29" i="4" l="1"/>
  <c r="D29" i="4"/>
</calcChain>
</file>

<file path=xl/sharedStrings.xml><?xml version="1.0" encoding="utf-8"?>
<sst xmlns="http://schemas.openxmlformats.org/spreadsheetml/2006/main" count="43" uniqueCount="34">
  <si>
    <t>Интервал ожидания</t>
  </si>
  <si>
    <t>1 автобус</t>
  </si>
  <si>
    <t>2 автобус</t>
  </si>
  <si>
    <t>Период расчёта</t>
  </si>
  <si>
    <t>№ дня</t>
  </si>
  <si>
    <t>Ожидание 1 автобуса w1</t>
  </si>
  <si>
    <t>Ожидание 2 автобуса w2</t>
  </si>
  <si>
    <t>Ожидание автобуса x</t>
  </si>
  <si>
    <t>Среднее время ожидания на текущий день t'ср</t>
  </si>
  <si>
    <t>Среднее время ожидания на за год t ср</t>
  </si>
  <si>
    <t>a=</t>
  </si>
  <si>
    <t>b=</t>
  </si>
  <si>
    <t>d=</t>
  </si>
  <si>
    <t>Бросание монеты</t>
  </si>
  <si>
    <t>Исходные данные</t>
  </si>
  <si>
    <t>Начальный капитал</t>
  </si>
  <si>
    <t>Результаты</t>
  </si>
  <si>
    <t>Бросок</t>
  </si>
  <si>
    <t>ставка</t>
  </si>
  <si>
    <t>Наличность</t>
  </si>
  <si>
    <t>Выигрыш</t>
  </si>
  <si>
    <t>Проигрыш</t>
  </si>
  <si>
    <t>Ставка</t>
  </si>
  <si>
    <t>№ сеанса</t>
  </si>
  <si>
    <t>Количество бросков для результата</t>
  </si>
  <si>
    <t>Результат</t>
  </si>
  <si>
    <t>Статистика по экспериментам</t>
  </si>
  <si>
    <t>банк</t>
  </si>
  <si>
    <t>банкрот</t>
  </si>
  <si>
    <t>Выпадение костей К1</t>
  </si>
  <si>
    <t>Выпадение костей К2</t>
  </si>
  <si>
    <t>Сумма первого</t>
  </si>
  <si>
    <t>Сумма второго</t>
  </si>
  <si>
    <t>Моделирование игры в кости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</si>
</sst>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3"/>
          <c:order val="0"/>
          <c:tx>
            <c:strRef>
              <c:f>'Задание 1'!$D$5</c:f>
              <c:strCache>
                <c:ptCount val="1"/>
                <c:pt idx="0">
                  <c:v>Ожидание автобуса x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'Задание 1'!$D$6:$D$370</c:f>
              <c:numCache>
                <c:formatCode>General</c:formatCode>
                <c:ptCount val="365"/>
                <c:pt idx="0">
                  <c:v>2.4266711749420775</c:v>
                </c:pt>
                <c:pt idx="1">
                  <c:v>5.9634116447633909</c:v>
                </c:pt>
                <c:pt idx="2">
                  <c:v>7.262390793183898</c:v>
                </c:pt>
                <c:pt idx="3">
                  <c:v>0.96852975702297894</c:v>
                </c:pt>
                <c:pt idx="4">
                  <c:v>4.4589998193000957</c:v>
                </c:pt>
                <c:pt idx="5">
                  <c:v>3.9764369126282233</c:v>
                </c:pt>
                <c:pt idx="6">
                  <c:v>5.9359409527938549</c:v>
                </c:pt>
                <c:pt idx="7">
                  <c:v>2.5907279438831332</c:v>
                </c:pt>
                <c:pt idx="8">
                  <c:v>1.2141728150521596</c:v>
                </c:pt>
                <c:pt idx="9">
                  <c:v>2.2050944670617225</c:v>
                </c:pt>
                <c:pt idx="10">
                  <c:v>1.932849961513099</c:v>
                </c:pt>
                <c:pt idx="11">
                  <c:v>5.7057932599416175</c:v>
                </c:pt>
                <c:pt idx="12">
                  <c:v>6.7242536039530556</c:v>
                </c:pt>
                <c:pt idx="13">
                  <c:v>2.5489979544156727</c:v>
                </c:pt>
                <c:pt idx="14">
                  <c:v>4.524759918568277</c:v>
                </c:pt>
                <c:pt idx="15">
                  <c:v>0.45428115094111654</c:v>
                </c:pt>
                <c:pt idx="16">
                  <c:v>5.2674915331979761</c:v>
                </c:pt>
                <c:pt idx="17">
                  <c:v>4.1757833983079742</c:v>
                </c:pt>
                <c:pt idx="18">
                  <c:v>8.9625081570832776</c:v>
                </c:pt>
                <c:pt idx="19">
                  <c:v>6.1235476020094861</c:v>
                </c:pt>
                <c:pt idx="20">
                  <c:v>8.1062858629991101</c:v>
                </c:pt>
                <c:pt idx="21">
                  <c:v>5.1710449596170172</c:v>
                </c:pt>
                <c:pt idx="22">
                  <c:v>6.75618776232053</c:v>
                </c:pt>
                <c:pt idx="23">
                  <c:v>2.7839703307164232E-3</c:v>
                </c:pt>
                <c:pt idx="24">
                  <c:v>7.0984260861265147</c:v>
                </c:pt>
                <c:pt idx="25">
                  <c:v>3.1070718708827902</c:v>
                </c:pt>
                <c:pt idx="26">
                  <c:v>3.3302410213094156</c:v>
                </c:pt>
                <c:pt idx="27">
                  <c:v>0.10961624362403666</c:v>
                </c:pt>
                <c:pt idx="28">
                  <c:v>8.4245707627513173</c:v>
                </c:pt>
                <c:pt idx="29">
                  <c:v>1.4830879113078399</c:v>
                </c:pt>
                <c:pt idx="30">
                  <c:v>5.2733534499003412</c:v>
                </c:pt>
                <c:pt idx="31">
                  <c:v>4.2705492716013795</c:v>
                </c:pt>
                <c:pt idx="32">
                  <c:v>4.2359295506853192</c:v>
                </c:pt>
                <c:pt idx="33">
                  <c:v>0.73740361768995566</c:v>
                </c:pt>
                <c:pt idx="34">
                  <c:v>5.9409950029887675</c:v>
                </c:pt>
                <c:pt idx="35">
                  <c:v>0.4822957121517879</c:v>
                </c:pt>
                <c:pt idx="36">
                  <c:v>5.535086008542967</c:v>
                </c:pt>
                <c:pt idx="37">
                  <c:v>3.9098384036773339</c:v>
                </c:pt>
                <c:pt idx="38">
                  <c:v>4.9016322508385146</c:v>
                </c:pt>
                <c:pt idx="39">
                  <c:v>4.7496701824364829</c:v>
                </c:pt>
                <c:pt idx="40">
                  <c:v>7.5117726619070071</c:v>
                </c:pt>
                <c:pt idx="41">
                  <c:v>0.58464169376544528</c:v>
                </c:pt>
                <c:pt idx="42">
                  <c:v>2.2760198013787569</c:v>
                </c:pt>
                <c:pt idx="43">
                  <c:v>7.4588292513163799</c:v>
                </c:pt>
                <c:pt idx="44">
                  <c:v>9.7487727731929787</c:v>
                </c:pt>
                <c:pt idx="45">
                  <c:v>3.2674861771277399</c:v>
                </c:pt>
                <c:pt idx="46">
                  <c:v>1.1346576223895399</c:v>
                </c:pt>
                <c:pt idx="47">
                  <c:v>1.7991398509519252</c:v>
                </c:pt>
                <c:pt idx="48">
                  <c:v>9.8984239071223765</c:v>
                </c:pt>
                <c:pt idx="49">
                  <c:v>3.1283462649276386</c:v>
                </c:pt>
                <c:pt idx="50">
                  <c:v>1.6507517997344179</c:v>
                </c:pt>
                <c:pt idx="51">
                  <c:v>1.7961236058068397</c:v>
                </c:pt>
                <c:pt idx="52">
                  <c:v>6.5666306963696011</c:v>
                </c:pt>
                <c:pt idx="53">
                  <c:v>1.3661888579443726</c:v>
                </c:pt>
                <c:pt idx="54">
                  <c:v>1.3988542671328204</c:v>
                </c:pt>
                <c:pt idx="55">
                  <c:v>6.8528214075222618</c:v>
                </c:pt>
                <c:pt idx="56">
                  <c:v>4.306233143635871</c:v>
                </c:pt>
                <c:pt idx="57">
                  <c:v>6.7437283045408822</c:v>
                </c:pt>
                <c:pt idx="58">
                  <c:v>1.3256474040233945</c:v>
                </c:pt>
                <c:pt idx="59">
                  <c:v>0.67948930162984089</c:v>
                </c:pt>
                <c:pt idx="60">
                  <c:v>0.68005363433714494</c:v>
                </c:pt>
                <c:pt idx="61">
                  <c:v>4.3554019455727309</c:v>
                </c:pt>
                <c:pt idx="62">
                  <c:v>2.3687147803340287</c:v>
                </c:pt>
                <c:pt idx="63">
                  <c:v>0.51754550725620074</c:v>
                </c:pt>
                <c:pt idx="64">
                  <c:v>1.0643723647899006</c:v>
                </c:pt>
                <c:pt idx="65">
                  <c:v>4.3012625070811739</c:v>
                </c:pt>
                <c:pt idx="66">
                  <c:v>3.6616694092547442</c:v>
                </c:pt>
                <c:pt idx="67">
                  <c:v>4.0762271104226588</c:v>
                </c:pt>
                <c:pt idx="68">
                  <c:v>1.1632243127117015</c:v>
                </c:pt>
                <c:pt idx="69">
                  <c:v>9.6292627309156575</c:v>
                </c:pt>
                <c:pt idx="70">
                  <c:v>6.6994230349456458</c:v>
                </c:pt>
                <c:pt idx="71">
                  <c:v>0.58579791562293648</c:v>
                </c:pt>
                <c:pt idx="72">
                  <c:v>2.0279000859702148</c:v>
                </c:pt>
                <c:pt idx="73">
                  <c:v>3.9414088264275948</c:v>
                </c:pt>
                <c:pt idx="74">
                  <c:v>7.1143666579129086</c:v>
                </c:pt>
                <c:pt idx="75">
                  <c:v>2.9606144492737219</c:v>
                </c:pt>
                <c:pt idx="76">
                  <c:v>5.3579468561370973</c:v>
                </c:pt>
                <c:pt idx="77">
                  <c:v>4.2445053148396319</c:v>
                </c:pt>
                <c:pt idx="78">
                  <c:v>0.99986341654948352</c:v>
                </c:pt>
                <c:pt idx="79">
                  <c:v>7.2217097358991102</c:v>
                </c:pt>
                <c:pt idx="80">
                  <c:v>3.4900803489104448</c:v>
                </c:pt>
                <c:pt idx="81">
                  <c:v>1.5655101883749629</c:v>
                </c:pt>
                <c:pt idx="82">
                  <c:v>0.1317042350366382</c:v>
                </c:pt>
                <c:pt idx="83">
                  <c:v>2.67337770773175</c:v>
                </c:pt>
                <c:pt idx="84">
                  <c:v>3.1176053955830083</c:v>
                </c:pt>
                <c:pt idx="85">
                  <c:v>3.489686946933837</c:v>
                </c:pt>
                <c:pt idx="86">
                  <c:v>4.4030998357410036</c:v>
                </c:pt>
                <c:pt idx="87">
                  <c:v>3.6386403829088074</c:v>
                </c:pt>
                <c:pt idx="88">
                  <c:v>1.8831651434292862</c:v>
                </c:pt>
                <c:pt idx="89">
                  <c:v>8.3693763275629749</c:v>
                </c:pt>
                <c:pt idx="90">
                  <c:v>5.9941511716021489</c:v>
                </c:pt>
                <c:pt idx="91">
                  <c:v>5.8951404251282842</c:v>
                </c:pt>
                <c:pt idx="92">
                  <c:v>8.3823345244820278</c:v>
                </c:pt>
                <c:pt idx="93">
                  <c:v>6.9926512455599221</c:v>
                </c:pt>
                <c:pt idx="94">
                  <c:v>0.89098483008637985</c:v>
                </c:pt>
                <c:pt idx="95">
                  <c:v>5.7962446483670735</c:v>
                </c:pt>
                <c:pt idx="96">
                  <c:v>1.2565068275845404</c:v>
                </c:pt>
                <c:pt idx="97">
                  <c:v>5.9844774400317355</c:v>
                </c:pt>
                <c:pt idx="98">
                  <c:v>2.6851015792220845</c:v>
                </c:pt>
                <c:pt idx="99">
                  <c:v>5.4584361133611914</c:v>
                </c:pt>
                <c:pt idx="100">
                  <c:v>2.8410487451759794</c:v>
                </c:pt>
                <c:pt idx="101">
                  <c:v>1.9703227344433405</c:v>
                </c:pt>
                <c:pt idx="102">
                  <c:v>7.6501057910745338</c:v>
                </c:pt>
                <c:pt idx="103">
                  <c:v>0.25593801069693889</c:v>
                </c:pt>
                <c:pt idx="104">
                  <c:v>9.5559592061197769</c:v>
                </c:pt>
                <c:pt idx="105">
                  <c:v>1.5875562128043874</c:v>
                </c:pt>
                <c:pt idx="106">
                  <c:v>2.0302895383878941</c:v>
                </c:pt>
                <c:pt idx="107">
                  <c:v>6.2986150043348053</c:v>
                </c:pt>
                <c:pt idx="108">
                  <c:v>1.6048381905747755</c:v>
                </c:pt>
                <c:pt idx="109">
                  <c:v>5.3906080494544106</c:v>
                </c:pt>
                <c:pt idx="110">
                  <c:v>4.3439082382284235</c:v>
                </c:pt>
                <c:pt idx="111">
                  <c:v>7.2347454115318888</c:v>
                </c:pt>
                <c:pt idx="112">
                  <c:v>7.1949415068834233</c:v>
                </c:pt>
                <c:pt idx="113">
                  <c:v>5.640251128100723</c:v>
                </c:pt>
                <c:pt idx="114">
                  <c:v>3.3783208373756395</c:v>
                </c:pt>
                <c:pt idx="115">
                  <c:v>4.2478305565657068</c:v>
                </c:pt>
                <c:pt idx="116">
                  <c:v>1.3338383078117444</c:v>
                </c:pt>
                <c:pt idx="117">
                  <c:v>4.0445457941635024</c:v>
                </c:pt>
                <c:pt idx="118">
                  <c:v>1.4180067963387222</c:v>
                </c:pt>
                <c:pt idx="119">
                  <c:v>1.9531390656346792</c:v>
                </c:pt>
                <c:pt idx="120">
                  <c:v>5.6061113907484632</c:v>
                </c:pt>
                <c:pt idx="121">
                  <c:v>2.0721198761626027</c:v>
                </c:pt>
                <c:pt idx="122">
                  <c:v>0.46988291902483159</c:v>
                </c:pt>
                <c:pt idx="123">
                  <c:v>7.2126165830475211</c:v>
                </c:pt>
                <c:pt idx="124">
                  <c:v>5.1189256965613019</c:v>
                </c:pt>
                <c:pt idx="125">
                  <c:v>4.104455648108126</c:v>
                </c:pt>
                <c:pt idx="126">
                  <c:v>0.30774372296983654</c:v>
                </c:pt>
                <c:pt idx="127">
                  <c:v>3.6034467462690465</c:v>
                </c:pt>
                <c:pt idx="128">
                  <c:v>4.7372269237492937</c:v>
                </c:pt>
                <c:pt idx="129">
                  <c:v>6.9216423998475634</c:v>
                </c:pt>
                <c:pt idx="130">
                  <c:v>4.9063714173238724</c:v>
                </c:pt>
                <c:pt idx="131">
                  <c:v>0.13273596863336845</c:v>
                </c:pt>
                <c:pt idx="132">
                  <c:v>9.0245492913596319</c:v>
                </c:pt>
                <c:pt idx="133">
                  <c:v>3.7185451450973828</c:v>
                </c:pt>
                <c:pt idx="134">
                  <c:v>3.0491101334211068</c:v>
                </c:pt>
                <c:pt idx="135">
                  <c:v>6.1855907716120004</c:v>
                </c:pt>
                <c:pt idx="136">
                  <c:v>5.6740379035150177</c:v>
                </c:pt>
                <c:pt idx="137">
                  <c:v>0.25733122948430887</c:v>
                </c:pt>
                <c:pt idx="138">
                  <c:v>1.2786762805017564</c:v>
                </c:pt>
                <c:pt idx="139">
                  <c:v>0.30984550437434977</c:v>
                </c:pt>
                <c:pt idx="140">
                  <c:v>9.896067080401691</c:v>
                </c:pt>
                <c:pt idx="141">
                  <c:v>7.7482628791059147</c:v>
                </c:pt>
                <c:pt idx="142">
                  <c:v>0.62003770050426787</c:v>
                </c:pt>
                <c:pt idx="143">
                  <c:v>2.0806415919822161</c:v>
                </c:pt>
                <c:pt idx="144">
                  <c:v>0.94549077466746789</c:v>
                </c:pt>
                <c:pt idx="145">
                  <c:v>5.0612730636414209</c:v>
                </c:pt>
                <c:pt idx="146">
                  <c:v>1.7819718055087908</c:v>
                </c:pt>
                <c:pt idx="147">
                  <c:v>2.8282726942583327</c:v>
                </c:pt>
                <c:pt idx="148">
                  <c:v>3.0091144527621272</c:v>
                </c:pt>
                <c:pt idx="149">
                  <c:v>0.21202067908170585</c:v>
                </c:pt>
                <c:pt idx="150">
                  <c:v>1.6999462131305227</c:v>
                </c:pt>
                <c:pt idx="151">
                  <c:v>0.55290396169149658</c:v>
                </c:pt>
                <c:pt idx="152">
                  <c:v>4.3158101991073412</c:v>
                </c:pt>
                <c:pt idx="153">
                  <c:v>5.680380324893183</c:v>
                </c:pt>
                <c:pt idx="154">
                  <c:v>0.28319428091765908</c:v>
                </c:pt>
                <c:pt idx="155">
                  <c:v>0.85531720375536135</c:v>
                </c:pt>
                <c:pt idx="156">
                  <c:v>6.15895328943179</c:v>
                </c:pt>
                <c:pt idx="157">
                  <c:v>3.7936077939512303</c:v>
                </c:pt>
                <c:pt idx="158">
                  <c:v>6.8494682660858537</c:v>
                </c:pt>
                <c:pt idx="159">
                  <c:v>1.7346860696498534</c:v>
                </c:pt>
                <c:pt idx="160">
                  <c:v>1.0471830277114402</c:v>
                </c:pt>
                <c:pt idx="161">
                  <c:v>3.8460320848010889</c:v>
                </c:pt>
                <c:pt idx="162">
                  <c:v>0.41172622198315079</c:v>
                </c:pt>
                <c:pt idx="163">
                  <c:v>1.3239010413750147</c:v>
                </c:pt>
                <c:pt idx="164">
                  <c:v>4.1569383382154221</c:v>
                </c:pt>
                <c:pt idx="165">
                  <c:v>1.0162942262739338</c:v>
                </c:pt>
                <c:pt idx="166">
                  <c:v>0.26842048604428903</c:v>
                </c:pt>
                <c:pt idx="167">
                  <c:v>3.2907214327732168</c:v>
                </c:pt>
                <c:pt idx="168">
                  <c:v>4.7766768119076106</c:v>
                </c:pt>
                <c:pt idx="169">
                  <c:v>0.95667957381068258</c:v>
                </c:pt>
                <c:pt idx="170">
                  <c:v>4.5826855507019246</c:v>
                </c:pt>
                <c:pt idx="171">
                  <c:v>3.4046993535515204</c:v>
                </c:pt>
                <c:pt idx="172">
                  <c:v>1.2507999732142994</c:v>
                </c:pt>
                <c:pt idx="173">
                  <c:v>5.6565758040512648</c:v>
                </c:pt>
                <c:pt idx="174">
                  <c:v>0.9359981601048617</c:v>
                </c:pt>
                <c:pt idx="175">
                  <c:v>4.2687539819898275</c:v>
                </c:pt>
                <c:pt idx="176">
                  <c:v>0.98052222679779089</c:v>
                </c:pt>
                <c:pt idx="177">
                  <c:v>0.91543902069742167</c:v>
                </c:pt>
                <c:pt idx="178">
                  <c:v>7.9296973981173533</c:v>
                </c:pt>
                <c:pt idx="179">
                  <c:v>1.3776466606168474</c:v>
                </c:pt>
                <c:pt idx="180">
                  <c:v>5.8786080511332841</c:v>
                </c:pt>
                <c:pt idx="181">
                  <c:v>5.1236989027600188</c:v>
                </c:pt>
                <c:pt idx="182">
                  <c:v>0.17403205914335529</c:v>
                </c:pt>
                <c:pt idx="183">
                  <c:v>0.72765181490088926</c:v>
                </c:pt>
                <c:pt idx="184">
                  <c:v>0.19432253372623109</c:v>
                </c:pt>
                <c:pt idx="185">
                  <c:v>2.6189348870477924</c:v>
                </c:pt>
                <c:pt idx="186">
                  <c:v>0.64173570588304418</c:v>
                </c:pt>
                <c:pt idx="187">
                  <c:v>1.01918993216084</c:v>
                </c:pt>
                <c:pt idx="188">
                  <c:v>9.933766774237613</c:v>
                </c:pt>
                <c:pt idx="189">
                  <c:v>2.0509637707726327</c:v>
                </c:pt>
                <c:pt idx="190">
                  <c:v>4.5837344011195613</c:v>
                </c:pt>
                <c:pt idx="191">
                  <c:v>1.1575779451648165</c:v>
                </c:pt>
                <c:pt idx="192">
                  <c:v>1.1191222002084289</c:v>
                </c:pt>
                <c:pt idx="193">
                  <c:v>7.4693473268662691</c:v>
                </c:pt>
                <c:pt idx="194">
                  <c:v>3.1829754626919993</c:v>
                </c:pt>
                <c:pt idx="195">
                  <c:v>8.4753943561281524</c:v>
                </c:pt>
                <c:pt idx="196">
                  <c:v>5.9743241466179935</c:v>
                </c:pt>
                <c:pt idx="197">
                  <c:v>4.2971659447067054</c:v>
                </c:pt>
                <c:pt idx="198">
                  <c:v>1.8210010635883855</c:v>
                </c:pt>
                <c:pt idx="199">
                  <c:v>9.3500610185266773</c:v>
                </c:pt>
                <c:pt idx="200">
                  <c:v>5.8017680047952584</c:v>
                </c:pt>
                <c:pt idx="201">
                  <c:v>3.1067853521324884</c:v>
                </c:pt>
                <c:pt idx="202">
                  <c:v>0.22418353906578092</c:v>
                </c:pt>
                <c:pt idx="203">
                  <c:v>5.0947340607005378</c:v>
                </c:pt>
                <c:pt idx="204">
                  <c:v>5.3913019109763844</c:v>
                </c:pt>
                <c:pt idx="205">
                  <c:v>4.2247998882549798</c:v>
                </c:pt>
                <c:pt idx="206">
                  <c:v>0.66890959061414179</c:v>
                </c:pt>
                <c:pt idx="207">
                  <c:v>4.1035937542475658</c:v>
                </c:pt>
                <c:pt idx="208">
                  <c:v>1.7060248306946202</c:v>
                </c:pt>
                <c:pt idx="209">
                  <c:v>3.770908251440491</c:v>
                </c:pt>
                <c:pt idx="210">
                  <c:v>6.2410360217952787</c:v>
                </c:pt>
                <c:pt idx="211">
                  <c:v>2.7729153567667844</c:v>
                </c:pt>
                <c:pt idx="212">
                  <c:v>3.9904760147955374</c:v>
                </c:pt>
                <c:pt idx="213">
                  <c:v>2.2324966446114884</c:v>
                </c:pt>
                <c:pt idx="214">
                  <c:v>9.3312206758892504</c:v>
                </c:pt>
                <c:pt idx="215">
                  <c:v>0.1006901361900614</c:v>
                </c:pt>
                <c:pt idx="216">
                  <c:v>1.4808094575039803</c:v>
                </c:pt>
                <c:pt idx="217">
                  <c:v>6.5034122445243918</c:v>
                </c:pt>
                <c:pt idx="218">
                  <c:v>1.4406452439689215</c:v>
                </c:pt>
                <c:pt idx="219">
                  <c:v>5.7400661185240676</c:v>
                </c:pt>
                <c:pt idx="220">
                  <c:v>3.3572107125044925</c:v>
                </c:pt>
                <c:pt idx="221">
                  <c:v>9.1085355854380303</c:v>
                </c:pt>
                <c:pt idx="222">
                  <c:v>0.64934274565607186</c:v>
                </c:pt>
                <c:pt idx="223">
                  <c:v>0.79360834385882373</c:v>
                </c:pt>
                <c:pt idx="224">
                  <c:v>0.4445978521332028</c:v>
                </c:pt>
                <c:pt idx="225">
                  <c:v>1.8382177857191173</c:v>
                </c:pt>
                <c:pt idx="226">
                  <c:v>1.6451290629795405</c:v>
                </c:pt>
                <c:pt idx="227">
                  <c:v>2.5690753559263912</c:v>
                </c:pt>
                <c:pt idx="228">
                  <c:v>6.9972762857880095</c:v>
                </c:pt>
                <c:pt idx="229">
                  <c:v>7.3723245785288825</c:v>
                </c:pt>
                <c:pt idx="230">
                  <c:v>5.3622023917732253</c:v>
                </c:pt>
                <c:pt idx="231">
                  <c:v>2.4573486856027538</c:v>
                </c:pt>
                <c:pt idx="232">
                  <c:v>4.6653301094334507</c:v>
                </c:pt>
                <c:pt idx="233">
                  <c:v>9.4659264214665644</c:v>
                </c:pt>
                <c:pt idx="234">
                  <c:v>5.409515318726986</c:v>
                </c:pt>
                <c:pt idx="235">
                  <c:v>8.4868316529834011</c:v>
                </c:pt>
                <c:pt idx="236">
                  <c:v>1.414287819457668</c:v>
                </c:pt>
                <c:pt idx="237">
                  <c:v>0.84843775601305071</c:v>
                </c:pt>
                <c:pt idx="238">
                  <c:v>6.9759447658863092</c:v>
                </c:pt>
                <c:pt idx="239">
                  <c:v>4.9368280122390633</c:v>
                </c:pt>
                <c:pt idx="240">
                  <c:v>1.5835150782138019</c:v>
                </c:pt>
                <c:pt idx="241">
                  <c:v>4.5426181541277213</c:v>
                </c:pt>
                <c:pt idx="242">
                  <c:v>3.2451070799585349</c:v>
                </c:pt>
                <c:pt idx="243">
                  <c:v>5.2598000278696162</c:v>
                </c:pt>
                <c:pt idx="244">
                  <c:v>2.0907614964642001</c:v>
                </c:pt>
                <c:pt idx="245">
                  <c:v>9.8195870654073687</c:v>
                </c:pt>
                <c:pt idx="246">
                  <c:v>8.5134254862978711</c:v>
                </c:pt>
                <c:pt idx="247">
                  <c:v>1.4819243217168681</c:v>
                </c:pt>
                <c:pt idx="248">
                  <c:v>2.5471737537413253</c:v>
                </c:pt>
                <c:pt idx="249">
                  <c:v>5.2591026774381904</c:v>
                </c:pt>
                <c:pt idx="250">
                  <c:v>5.9661525263645778</c:v>
                </c:pt>
                <c:pt idx="251">
                  <c:v>6.8689259068287427</c:v>
                </c:pt>
                <c:pt idx="252">
                  <c:v>8.1797120271317585</c:v>
                </c:pt>
                <c:pt idx="253">
                  <c:v>5.3870107801096703</c:v>
                </c:pt>
                <c:pt idx="254">
                  <c:v>1.2649668974992845</c:v>
                </c:pt>
                <c:pt idx="255">
                  <c:v>0.99450139616562572</c:v>
                </c:pt>
                <c:pt idx="256">
                  <c:v>1.841604707372192</c:v>
                </c:pt>
                <c:pt idx="257">
                  <c:v>4.0595893637733704</c:v>
                </c:pt>
                <c:pt idx="258">
                  <c:v>3.4742895663679385</c:v>
                </c:pt>
                <c:pt idx="259">
                  <c:v>3.1710486579994637</c:v>
                </c:pt>
                <c:pt idx="260">
                  <c:v>7.4073239499952512</c:v>
                </c:pt>
                <c:pt idx="261">
                  <c:v>3.8707276701272377</c:v>
                </c:pt>
                <c:pt idx="262">
                  <c:v>0.56556055216577583</c:v>
                </c:pt>
                <c:pt idx="263">
                  <c:v>1.51881119091186</c:v>
                </c:pt>
                <c:pt idx="264">
                  <c:v>1.7331923156910412</c:v>
                </c:pt>
                <c:pt idx="265">
                  <c:v>0.71091710309258482</c:v>
                </c:pt>
                <c:pt idx="266">
                  <c:v>2.4394240420143647</c:v>
                </c:pt>
                <c:pt idx="267">
                  <c:v>1.089769739775216</c:v>
                </c:pt>
                <c:pt idx="268">
                  <c:v>2.6087401323885451</c:v>
                </c:pt>
                <c:pt idx="269">
                  <c:v>2.1012022017333742</c:v>
                </c:pt>
                <c:pt idx="270">
                  <c:v>4.2317335516878787</c:v>
                </c:pt>
                <c:pt idx="271">
                  <c:v>1.1383757406116202</c:v>
                </c:pt>
                <c:pt idx="272">
                  <c:v>6.7633162929742765</c:v>
                </c:pt>
                <c:pt idx="273">
                  <c:v>0.61132585091549396</c:v>
                </c:pt>
                <c:pt idx="274">
                  <c:v>7.3186433476950228</c:v>
                </c:pt>
                <c:pt idx="275">
                  <c:v>2.7107833401519539</c:v>
                </c:pt>
                <c:pt idx="276">
                  <c:v>6.7952846341480537</c:v>
                </c:pt>
                <c:pt idx="277">
                  <c:v>5.4012361863521274</c:v>
                </c:pt>
                <c:pt idx="278">
                  <c:v>0.63748148891215217</c:v>
                </c:pt>
                <c:pt idx="279">
                  <c:v>3.0986558019542549</c:v>
                </c:pt>
                <c:pt idx="280">
                  <c:v>2.0749084800706412</c:v>
                </c:pt>
                <c:pt idx="281">
                  <c:v>0.80667273942628404</c:v>
                </c:pt>
                <c:pt idx="282">
                  <c:v>5.0265946640018733</c:v>
                </c:pt>
                <c:pt idx="283">
                  <c:v>2.5410844073743846</c:v>
                </c:pt>
                <c:pt idx="284">
                  <c:v>1.7075669026967866</c:v>
                </c:pt>
                <c:pt idx="285">
                  <c:v>8.2417978775058405</c:v>
                </c:pt>
                <c:pt idx="286">
                  <c:v>0.22179869565707055</c:v>
                </c:pt>
                <c:pt idx="287">
                  <c:v>5.3562167200401332</c:v>
                </c:pt>
                <c:pt idx="288">
                  <c:v>4.0213224520416482</c:v>
                </c:pt>
                <c:pt idx="289">
                  <c:v>9.0883815939661545</c:v>
                </c:pt>
                <c:pt idx="290">
                  <c:v>3.4451401751208524</c:v>
                </c:pt>
                <c:pt idx="291">
                  <c:v>3.232324186022562</c:v>
                </c:pt>
                <c:pt idx="292">
                  <c:v>0.73377609493489482</c:v>
                </c:pt>
                <c:pt idx="293">
                  <c:v>1.7285078266602611</c:v>
                </c:pt>
                <c:pt idx="294">
                  <c:v>2.3162633518189018</c:v>
                </c:pt>
                <c:pt idx="295">
                  <c:v>2.005140583487858</c:v>
                </c:pt>
                <c:pt idx="296">
                  <c:v>5.0496928897192239</c:v>
                </c:pt>
                <c:pt idx="297">
                  <c:v>8.6833737506081139</c:v>
                </c:pt>
                <c:pt idx="298">
                  <c:v>1.9010666044891344</c:v>
                </c:pt>
                <c:pt idx="299">
                  <c:v>7.5442379713478687</c:v>
                </c:pt>
                <c:pt idx="300">
                  <c:v>3.4593472649154422</c:v>
                </c:pt>
                <c:pt idx="301">
                  <c:v>2.712702195896747</c:v>
                </c:pt>
                <c:pt idx="302">
                  <c:v>3.7651708061081299</c:v>
                </c:pt>
                <c:pt idx="303">
                  <c:v>2.5709902426832434</c:v>
                </c:pt>
                <c:pt idx="304">
                  <c:v>2.8635088860815849</c:v>
                </c:pt>
                <c:pt idx="305">
                  <c:v>4.1797357977870773</c:v>
                </c:pt>
                <c:pt idx="306">
                  <c:v>6.8319365032465758</c:v>
                </c:pt>
                <c:pt idx="307">
                  <c:v>2.4989639958570109</c:v>
                </c:pt>
                <c:pt idx="308">
                  <c:v>6.0368306315004165</c:v>
                </c:pt>
                <c:pt idx="309">
                  <c:v>3.7336580319982193</c:v>
                </c:pt>
                <c:pt idx="310">
                  <c:v>3.7414953861344555</c:v>
                </c:pt>
                <c:pt idx="311">
                  <c:v>9.634346257188799</c:v>
                </c:pt>
                <c:pt idx="312">
                  <c:v>2.2011102698840403</c:v>
                </c:pt>
                <c:pt idx="313">
                  <c:v>7.1295129757621325</c:v>
                </c:pt>
                <c:pt idx="314">
                  <c:v>0.38768188230310918</c:v>
                </c:pt>
                <c:pt idx="315">
                  <c:v>3.3456923990174503</c:v>
                </c:pt>
                <c:pt idx="316">
                  <c:v>3.1347877952867749</c:v>
                </c:pt>
                <c:pt idx="317">
                  <c:v>0.99948781347602766</c:v>
                </c:pt>
                <c:pt idx="318">
                  <c:v>6.3348634850154841</c:v>
                </c:pt>
                <c:pt idx="319">
                  <c:v>7.3317824269108822</c:v>
                </c:pt>
                <c:pt idx="320">
                  <c:v>7.0174536757542523</c:v>
                </c:pt>
                <c:pt idx="321">
                  <c:v>4.4709622476679094</c:v>
                </c:pt>
                <c:pt idx="322">
                  <c:v>4.636045312339915</c:v>
                </c:pt>
                <c:pt idx="323">
                  <c:v>1.7121605001854383</c:v>
                </c:pt>
                <c:pt idx="324">
                  <c:v>8.0685297444132313</c:v>
                </c:pt>
                <c:pt idx="325">
                  <c:v>7.7288358868201232</c:v>
                </c:pt>
                <c:pt idx="326">
                  <c:v>4.011624523784878</c:v>
                </c:pt>
                <c:pt idx="327">
                  <c:v>8.0956625587510054</c:v>
                </c:pt>
                <c:pt idx="328">
                  <c:v>3.0639766219988962</c:v>
                </c:pt>
                <c:pt idx="329">
                  <c:v>9.2035409132644865</c:v>
                </c:pt>
                <c:pt idx="330">
                  <c:v>1.5799046383401805</c:v>
                </c:pt>
                <c:pt idx="331">
                  <c:v>9.1399758126647086</c:v>
                </c:pt>
                <c:pt idx="332">
                  <c:v>1.7370058812285309</c:v>
                </c:pt>
                <c:pt idx="333">
                  <c:v>3.0873183971473628</c:v>
                </c:pt>
                <c:pt idx="334">
                  <c:v>6.2700146931984548</c:v>
                </c:pt>
                <c:pt idx="335">
                  <c:v>1.5164047178334383</c:v>
                </c:pt>
                <c:pt idx="336">
                  <c:v>5.5787952487728383</c:v>
                </c:pt>
                <c:pt idx="337">
                  <c:v>1.7021802338380265</c:v>
                </c:pt>
                <c:pt idx="338">
                  <c:v>3.5932263414494225</c:v>
                </c:pt>
                <c:pt idx="339">
                  <c:v>6.4819724739427267</c:v>
                </c:pt>
                <c:pt idx="340">
                  <c:v>8.6218288994657204</c:v>
                </c:pt>
                <c:pt idx="341">
                  <c:v>4.8180306309081029</c:v>
                </c:pt>
                <c:pt idx="342">
                  <c:v>0.8706359154703136</c:v>
                </c:pt>
                <c:pt idx="343">
                  <c:v>2.5463745146189787</c:v>
                </c:pt>
                <c:pt idx="344">
                  <c:v>3.6188374820339031</c:v>
                </c:pt>
                <c:pt idx="345">
                  <c:v>0.90934321535072304</c:v>
                </c:pt>
                <c:pt idx="346">
                  <c:v>1.8210294230237989</c:v>
                </c:pt>
                <c:pt idx="347">
                  <c:v>2.7312730385681707</c:v>
                </c:pt>
                <c:pt idx="348">
                  <c:v>5.9174894413617594</c:v>
                </c:pt>
                <c:pt idx="349">
                  <c:v>6.1113402673906521</c:v>
                </c:pt>
                <c:pt idx="350">
                  <c:v>8.1784282134517454</c:v>
                </c:pt>
                <c:pt idx="351">
                  <c:v>0.42136017036654372</c:v>
                </c:pt>
                <c:pt idx="352">
                  <c:v>3.8656984053632426</c:v>
                </c:pt>
                <c:pt idx="353">
                  <c:v>3.3076978524627143</c:v>
                </c:pt>
                <c:pt idx="354">
                  <c:v>8.2642254253066127</c:v>
                </c:pt>
                <c:pt idx="355">
                  <c:v>9.6405563859489209</c:v>
                </c:pt>
                <c:pt idx="356">
                  <c:v>2.4943858295782082</c:v>
                </c:pt>
                <c:pt idx="357">
                  <c:v>3.2935446988867447</c:v>
                </c:pt>
                <c:pt idx="358">
                  <c:v>1.5123096937836027</c:v>
                </c:pt>
                <c:pt idx="359">
                  <c:v>1.8017465789651244</c:v>
                </c:pt>
                <c:pt idx="360">
                  <c:v>9.6886144037445714</c:v>
                </c:pt>
                <c:pt idx="361">
                  <c:v>4.0592812177839352</c:v>
                </c:pt>
                <c:pt idx="362">
                  <c:v>0.69356805579197545</c:v>
                </c:pt>
                <c:pt idx="363">
                  <c:v>3.2990120856088687</c:v>
                </c:pt>
                <c:pt idx="364">
                  <c:v>3.2943602723660903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D9-4768-9757-9E82E1188EC2}"/>
            </c:ext>
          </c:extLst>
        </c:ser>
        <c:ser>
          <c:idx val="4"/>
          <c:order val="1"/>
          <c:tx>
            <c:strRef>
              <c:f>'Задание 1'!$E$5</c:f>
              <c:strCache>
                <c:ptCount val="1"/>
                <c:pt idx="0">
                  <c:v>Среднее время ожидания на текущий день t'ср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'Задание 1'!$E$6:$E$370</c:f>
              <c:numCache>
                <c:formatCode>General</c:formatCode>
                <c:ptCount val="365"/>
                <c:pt idx="0">
                  <c:v>3.6344315471386297</c:v>
                </c:pt>
                <c:pt idx="1">
                  <c:v>6.5670601668023645</c:v>
                </c:pt>
                <c:pt idx="2">
                  <c:v>7.1651716329741761</c:v>
                </c:pt>
                <c:pt idx="3">
                  <c:v>6.239884203655369</c:v>
                </c:pt>
                <c:pt idx="4">
                  <c:v>6.0852921550322181</c:v>
                </c:pt>
                <c:pt idx="5">
                  <c:v>6.0700490047276974</c:v>
                </c:pt>
                <c:pt idx="6">
                  <c:v>6.1098123979292609</c:v>
                </c:pt>
                <c:pt idx="7">
                  <c:v>6.4167474192614815</c:v>
                </c:pt>
                <c:pt idx="8">
                  <c:v>6.048410584084718</c:v>
                </c:pt>
                <c:pt idx="9">
                  <c:v>5.7915853673839433</c:v>
                </c:pt>
                <c:pt idx="10">
                  <c:v>5.5107081993286293</c:v>
                </c:pt>
                <c:pt idx="11">
                  <c:v>5.8059518823115406</c:v>
                </c:pt>
                <c:pt idx="12">
                  <c:v>6.0973942682020539</c:v>
                </c:pt>
                <c:pt idx="13">
                  <c:v>6.2047742024611576</c:v>
                </c:pt>
                <c:pt idx="14">
                  <c:v>6.2274177056150961</c:v>
                </c:pt>
                <c:pt idx="15">
                  <c:v>5.9783943609481645</c:v>
                </c:pt>
                <c:pt idx="16">
                  <c:v>6.0267695453547416</c:v>
                </c:pt>
                <c:pt idx="17">
                  <c:v>5.9960147558709993</c:v>
                </c:pt>
                <c:pt idx="18">
                  <c:v>6.2013175431591279</c:v>
                </c:pt>
                <c:pt idx="19">
                  <c:v>6.3005711937626545</c:v>
                </c:pt>
                <c:pt idx="20">
                  <c:v>6.5242791786171672</c:v>
                </c:pt>
                <c:pt idx="21">
                  <c:v>6.5644812692718624</c:v>
                </c:pt>
                <c:pt idx="22">
                  <c:v>6.584220096606666</c:v>
                </c:pt>
                <c:pt idx="23">
                  <c:v>6.5024475257870193</c:v>
                </c:pt>
                <c:pt idx="24">
                  <c:v>6.6369112264612236</c:v>
                </c:pt>
                <c:pt idx="25">
                  <c:v>6.6526793145062992</c:v>
                </c:pt>
                <c:pt idx="26">
                  <c:v>6.5683089377543586</c:v>
                </c:pt>
                <c:pt idx="27">
                  <c:v>6.539125449808048</c:v>
                </c:pt>
                <c:pt idx="28">
                  <c:v>6.6826700493818905</c:v>
                </c:pt>
                <c:pt idx="29">
                  <c:v>6.6221110049686205</c:v>
                </c:pt>
                <c:pt idx="30">
                  <c:v>6.6428735076031575</c:v>
                </c:pt>
                <c:pt idx="31">
                  <c:v>6.7267650580755154</c:v>
                </c:pt>
                <c:pt idx="32">
                  <c:v>6.6815667171523563</c:v>
                </c:pt>
                <c:pt idx="33">
                  <c:v>6.5582383146235301</c:v>
                </c:pt>
                <c:pt idx="34">
                  <c:v>6.6518073210913169</c:v>
                </c:pt>
                <c:pt idx="35">
                  <c:v>6.6137198129897659</c:v>
                </c:pt>
                <c:pt idx="36">
                  <c:v>6.5956372862797368</c:v>
                </c:pt>
                <c:pt idx="37">
                  <c:v>6.5545622999856255</c:v>
                </c:pt>
                <c:pt idx="38">
                  <c:v>6.5293555870889115</c:v>
                </c:pt>
                <c:pt idx="39">
                  <c:v>6.4983314335645037</c:v>
                </c:pt>
                <c:pt idx="40">
                  <c:v>6.5307711319750092</c:v>
                </c:pt>
                <c:pt idx="41">
                  <c:v>6.4270780075949103</c:v>
                </c:pt>
                <c:pt idx="42">
                  <c:v>6.4503587786138423</c:v>
                </c:pt>
                <c:pt idx="43">
                  <c:v>6.4776762279291384</c:v>
                </c:pt>
                <c:pt idx="44">
                  <c:v>6.5525181048836281</c:v>
                </c:pt>
                <c:pt idx="45">
                  <c:v>6.4917976310400647</c:v>
                </c:pt>
                <c:pt idx="46">
                  <c:v>6.508767905984933</c:v>
                </c:pt>
                <c:pt idx="47">
                  <c:v>6.5177300182876143</c:v>
                </c:pt>
                <c:pt idx="48">
                  <c:v>6.5975731112078497</c:v>
                </c:pt>
                <c:pt idx="49">
                  <c:v>6.5925964110233251</c:v>
                </c:pt>
                <c:pt idx="50">
                  <c:v>6.604674588478173</c:v>
                </c:pt>
                <c:pt idx="51">
                  <c:v>6.6203977657753876</c:v>
                </c:pt>
                <c:pt idx="52">
                  <c:v>6.6269666666013274</c:v>
                </c:pt>
                <c:pt idx="53">
                  <c:v>6.5721999705224521</c:v>
                </c:pt>
                <c:pt idx="54">
                  <c:v>6.5436130866187758</c:v>
                </c:pt>
                <c:pt idx="55">
                  <c:v>6.5615807656445986</c:v>
                </c:pt>
                <c:pt idx="56">
                  <c:v>6.5695890944630246</c:v>
                </c:pt>
                <c:pt idx="57">
                  <c:v>6.6324019933513121</c:v>
                </c:pt>
                <c:pt idx="58">
                  <c:v>6.5542184179194791</c:v>
                </c:pt>
                <c:pt idx="59">
                  <c:v>6.4891577684129977</c:v>
                </c:pt>
                <c:pt idx="60">
                  <c:v>6.4137440805657633</c:v>
                </c:pt>
                <c:pt idx="61">
                  <c:v>6.4162572616559883</c:v>
                </c:pt>
                <c:pt idx="62">
                  <c:v>6.3907712313989338</c:v>
                </c:pt>
                <c:pt idx="63">
                  <c:v>6.407019857128101</c:v>
                </c:pt>
                <c:pt idx="64">
                  <c:v>6.398143351258347</c:v>
                </c:pt>
                <c:pt idx="65">
                  <c:v>6.4055967574364567</c:v>
                </c:pt>
                <c:pt idx="66">
                  <c:v>6.4118330967550516</c:v>
                </c:pt>
                <c:pt idx="67">
                  <c:v>6.3794340663895195</c:v>
                </c:pt>
                <c:pt idx="68">
                  <c:v>6.3976549351553507</c:v>
                </c:pt>
                <c:pt idx="69">
                  <c:v>6.4596567173514963</c:v>
                </c:pt>
                <c:pt idx="70">
                  <c:v>6.489831279522976</c:v>
                </c:pt>
                <c:pt idx="71">
                  <c:v>6.4504377875145815</c:v>
                </c:pt>
                <c:pt idx="72">
                  <c:v>6.4670338684300566</c:v>
                </c:pt>
                <c:pt idx="73">
                  <c:v>6.4493358616152987</c:v>
                </c:pt>
                <c:pt idx="74">
                  <c:v>6.4910591461013407</c:v>
                </c:pt>
                <c:pt idx="75">
                  <c:v>6.4517309296406218</c:v>
                </c:pt>
                <c:pt idx="76">
                  <c:v>6.4538352084421433</c:v>
                </c:pt>
                <c:pt idx="77">
                  <c:v>6.4617190712717871</c:v>
                </c:pt>
                <c:pt idx="78">
                  <c:v>6.4015658681224519</c:v>
                </c:pt>
                <c:pt idx="79">
                  <c:v>6.4244977394785012</c:v>
                </c:pt>
                <c:pt idx="80">
                  <c:v>6.3895773849953743</c:v>
                </c:pt>
                <c:pt idx="81">
                  <c:v>6.3821656526611319</c:v>
                </c:pt>
                <c:pt idx="82">
                  <c:v>6.3158863552700879</c:v>
                </c:pt>
                <c:pt idx="83">
                  <c:v>6.2848350271270172</c:v>
                </c:pt>
                <c:pt idx="84">
                  <c:v>6.2768623279147935</c:v>
                </c:pt>
                <c:pt idx="85">
                  <c:v>6.2621012815435497</c:v>
                </c:pt>
                <c:pt idx="86">
                  <c:v>6.2585388125810928</c:v>
                </c:pt>
                <c:pt idx="87">
                  <c:v>6.2350948823749839</c:v>
                </c:pt>
                <c:pt idx="88">
                  <c:v>6.2209896549208956</c:v>
                </c:pt>
                <c:pt idx="89">
                  <c:v>6.2790709620530922</c:v>
                </c:pt>
                <c:pt idx="90">
                  <c:v>6.2862304955804991</c:v>
                </c:pt>
                <c:pt idx="91">
                  <c:v>6.2901431560915197</c:v>
                </c:pt>
                <c:pt idx="92">
                  <c:v>6.3168235264034127</c:v>
                </c:pt>
                <c:pt idx="93">
                  <c:v>6.3652538042882298</c:v>
                </c:pt>
                <c:pt idx="94">
                  <c:v>6.3435407282372775</c:v>
                </c:pt>
                <c:pt idx="95">
                  <c:v>6.3386612817093591</c:v>
                </c:pt>
                <c:pt idx="96">
                  <c:v>6.3154198523416971</c:v>
                </c:pt>
                <c:pt idx="97">
                  <c:v>6.3155115851002002</c:v>
                </c:pt>
                <c:pt idx="98">
                  <c:v>6.3120326366850685</c:v>
                </c:pt>
                <c:pt idx="99">
                  <c:v>6.332665430971268</c:v>
                </c:pt>
                <c:pt idx="100">
                  <c:v>6.3432412030799989</c:v>
                </c:pt>
                <c:pt idx="101">
                  <c:v>6.308356679070716</c:v>
                </c:pt>
                <c:pt idx="102">
                  <c:v>6.3278242239106266</c:v>
                </c:pt>
                <c:pt idx="103">
                  <c:v>6.3138161913395496</c:v>
                </c:pt>
                <c:pt idx="104">
                  <c:v>6.3689944733466728</c:v>
                </c:pt>
                <c:pt idx="105">
                  <c:v>6.352585344188884</c:v>
                </c:pt>
                <c:pt idx="106">
                  <c:v>6.3442950881989724</c:v>
                </c:pt>
                <c:pt idx="107">
                  <c:v>6.3734094167843134</c:v>
                </c:pt>
                <c:pt idx="108">
                  <c:v>6.3461471410999213</c:v>
                </c:pt>
                <c:pt idx="109">
                  <c:v>6.3446124174963963</c:v>
                </c:pt>
                <c:pt idx="110">
                  <c:v>6.3719979367701258</c:v>
                </c:pt>
                <c:pt idx="111">
                  <c:v>6.3962614988101523</c:v>
                </c:pt>
                <c:pt idx="112">
                  <c:v>6.4069302139032951</c:v>
                </c:pt>
                <c:pt idx="113">
                  <c:v>6.4338020747832729</c:v>
                </c:pt>
                <c:pt idx="114">
                  <c:v>6.4106980220409282</c:v>
                </c:pt>
                <c:pt idx="115">
                  <c:v>6.4119679806530439</c:v>
                </c:pt>
                <c:pt idx="116">
                  <c:v>6.393495594074829</c:v>
                </c:pt>
                <c:pt idx="117">
                  <c:v>6.3976232837688594</c:v>
                </c:pt>
                <c:pt idx="118">
                  <c:v>6.4088371263341823</c:v>
                </c:pt>
                <c:pt idx="119">
                  <c:v>6.4151856412275352</c:v>
                </c:pt>
                <c:pt idx="120">
                  <c:v>6.4202597485030788</c:v>
                </c:pt>
                <c:pt idx="121">
                  <c:v>6.4101170746068714</c:v>
                </c:pt>
                <c:pt idx="122">
                  <c:v>6.3988503548626916</c:v>
                </c:pt>
                <c:pt idx="123">
                  <c:v>6.4080395242352575</c:v>
                </c:pt>
                <c:pt idx="124">
                  <c:v>6.3983249006736393</c:v>
                </c:pt>
                <c:pt idx="125">
                  <c:v>6.4039931101151746</c:v>
                </c:pt>
                <c:pt idx="126">
                  <c:v>6.3697103888594695</c:v>
                </c:pt>
                <c:pt idx="127">
                  <c:v>6.3488057377115457</c:v>
                </c:pt>
                <c:pt idx="128">
                  <c:v>6.3539181229000352</c:v>
                </c:pt>
                <c:pt idx="129">
                  <c:v>6.3613698213981449</c:v>
                </c:pt>
                <c:pt idx="130">
                  <c:v>6.3777041199468432</c:v>
                </c:pt>
                <c:pt idx="131">
                  <c:v>6.3521143211313511</c:v>
                </c:pt>
                <c:pt idx="132">
                  <c:v>6.3879464106210841</c:v>
                </c:pt>
                <c:pt idx="133">
                  <c:v>6.3898351719026314</c:v>
                </c:pt>
                <c:pt idx="134">
                  <c:v>6.3736334905691745</c:v>
                </c:pt>
                <c:pt idx="135">
                  <c:v>6.3801590370274583</c:v>
                </c:pt>
                <c:pt idx="136">
                  <c:v>6.3768221743635989</c:v>
                </c:pt>
                <c:pt idx="137">
                  <c:v>6.3731585913729489</c:v>
                </c:pt>
                <c:pt idx="138">
                  <c:v>6.3480872346067994</c:v>
                </c:pt>
                <c:pt idx="139">
                  <c:v>6.3500216320455731</c:v>
                </c:pt>
                <c:pt idx="140">
                  <c:v>6.3808361919297019</c:v>
                </c:pt>
                <c:pt idx="141">
                  <c:v>6.3909142618368247</c:v>
                </c:pt>
                <c:pt idx="142">
                  <c:v>6.3952345914254947</c:v>
                </c:pt>
                <c:pt idx="143">
                  <c:v>6.3734944393696562</c:v>
                </c:pt>
                <c:pt idx="144">
                  <c:v>6.3475984927231313</c:v>
                </c:pt>
                <c:pt idx="145">
                  <c:v>6.3401422462710588</c:v>
                </c:pt>
                <c:pt idx="146">
                  <c:v>6.3500547289814566</c:v>
                </c:pt>
                <c:pt idx="147">
                  <c:v>6.3378951633542338</c:v>
                </c:pt>
                <c:pt idx="148">
                  <c:v>6.3163233264702043</c:v>
                </c:pt>
                <c:pt idx="149">
                  <c:v>6.2967830116151129</c:v>
                </c:pt>
                <c:pt idx="150">
                  <c:v>6.2697950047153412</c:v>
                </c:pt>
                <c:pt idx="151">
                  <c:v>6.2611458799058237</c:v>
                </c:pt>
                <c:pt idx="152">
                  <c:v>6.2513082564824396</c:v>
                </c:pt>
                <c:pt idx="153">
                  <c:v>6.250929082867227</c:v>
                </c:pt>
                <c:pt idx="154">
                  <c:v>6.2248017921218137</c:v>
                </c:pt>
                <c:pt idx="155">
                  <c:v>6.2141523106059076</c:v>
                </c:pt>
                <c:pt idx="156">
                  <c:v>6.2354955940878076</c:v>
                </c:pt>
                <c:pt idx="157">
                  <c:v>6.2506328917248615</c:v>
                </c:pt>
                <c:pt idx="158">
                  <c:v>6.2622648951190119</c:v>
                </c:pt>
                <c:pt idx="159">
                  <c:v>6.2543025398214187</c:v>
                </c:pt>
                <c:pt idx="160">
                  <c:v>6.2279302248644495</c:v>
                </c:pt>
                <c:pt idx="161">
                  <c:v>6.2256493581959367</c:v>
                </c:pt>
                <c:pt idx="162">
                  <c:v>6.2035245665910379</c:v>
                </c:pt>
                <c:pt idx="163">
                  <c:v>6.1965202511421609</c:v>
                </c:pt>
                <c:pt idx="164">
                  <c:v>6.2011119074743322</c:v>
                </c:pt>
                <c:pt idx="165">
                  <c:v>6.205229257184957</c:v>
                </c:pt>
                <c:pt idx="166">
                  <c:v>6.1980813515543387</c:v>
                </c:pt>
                <c:pt idx="167">
                  <c:v>6.1828005969621485</c:v>
                </c:pt>
                <c:pt idx="168">
                  <c:v>6.1845295428744773</c:v>
                </c:pt>
                <c:pt idx="169">
                  <c:v>6.173481845866216</c:v>
                </c:pt>
                <c:pt idx="170">
                  <c:v>6.1669517194198766</c:v>
                </c:pt>
                <c:pt idx="171">
                  <c:v>6.1667529774496188</c:v>
                </c:pt>
                <c:pt idx="172">
                  <c:v>6.1386273822888127</c:v>
                </c:pt>
                <c:pt idx="173">
                  <c:v>6.1512307125922625</c:v>
                </c:pt>
                <c:pt idx="174">
                  <c:v>6.1434730023749324</c:v>
                </c:pt>
                <c:pt idx="175">
                  <c:v>6.1409261903758479</c:v>
                </c:pt>
                <c:pt idx="176">
                  <c:v>6.1258925781268072</c:v>
                </c:pt>
                <c:pt idx="177">
                  <c:v>6.1205751085666575</c:v>
                </c:pt>
                <c:pt idx="178">
                  <c:v>6.1389201807189195</c:v>
                </c:pt>
                <c:pt idx="179">
                  <c:v>6.1234347149352955</c:v>
                </c:pt>
                <c:pt idx="180">
                  <c:v>6.1273429327809987</c:v>
                </c:pt>
                <c:pt idx="181">
                  <c:v>6.1342420612689468</c:v>
                </c:pt>
                <c:pt idx="182">
                  <c:v>6.103563802736236</c:v>
                </c:pt>
                <c:pt idx="183">
                  <c:v>6.0792599965591885</c:v>
                </c:pt>
                <c:pt idx="184">
                  <c:v>6.0481925844114111</c:v>
                </c:pt>
                <c:pt idx="185">
                  <c:v>6.033758757679899</c:v>
                </c:pt>
                <c:pt idx="186">
                  <c:v>6.0077992313059152</c:v>
                </c:pt>
                <c:pt idx="187">
                  <c:v>5.9835642833126643</c:v>
                </c:pt>
                <c:pt idx="188">
                  <c:v>6.0061308073328297</c:v>
                </c:pt>
                <c:pt idx="189">
                  <c:v>5.9956341852851063</c:v>
                </c:pt>
                <c:pt idx="190">
                  <c:v>6.0136409182480071</c:v>
                </c:pt>
                <c:pt idx="191">
                  <c:v>6.0071011724735053</c:v>
                </c:pt>
                <c:pt idx="192">
                  <c:v>5.9970389925452681</c:v>
                </c:pt>
                <c:pt idx="193">
                  <c:v>6.0188577422577509</c:v>
                </c:pt>
                <c:pt idx="194">
                  <c:v>6.033279163480386</c:v>
                </c:pt>
                <c:pt idx="195">
                  <c:v>6.0589557643471368</c:v>
                </c:pt>
                <c:pt idx="196">
                  <c:v>6.0641050602889823</c:v>
                </c:pt>
                <c:pt idx="197">
                  <c:v>6.0683257453022534</c:v>
                </c:pt>
                <c:pt idx="198">
                  <c:v>6.0540345635349606</c:v>
                </c:pt>
                <c:pt idx="199">
                  <c:v>6.0819077892976363</c:v>
                </c:pt>
                <c:pt idx="200">
                  <c:v>6.0962903578994636</c:v>
                </c:pt>
                <c:pt idx="201">
                  <c:v>6.1013217041754499</c:v>
                </c:pt>
                <c:pt idx="202">
                  <c:v>6.1075310543206864</c:v>
                </c:pt>
                <c:pt idx="203">
                  <c:v>6.1205221983869107</c:v>
                </c:pt>
                <c:pt idx="204">
                  <c:v>6.1263492707878786</c:v>
                </c:pt>
                <c:pt idx="205">
                  <c:v>6.1271061803371811</c:v>
                </c:pt>
                <c:pt idx="206">
                  <c:v>6.129611512805595</c:v>
                </c:pt>
                <c:pt idx="207">
                  <c:v>6.1297928516991851</c:v>
                </c:pt>
                <c:pt idx="208">
                  <c:v>6.1206290654973836</c:v>
                </c:pt>
                <c:pt idx="209">
                  <c:v>6.1206042561312506</c:v>
                </c:pt>
                <c:pt idx="210">
                  <c:v>6.1373355856740996</c:v>
                </c:pt>
                <c:pt idx="211">
                  <c:v>6.1497083756170978</c:v>
                </c:pt>
                <c:pt idx="212">
                  <c:v>6.1558654138214175</c:v>
                </c:pt>
                <c:pt idx="213">
                  <c:v>6.1426354761041635</c:v>
                </c:pt>
                <c:pt idx="214">
                  <c:v>6.162130357559267</c:v>
                </c:pt>
                <c:pt idx="215">
                  <c:v>6.153848393170791</c:v>
                </c:pt>
                <c:pt idx="216">
                  <c:v>6.1419970386785812</c:v>
                </c:pt>
                <c:pt idx="217">
                  <c:v>6.1479034371877139</c:v>
                </c:pt>
                <c:pt idx="218">
                  <c:v>6.1356704642537983</c:v>
                </c:pt>
                <c:pt idx="219">
                  <c:v>6.1404754504891912</c:v>
                </c:pt>
                <c:pt idx="220">
                  <c:v>6.1347928567896322</c:v>
                </c:pt>
                <c:pt idx="221">
                  <c:v>6.1575617597209895</c:v>
                </c:pt>
                <c:pt idx="222">
                  <c:v>6.1558993947026162</c:v>
                </c:pt>
                <c:pt idx="223">
                  <c:v>6.1459018361342048</c:v>
                </c:pt>
                <c:pt idx="224">
                  <c:v>6.1248160931394713</c:v>
                </c:pt>
                <c:pt idx="225">
                  <c:v>6.1075266256454048</c:v>
                </c:pt>
                <c:pt idx="226">
                  <c:v>6.1011436719448433</c:v>
                </c:pt>
                <c:pt idx="227">
                  <c:v>6.0981078323690214</c:v>
                </c:pt>
                <c:pt idx="228">
                  <c:v>6.1110351110169381</c:v>
                </c:pt>
                <c:pt idx="229">
                  <c:v>6.124915280514962</c:v>
                </c:pt>
                <c:pt idx="230">
                  <c:v>6.1222998154482795</c:v>
                </c:pt>
                <c:pt idx="231">
                  <c:v>6.1174724437368164</c:v>
                </c:pt>
                <c:pt idx="232">
                  <c:v>6.1144418209938962</c:v>
                </c:pt>
                <c:pt idx="233">
                  <c:v>6.1354773086363581</c:v>
                </c:pt>
                <c:pt idx="234">
                  <c:v>6.135235394384666</c:v>
                </c:pt>
                <c:pt idx="235">
                  <c:v>6.1470543493100731</c:v>
                </c:pt>
                <c:pt idx="236">
                  <c:v>6.127411100673446</c:v>
                </c:pt>
                <c:pt idx="237">
                  <c:v>6.1259988469650333</c:v>
                </c:pt>
                <c:pt idx="238">
                  <c:v>6.1345100483655184</c:v>
                </c:pt>
                <c:pt idx="239">
                  <c:v>6.1463271468687282</c:v>
                </c:pt>
                <c:pt idx="240">
                  <c:v>6.1318541695252717</c:v>
                </c:pt>
                <c:pt idx="241">
                  <c:v>6.1255306329514196</c:v>
                </c:pt>
                <c:pt idx="242">
                  <c:v>6.1168418430890492</c:v>
                </c:pt>
                <c:pt idx="243">
                  <c:v>6.1296926694222797</c:v>
                </c:pt>
                <c:pt idx="244">
                  <c:v>6.1287148803906106</c:v>
                </c:pt>
                <c:pt idx="245">
                  <c:v>6.1482276305098411</c:v>
                </c:pt>
                <c:pt idx="246">
                  <c:v>6.1673243113512912</c:v>
                </c:pt>
                <c:pt idx="247">
                  <c:v>6.1569307821101411</c:v>
                </c:pt>
                <c:pt idx="248">
                  <c:v>6.1439643045751611</c:v>
                </c:pt>
                <c:pt idx="249">
                  <c:v>6.1475526610640552</c:v>
                </c:pt>
                <c:pt idx="250">
                  <c:v>6.1521410676587882</c:v>
                </c:pt>
                <c:pt idx="251">
                  <c:v>6.1659532049819257</c:v>
                </c:pt>
                <c:pt idx="252">
                  <c:v>6.1873005835893045</c:v>
                </c:pt>
                <c:pt idx="253">
                  <c:v>6.1970884532122863</c:v>
                </c:pt>
                <c:pt idx="254">
                  <c:v>6.1957969927113883</c:v>
                </c:pt>
                <c:pt idx="255">
                  <c:v>6.1874398224993907</c:v>
                </c:pt>
                <c:pt idx="256">
                  <c:v>6.184472277697032</c:v>
                </c:pt>
                <c:pt idx="257">
                  <c:v>6.1826847841583268</c:v>
                </c:pt>
                <c:pt idx="258">
                  <c:v>6.172984009708034</c:v>
                </c:pt>
                <c:pt idx="259">
                  <c:v>6.1721940946959242</c:v>
                </c:pt>
                <c:pt idx="260">
                  <c:v>6.1816700793328954</c:v>
                </c:pt>
                <c:pt idx="261">
                  <c:v>6.18799996050309</c:v>
                </c:pt>
                <c:pt idx="262">
                  <c:v>6.17699413921697</c:v>
                </c:pt>
                <c:pt idx="263">
                  <c:v>6.1632649587083836</c:v>
                </c:pt>
                <c:pt idx="264">
                  <c:v>6.148981035747636</c:v>
                </c:pt>
                <c:pt idx="265">
                  <c:v>6.1439559288688583</c:v>
                </c:pt>
                <c:pt idx="266">
                  <c:v>6.1309396028191276</c:v>
                </c:pt>
                <c:pt idx="267">
                  <c:v>6.1298138436486296</c:v>
                </c:pt>
                <c:pt idx="268">
                  <c:v>6.1285741106576586</c:v>
                </c:pt>
                <c:pt idx="269">
                  <c:v>6.1190712449210514</c:v>
                </c:pt>
                <c:pt idx="270">
                  <c:v>6.1149347838526777</c:v>
                </c:pt>
                <c:pt idx="271">
                  <c:v>6.1199418862433426</c:v>
                </c:pt>
                <c:pt idx="272">
                  <c:v>6.1268103377090455</c:v>
                </c:pt>
                <c:pt idx="273">
                  <c:v>6.118195884109392</c:v>
                </c:pt>
                <c:pt idx="274">
                  <c:v>6.1307986835720643</c:v>
                </c:pt>
                <c:pt idx="275">
                  <c:v>6.1266918611336179</c:v>
                </c:pt>
                <c:pt idx="276">
                  <c:v>6.1300081187734552</c:v>
                </c:pt>
                <c:pt idx="277">
                  <c:v>6.1310585642669873</c:v>
                </c:pt>
                <c:pt idx="278">
                  <c:v>6.1120657679190309</c:v>
                </c:pt>
                <c:pt idx="279">
                  <c:v>6.1030825232554573</c:v>
                </c:pt>
                <c:pt idx="280">
                  <c:v>6.0962820991354993</c:v>
                </c:pt>
                <c:pt idx="281">
                  <c:v>6.083151709724854</c:v>
                </c:pt>
                <c:pt idx="282">
                  <c:v>6.0848262285278665</c:v>
                </c:pt>
                <c:pt idx="283">
                  <c:v>6.0895792831966524</c:v>
                </c:pt>
                <c:pt idx="284">
                  <c:v>6.0947456859234226</c:v>
                </c:pt>
                <c:pt idx="285">
                  <c:v>6.1068485422848697</c:v>
                </c:pt>
                <c:pt idx="286">
                  <c:v>6.0927141231562212</c:v>
                </c:pt>
                <c:pt idx="287">
                  <c:v>6.0922699367534499</c:v>
                </c:pt>
                <c:pt idx="288">
                  <c:v>6.0904830871372369</c:v>
                </c:pt>
                <c:pt idx="289">
                  <c:v>6.1088786632342726</c:v>
                </c:pt>
                <c:pt idx="290">
                  <c:v>6.1182543398774705</c:v>
                </c:pt>
                <c:pt idx="291">
                  <c:v>6.1116024358954562</c:v>
                </c:pt>
                <c:pt idx="292">
                  <c:v>6.0932483932657693</c:v>
                </c:pt>
                <c:pt idx="293">
                  <c:v>6.0813003710187621</c:v>
                </c:pt>
                <c:pt idx="294">
                  <c:v>6.0790976231762679</c:v>
                </c:pt>
                <c:pt idx="295">
                  <c:v>6.0871164721298978</c:v>
                </c:pt>
                <c:pt idx="296">
                  <c:v>6.0934198627041321</c:v>
                </c:pt>
                <c:pt idx="297">
                  <c:v>6.103682209877519</c:v>
                </c:pt>
                <c:pt idx="298">
                  <c:v>6.0973480307820251</c:v>
                </c:pt>
                <c:pt idx="299">
                  <c:v>6.107392858010809</c:v>
                </c:pt>
                <c:pt idx="300">
                  <c:v>6.1066238628071128</c:v>
                </c:pt>
                <c:pt idx="301">
                  <c:v>6.1108966250859416</c:v>
                </c:pt>
                <c:pt idx="302">
                  <c:v>6.109313829790282</c:v>
                </c:pt>
                <c:pt idx="303">
                  <c:v>6.1034240957005519</c:v>
                </c:pt>
                <c:pt idx="304">
                  <c:v>6.0980176271759481</c:v>
                </c:pt>
                <c:pt idx="305">
                  <c:v>6.1070278248515226</c:v>
                </c:pt>
                <c:pt idx="306">
                  <c:v>6.1096910018202424</c:v>
                </c:pt>
                <c:pt idx="307">
                  <c:v>6.1078101708177295</c:v>
                </c:pt>
                <c:pt idx="308">
                  <c:v>6.1110101569354693</c:v>
                </c:pt>
                <c:pt idx="309">
                  <c:v>6.1069348260390708</c:v>
                </c:pt>
                <c:pt idx="310">
                  <c:v>6.1016557557541296</c:v>
                </c:pt>
                <c:pt idx="311">
                  <c:v>6.114432914285044</c:v>
                </c:pt>
                <c:pt idx="312">
                  <c:v>6.1056303957603015</c:v>
                </c:pt>
                <c:pt idx="313">
                  <c:v>6.1183113437077505</c:v>
                </c:pt>
                <c:pt idx="314">
                  <c:v>6.1032745478457162</c:v>
                </c:pt>
                <c:pt idx="315">
                  <c:v>6.1031333166165593</c:v>
                </c:pt>
                <c:pt idx="316">
                  <c:v>6.0993719750179709</c:v>
                </c:pt>
                <c:pt idx="317">
                  <c:v>6.1016992857129786</c:v>
                </c:pt>
                <c:pt idx="318">
                  <c:v>6.1126906354131672</c:v>
                </c:pt>
                <c:pt idx="319">
                  <c:v>6.1221771563975151</c:v>
                </c:pt>
                <c:pt idx="320">
                  <c:v>6.1312642150514485</c:v>
                </c:pt>
                <c:pt idx="321">
                  <c:v>6.1319770185863609</c:v>
                </c:pt>
                <c:pt idx="322">
                  <c:v>6.1422147056904866</c:v>
                </c:pt>
                <c:pt idx="323">
                  <c:v>6.1286541522322011</c:v>
                </c:pt>
                <c:pt idx="324">
                  <c:v>6.1416484968404239</c:v>
                </c:pt>
                <c:pt idx="325">
                  <c:v>6.1483530564415609</c:v>
                </c:pt>
                <c:pt idx="326">
                  <c:v>6.149579036535096</c:v>
                </c:pt>
                <c:pt idx="327">
                  <c:v>6.1570725689038408</c:v>
                </c:pt>
                <c:pt idx="328">
                  <c:v>6.1524542485744504</c:v>
                </c:pt>
                <c:pt idx="329">
                  <c:v>6.1681141850820556</c:v>
                </c:pt>
                <c:pt idx="330">
                  <c:v>6.1703956309866212</c:v>
                </c:pt>
                <c:pt idx="331">
                  <c:v>6.180677723527765</c:v>
                </c:pt>
                <c:pt idx="332">
                  <c:v>6.1784352289353475</c:v>
                </c:pt>
                <c:pt idx="333">
                  <c:v>6.1761035581872044</c:v>
                </c:pt>
                <c:pt idx="334">
                  <c:v>6.1778503814454817</c:v>
                </c:pt>
                <c:pt idx="335">
                  <c:v>6.1734553102018879</c:v>
                </c:pt>
                <c:pt idx="336">
                  <c:v>6.1752725200523386</c:v>
                </c:pt>
                <c:pt idx="337">
                  <c:v>6.16896652142478</c:v>
                </c:pt>
                <c:pt idx="338">
                  <c:v>6.1638570341156926</c:v>
                </c:pt>
                <c:pt idx="339">
                  <c:v>6.1654813183393768</c:v>
                </c:pt>
                <c:pt idx="340">
                  <c:v>6.1792880729585065</c:v>
                </c:pt>
                <c:pt idx="341">
                  <c:v>6.1785936995941224</c:v>
                </c:pt>
                <c:pt idx="342">
                  <c:v>6.1796198782673981</c:v>
                </c:pt>
                <c:pt idx="343">
                  <c:v>6.1814519816597553</c:v>
                </c:pt>
                <c:pt idx="344">
                  <c:v>6.1794833126600377</c:v>
                </c:pt>
                <c:pt idx="345">
                  <c:v>6.1823219144144774</c:v>
                </c:pt>
                <c:pt idx="346">
                  <c:v>6.1800232284847354</c:v>
                </c:pt>
                <c:pt idx="347">
                  <c:v>6.1848864842569498</c:v>
                </c:pt>
                <c:pt idx="348">
                  <c:v>6.1881677060139877</c:v>
                </c:pt>
                <c:pt idx="349">
                  <c:v>6.1937350106839615</c:v>
                </c:pt>
                <c:pt idx="350">
                  <c:v>6.2078570063623166</c:v>
                </c:pt>
                <c:pt idx="351">
                  <c:v>6.1943418008851925</c:v>
                </c:pt>
                <c:pt idx="352">
                  <c:v>6.1911815490739004</c:v>
                </c:pt>
                <c:pt idx="353">
                  <c:v>6.1930182105422826</c:v>
                </c:pt>
                <c:pt idx="354">
                  <c:v>6.2070726609527966</c:v>
                </c:pt>
                <c:pt idx="355">
                  <c:v>6.2218457940022889</c:v>
                </c:pt>
                <c:pt idx="356">
                  <c:v>6.216938350165198</c:v>
                </c:pt>
                <c:pt idx="357">
                  <c:v>6.2178095526157486</c:v>
                </c:pt>
                <c:pt idx="358">
                  <c:v>6.2099911453856205</c:v>
                </c:pt>
                <c:pt idx="359">
                  <c:v>6.2083648001681846</c:v>
                </c:pt>
                <c:pt idx="360">
                  <c:v>6.2188498152524314</c:v>
                </c:pt>
                <c:pt idx="361">
                  <c:v>6.2179666883662863</c:v>
                </c:pt>
                <c:pt idx="362">
                  <c:v>6.2162894394954096</c:v>
                </c:pt>
                <c:pt idx="363">
                  <c:v>6.2157634121068019</c:v>
                </c:pt>
                <c:pt idx="364">
                  <c:v>6.216070148390112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D9-4768-9757-9E82E1188E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8557864"/>
        <c:axId val="628549224"/>
      </c:lineChart>
      <c:catAx>
        <c:axId val="6285578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28549224"/>
        <c:crosses val="autoZero"/>
        <c:auto val="1"/>
        <c:lblAlgn val="ctr"/>
        <c:lblOffset val="100"/>
        <c:noMultiLvlLbl val="0"/>
      </c:catAx>
      <c:valAx>
        <c:axId val="628549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28557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15</xdr:col>
      <xdr:colOff>238124</xdr:colOff>
      <xdr:row>14</xdr:row>
      <xdr:rowOff>76200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4119B56F-B668-461A-B1EB-E2EDA8C3E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6B6C90-7199-4BEF-AD82-463A111E9311}">
  <dimension ref="A1:F370"/>
  <sheetViews>
    <sheetView workbookViewId="0">
      <selection activeCell="D2" sqref="D2"/>
    </sheetView>
  </sheetViews>
  <sheetFormatPr defaultRowHeight="15" x14ac:dyDescent="0.25"/>
  <cols>
    <col min="1" max="1" width="11.7109375" customWidth="1"/>
    <col min="2" max="3" width="12" bestFit="1" customWidth="1"/>
    <col min="4" max="4" width="10.5703125" bestFit="1" customWidth="1"/>
    <col min="5" max="5" width="25.28515625" customWidth="1"/>
    <col min="6" max="6" width="18.7109375" customWidth="1"/>
  </cols>
  <sheetData>
    <row r="1" spans="1:6" x14ac:dyDescent="0.25">
      <c r="A1" s="3" t="s">
        <v>0</v>
      </c>
      <c r="B1" s="5" t="s">
        <v>1</v>
      </c>
      <c r="C1" s="5" t="s">
        <v>10</v>
      </c>
      <c r="D1" s="5">
        <v>10</v>
      </c>
    </row>
    <row r="2" spans="1:6" x14ac:dyDescent="0.25">
      <c r="A2" s="3"/>
      <c r="B2" s="5" t="s">
        <v>2</v>
      </c>
      <c r="C2" s="5" t="s">
        <v>11</v>
      </c>
      <c r="D2" s="5">
        <v>15</v>
      </c>
    </row>
    <row r="3" spans="1:6" x14ac:dyDescent="0.25">
      <c r="A3" s="4" t="s">
        <v>3</v>
      </c>
      <c r="B3" s="4"/>
      <c r="C3" s="5" t="s">
        <v>12</v>
      </c>
      <c r="D3" s="5">
        <v>365</v>
      </c>
    </row>
    <row r="5" spans="1:6" ht="42" customHeight="1" x14ac:dyDescent="0.25">
      <c r="A5" s="2" t="s">
        <v>4</v>
      </c>
      <c r="B5" s="2" t="s">
        <v>5</v>
      </c>
      <c r="C5" s="2" t="s">
        <v>6</v>
      </c>
      <c r="D5" s="2" t="s">
        <v>7</v>
      </c>
      <c r="E5" s="2" t="s">
        <v>8</v>
      </c>
      <c r="F5" s="2" t="s">
        <v>9</v>
      </c>
    </row>
    <row r="6" spans="1:6" x14ac:dyDescent="0.25">
      <c r="A6" s="1">
        <v>1</v>
      </c>
      <c r="B6" s="1">
        <f ca="1">RAND()*$D$1</f>
        <v>2.4266711749420775</v>
      </c>
      <c r="C6" s="1">
        <f ca="1">RAND()*$D$2</f>
        <v>4.8421919193351819</v>
      </c>
      <c r="D6" s="1">
        <f ca="1">MIN(B6:C6)</f>
        <v>2.4266711749420775</v>
      </c>
      <c r="E6" s="1">
        <f ca="1">SUM($B$6:C6)/(2*A6)</f>
        <v>3.6344315471386297</v>
      </c>
      <c r="F6" s="1">
        <f ca="1">SUM($E$6:E6)/A6</f>
        <v>3.6344315471386297</v>
      </c>
    </row>
    <row r="7" spans="1:6" x14ac:dyDescent="0.25">
      <c r="A7" s="1">
        <v>2</v>
      </c>
      <c r="B7" s="1">
        <f t="shared" ref="B7:B70" ca="1" si="0">RAND()*$D$1</f>
        <v>5.9634116447633909</v>
      </c>
      <c r="C7" s="1">
        <f t="shared" ref="C7:C70" ca="1" si="1">RAND()*$D$2</f>
        <v>13.035965928168807</v>
      </c>
      <c r="D7" s="1">
        <f t="shared" ref="D7:D70" ca="1" si="2">MIN(B7:C7)</f>
        <v>5.9634116447633909</v>
      </c>
      <c r="E7" s="1">
        <f ca="1">SUM($B$6:C7)/(2*A7)</f>
        <v>6.5670601668023645</v>
      </c>
      <c r="F7" s="1">
        <f ca="1">SUM($E$6:E7)/A7</f>
        <v>5.1007458569704971</v>
      </c>
    </row>
    <row r="8" spans="1:6" x14ac:dyDescent="0.25">
      <c r="A8" s="1">
        <v>3</v>
      </c>
      <c r="B8" s="1">
        <f t="shared" ca="1" si="0"/>
        <v>9.4603983374517036</v>
      </c>
      <c r="C8" s="1">
        <f t="shared" ca="1" si="1"/>
        <v>7.262390793183898</v>
      </c>
      <c r="D8" s="1">
        <f t="shared" ca="1" si="2"/>
        <v>7.262390793183898</v>
      </c>
      <c r="E8" s="1">
        <f ca="1">SUM($B$6:C8)/(2*A8)</f>
        <v>7.1651716329741761</v>
      </c>
      <c r="F8" s="1">
        <f ca="1">SUM($E$6:E8)/A8</f>
        <v>5.7888877823050571</v>
      </c>
    </row>
    <row r="9" spans="1:6" x14ac:dyDescent="0.25">
      <c r="A9" s="1">
        <v>4</v>
      </c>
      <c r="B9" s="1">
        <f t="shared" ca="1" si="0"/>
        <v>5.9595140743749138</v>
      </c>
      <c r="C9" s="1">
        <f t="shared" ca="1" si="1"/>
        <v>0.96852975702297894</v>
      </c>
      <c r="D9" s="1">
        <f t="shared" ca="1" si="2"/>
        <v>0.96852975702297894</v>
      </c>
      <c r="E9" s="1">
        <f ca="1">SUM($B$6:C9)/(2*A9)</f>
        <v>6.239884203655369</v>
      </c>
      <c r="F9" s="1">
        <f ca="1">SUM($E$6:E9)/A9</f>
        <v>5.9016368876426348</v>
      </c>
    </row>
    <row r="10" spans="1:6" x14ac:dyDescent="0.25">
      <c r="A10" s="1">
        <v>5</v>
      </c>
      <c r="B10" s="1">
        <f t="shared" ca="1" si="0"/>
        <v>4.4589998193000957</v>
      </c>
      <c r="C10" s="1">
        <f t="shared" ca="1" si="1"/>
        <v>6.4748481017791315</v>
      </c>
      <c r="D10" s="1">
        <f t="shared" ca="1" si="2"/>
        <v>4.4589998193000957</v>
      </c>
      <c r="E10" s="1">
        <f ca="1">SUM($B$6:C10)/(2*A10)</f>
        <v>6.0852921550322181</v>
      </c>
      <c r="F10" s="1">
        <f ca="1">SUM($E$6:E10)/A10</f>
        <v>5.9383679411205517</v>
      </c>
    </row>
    <row r="11" spans="1:6" x14ac:dyDescent="0.25">
      <c r="A11" s="1">
        <v>6</v>
      </c>
      <c r="B11" s="1">
        <f t="shared" ca="1" si="0"/>
        <v>8.0112295937819571</v>
      </c>
      <c r="C11" s="1">
        <f t="shared" ca="1" si="1"/>
        <v>3.9764369126282233</v>
      </c>
      <c r="D11" s="1">
        <f t="shared" ca="1" si="2"/>
        <v>3.9764369126282233</v>
      </c>
      <c r="E11" s="1">
        <f ca="1">SUM($B$6:C11)/(2*A11)</f>
        <v>6.0700490047276974</v>
      </c>
      <c r="F11" s="1">
        <f ca="1">SUM($E$6:E11)/A11</f>
        <v>5.9603147850550755</v>
      </c>
    </row>
    <row r="12" spans="1:6" x14ac:dyDescent="0.25">
      <c r="A12" s="1">
        <v>7</v>
      </c>
      <c r="B12" s="1">
        <f t="shared" ca="1" si="0"/>
        <v>5.9359409527938549</v>
      </c>
      <c r="C12" s="1">
        <f t="shared" ca="1" si="1"/>
        <v>6.7608445614834283</v>
      </c>
      <c r="D12" s="1">
        <f t="shared" ca="1" si="2"/>
        <v>5.9359409527938549</v>
      </c>
      <c r="E12" s="1">
        <f ca="1">SUM($B$6:C12)/(2*A12)</f>
        <v>6.1098123979292609</v>
      </c>
      <c r="F12" s="1">
        <f ca="1">SUM($E$6:E12)/A12</f>
        <v>5.9816715868942447</v>
      </c>
    </row>
    <row r="13" spans="1:6" x14ac:dyDescent="0.25">
      <c r="A13" s="1">
        <v>8</v>
      </c>
      <c r="B13" s="1">
        <f t="shared" ca="1" si="0"/>
        <v>2.5907279438831332</v>
      </c>
      <c r="C13" s="1">
        <f t="shared" ca="1" si="1"/>
        <v>14.539857193290917</v>
      </c>
      <c r="D13" s="1">
        <f t="shared" ca="1" si="2"/>
        <v>2.5907279438831332</v>
      </c>
      <c r="E13" s="1">
        <f ca="1">SUM($B$6:C13)/(2*A13)</f>
        <v>6.4167474192614815</v>
      </c>
      <c r="F13" s="1">
        <f ca="1">SUM($E$6:E13)/A13</f>
        <v>6.0360560659401497</v>
      </c>
    </row>
    <row r="14" spans="1:6" x14ac:dyDescent="0.25">
      <c r="A14" s="1">
        <v>9</v>
      </c>
      <c r="B14" s="1">
        <f t="shared" ca="1" si="0"/>
        <v>4.9892589902890645</v>
      </c>
      <c r="C14" s="1">
        <f t="shared" ca="1" si="1"/>
        <v>1.2141728150521596</v>
      </c>
      <c r="D14" s="1">
        <f t="shared" ca="1" si="2"/>
        <v>1.2141728150521596</v>
      </c>
      <c r="E14" s="1">
        <f ca="1">SUM($B$6:C14)/(2*A14)</f>
        <v>6.048410584084718</v>
      </c>
      <c r="F14" s="1">
        <f ca="1">SUM($E$6:E14)/A14</f>
        <v>6.0374287901784349</v>
      </c>
    </row>
    <row r="15" spans="1:6" x14ac:dyDescent="0.25">
      <c r="A15" s="1">
        <v>10</v>
      </c>
      <c r="B15" s="1">
        <f t="shared" ca="1" si="0"/>
        <v>2.2050944670617225</v>
      </c>
      <c r="C15" s="1">
        <f t="shared" ca="1" si="1"/>
        <v>4.7552223670921956</v>
      </c>
      <c r="D15" s="1">
        <f t="shared" ca="1" si="2"/>
        <v>2.2050944670617225</v>
      </c>
      <c r="E15" s="1">
        <f ca="1">SUM($B$6:C15)/(2*A15)</f>
        <v>5.7915853673839433</v>
      </c>
      <c r="F15" s="1">
        <f ca="1">SUM($E$6:E15)/A15</f>
        <v>6.0128444478989866</v>
      </c>
    </row>
    <row r="16" spans="1:6" x14ac:dyDescent="0.25">
      <c r="A16" s="1">
        <v>11</v>
      </c>
      <c r="B16" s="1">
        <f t="shared" ca="1" si="0"/>
        <v>1.932849961513099</v>
      </c>
      <c r="C16" s="1">
        <f t="shared" ca="1" si="1"/>
        <v>3.4710230760378931</v>
      </c>
      <c r="D16" s="1">
        <f t="shared" ca="1" si="2"/>
        <v>1.932849961513099</v>
      </c>
      <c r="E16" s="1">
        <f ca="1">SUM($B$6:C16)/(2*A16)</f>
        <v>5.5107081993286293</v>
      </c>
      <c r="F16" s="1">
        <f ca="1">SUM($E$6:E16)/A16</f>
        <v>5.967195698028954</v>
      </c>
    </row>
    <row r="17" spans="1:6" x14ac:dyDescent="0.25">
      <c r="A17" s="1">
        <v>12</v>
      </c>
      <c r="B17" s="1">
        <f t="shared" ca="1" si="0"/>
        <v>5.7057932599416175</v>
      </c>
      <c r="C17" s="1">
        <f t="shared" ca="1" si="1"/>
        <v>12.401471530305507</v>
      </c>
      <c r="D17" s="1">
        <f t="shared" ca="1" si="2"/>
        <v>5.7057932599416175</v>
      </c>
      <c r="E17" s="1">
        <f ca="1">SUM($B$6:C17)/(2*A17)</f>
        <v>5.8059518823115406</v>
      </c>
      <c r="F17" s="1">
        <f ca="1">SUM($E$6:E17)/A17</f>
        <v>5.9537587133858372</v>
      </c>
    </row>
    <row r="18" spans="1:6" x14ac:dyDescent="0.25">
      <c r="A18" s="1">
        <v>13</v>
      </c>
      <c r="B18" s="1">
        <f t="shared" ca="1" si="0"/>
        <v>6.7242536039530556</v>
      </c>
      <c r="C18" s="1">
        <f t="shared" ca="1" si="1"/>
        <v>12.465152193823366</v>
      </c>
      <c r="D18" s="1">
        <f t="shared" ca="1" si="2"/>
        <v>6.7242536039530556</v>
      </c>
      <c r="E18" s="1">
        <f ca="1">SUM($B$6:C18)/(2*A18)</f>
        <v>6.0973942682020539</v>
      </c>
      <c r="F18" s="1">
        <f ca="1">SUM($E$6:E18)/A18</f>
        <v>5.9648076022178538</v>
      </c>
    </row>
    <row r="19" spans="1:6" x14ac:dyDescent="0.25">
      <c r="A19" s="1">
        <v>14</v>
      </c>
      <c r="B19" s="1">
        <f t="shared" ca="1" si="0"/>
        <v>2.5489979544156727</v>
      </c>
      <c r="C19" s="1">
        <f t="shared" ca="1" si="1"/>
        <v>12.652428741243302</v>
      </c>
      <c r="D19" s="1">
        <f t="shared" ca="1" si="2"/>
        <v>2.5489979544156727</v>
      </c>
      <c r="E19" s="1">
        <f ca="1">SUM($B$6:C19)/(2*A19)</f>
        <v>6.2047742024611576</v>
      </c>
      <c r="F19" s="1">
        <f ca="1">SUM($E$6:E19)/A19</f>
        <v>5.9819480736638031</v>
      </c>
    </row>
    <row r="20" spans="1:6" x14ac:dyDescent="0.25">
      <c r="A20" s="1">
        <v>15</v>
      </c>
      <c r="B20" s="1">
        <f t="shared" ca="1" si="0"/>
        <v>4.524759918568277</v>
      </c>
      <c r="C20" s="1">
        <f t="shared" ca="1" si="1"/>
        <v>8.5640935809722087</v>
      </c>
      <c r="D20" s="1">
        <f t="shared" ca="1" si="2"/>
        <v>4.524759918568277</v>
      </c>
      <c r="E20" s="1">
        <f ca="1">SUM($B$6:C20)/(2*A20)</f>
        <v>6.2274177056150961</v>
      </c>
      <c r="F20" s="1">
        <f ca="1">SUM($E$6:E20)/A20</f>
        <v>5.9983127157938894</v>
      </c>
    </row>
    <row r="21" spans="1:6" x14ac:dyDescent="0.25">
      <c r="A21" s="1">
        <v>16</v>
      </c>
      <c r="B21" s="1">
        <f t="shared" ca="1" si="0"/>
        <v>4.0318072309472619</v>
      </c>
      <c r="C21" s="1">
        <f t="shared" ca="1" si="1"/>
        <v>0.45428115094111654</v>
      </c>
      <c r="D21" s="1">
        <f t="shared" ca="1" si="2"/>
        <v>0.45428115094111654</v>
      </c>
      <c r="E21" s="1">
        <f ca="1">SUM($B$6:C21)/(2*A21)</f>
        <v>5.9783943609481645</v>
      </c>
      <c r="F21" s="1">
        <f ca="1">SUM($E$6:E21)/A21</f>
        <v>5.9970678186160313</v>
      </c>
    </row>
    <row r="22" spans="1:6" x14ac:dyDescent="0.25">
      <c r="A22" s="1">
        <v>17</v>
      </c>
      <c r="B22" s="1">
        <f t="shared" ca="1" si="0"/>
        <v>8.3340534585219679</v>
      </c>
      <c r="C22" s="1">
        <f t="shared" ca="1" si="1"/>
        <v>5.2674915331979761</v>
      </c>
      <c r="D22" s="1">
        <f t="shared" ca="1" si="2"/>
        <v>5.2674915331979761</v>
      </c>
      <c r="E22" s="1">
        <f ca="1">SUM($B$6:C22)/(2*A22)</f>
        <v>6.0267695453547416</v>
      </c>
      <c r="F22" s="1">
        <f ca="1">SUM($E$6:E22)/A22</f>
        <v>5.9988149790124261</v>
      </c>
    </row>
    <row r="23" spans="1:6" x14ac:dyDescent="0.25">
      <c r="A23" s="1">
        <v>18</v>
      </c>
      <c r="B23" s="1">
        <f t="shared" ca="1" si="0"/>
        <v>4.1757833983079742</v>
      </c>
      <c r="C23" s="1">
        <f t="shared" ca="1" si="1"/>
        <v>6.7705832709868048</v>
      </c>
      <c r="D23" s="1">
        <f t="shared" ca="1" si="2"/>
        <v>4.1757833983079742</v>
      </c>
      <c r="E23" s="1">
        <f ca="1">SUM($B$6:C23)/(2*A23)</f>
        <v>5.9960147558709993</v>
      </c>
      <c r="F23" s="1">
        <f ca="1">SUM($E$6:E23)/A23</f>
        <v>5.9986594110601246</v>
      </c>
    </row>
    <row r="24" spans="1:6" x14ac:dyDescent="0.25">
      <c r="A24" s="1">
        <v>19</v>
      </c>
      <c r="B24" s="1">
        <f t="shared" ca="1" si="0"/>
        <v>8.9625081570832776</v>
      </c>
      <c r="C24" s="1">
        <f t="shared" ca="1" si="1"/>
        <v>10.831027271607615</v>
      </c>
      <c r="D24" s="1">
        <f t="shared" ca="1" si="2"/>
        <v>8.9625081570832776</v>
      </c>
      <c r="E24" s="1">
        <f ca="1">SUM($B$6:C24)/(2*A24)</f>
        <v>6.2013175431591279</v>
      </c>
      <c r="F24" s="1">
        <f ca="1">SUM($E$6:E24)/A24</f>
        <v>6.0093256285390195</v>
      </c>
    </row>
    <row r="25" spans="1:6" x14ac:dyDescent="0.25">
      <c r="A25" s="1">
        <v>20</v>
      </c>
      <c r="B25" s="1">
        <f t="shared" ca="1" si="0"/>
        <v>6.1235476020094861</v>
      </c>
      <c r="C25" s="1">
        <f t="shared" ca="1" si="1"/>
        <v>10.2492335084498</v>
      </c>
      <c r="D25" s="1">
        <f t="shared" ca="1" si="2"/>
        <v>6.1235476020094861</v>
      </c>
      <c r="E25" s="1">
        <f ca="1">SUM($B$6:C25)/(2*A25)</f>
        <v>6.3005711937626545</v>
      </c>
      <c r="F25" s="1">
        <f ca="1">SUM($E$6:E25)/A25</f>
        <v>6.0238879068002014</v>
      </c>
    </row>
    <row r="26" spans="1:6" x14ac:dyDescent="0.25">
      <c r="A26" s="1">
        <v>21</v>
      </c>
      <c r="B26" s="1">
        <f t="shared" ca="1" si="0"/>
        <v>8.1062858629991101</v>
      </c>
      <c r="C26" s="1">
        <f t="shared" ca="1" si="1"/>
        <v>13.890591888415692</v>
      </c>
      <c r="D26" s="1">
        <f t="shared" ca="1" si="2"/>
        <v>8.1062858629991101</v>
      </c>
      <c r="E26" s="1">
        <f ca="1">SUM($B$6:C26)/(2*A26)</f>
        <v>6.5242791786171672</v>
      </c>
      <c r="F26" s="1">
        <f ca="1">SUM($E$6:E26)/A26</f>
        <v>6.0477160626010091</v>
      </c>
    </row>
    <row r="27" spans="1:6" x14ac:dyDescent="0.25">
      <c r="A27" s="1">
        <v>22</v>
      </c>
      <c r="B27" s="1">
        <f t="shared" ca="1" si="0"/>
        <v>5.1710449596170172</v>
      </c>
      <c r="C27" s="1">
        <f t="shared" ca="1" si="1"/>
        <v>9.6464053864238952</v>
      </c>
      <c r="D27" s="1">
        <f t="shared" ca="1" si="2"/>
        <v>5.1710449596170172</v>
      </c>
      <c r="E27" s="1">
        <f ca="1">SUM($B$6:C27)/(2*A27)</f>
        <v>6.5644812692718624</v>
      </c>
      <c r="F27" s="1">
        <f ca="1">SUM($E$6:E27)/A27</f>
        <v>6.0712053901769565</v>
      </c>
    </row>
    <row r="28" spans="1:6" x14ac:dyDescent="0.25">
      <c r="A28" s="1">
        <v>23</v>
      </c>
      <c r="B28" s="1">
        <f t="shared" ca="1" si="0"/>
        <v>6.75618776232053</v>
      </c>
      <c r="C28" s="1">
        <f t="shared" ca="1" si="1"/>
        <v>7.2807608336242122</v>
      </c>
      <c r="D28" s="1">
        <f t="shared" ca="1" si="2"/>
        <v>6.75618776232053</v>
      </c>
      <c r="E28" s="1">
        <f ca="1">SUM($B$6:C28)/(2*A28)</f>
        <v>6.584220096606666</v>
      </c>
      <c r="F28" s="1">
        <f ca="1">SUM($E$6:E28)/A28</f>
        <v>6.0935103774130308</v>
      </c>
    </row>
    <row r="29" spans="1:6" x14ac:dyDescent="0.25">
      <c r="A29" s="1">
        <v>24</v>
      </c>
      <c r="B29" s="1">
        <f t="shared" ca="1" si="0"/>
        <v>2.7839703307164232E-3</v>
      </c>
      <c r="C29" s="1">
        <f t="shared" ca="1" si="1"/>
        <v>9.2405728235395852</v>
      </c>
      <c r="D29" s="1">
        <f t="shared" ca="1" si="2"/>
        <v>2.7839703307164232E-3</v>
      </c>
      <c r="E29" s="1">
        <f ca="1">SUM($B$6:C29)/(2*A29)</f>
        <v>6.5024475257870193</v>
      </c>
      <c r="F29" s="1">
        <f ca="1">SUM($E$6:E29)/A29</f>
        <v>6.1105494252619463</v>
      </c>
    </row>
    <row r="30" spans="1:6" x14ac:dyDescent="0.25">
      <c r="A30" s="1">
        <v>25</v>
      </c>
      <c r="B30" s="1">
        <f t="shared" ca="1" si="0"/>
        <v>7.0984260861265147</v>
      </c>
      <c r="C30" s="1">
        <f t="shared" ca="1" si="1"/>
        <v>12.629653999157746</v>
      </c>
      <c r="D30" s="1">
        <f t="shared" ca="1" si="2"/>
        <v>7.0984260861265147</v>
      </c>
      <c r="E30" s="1">
        <f ca="1">SUM($B$6:C30)/(2*A30)</f>
        <v>6.6369112264612236</v>
      </c>
      <c r="F30" s="1">
        <f ca="1">SUM($E$6:E30)/A30</f>
        <v>6.1316038973099172</v>
      </c>
    </row>
    <row r="31" spans="1:6" x14ac:dyDescent="0.25">
      <c r="A31" s="1">
        <v>26</v>
      </c>
      <c r="B31" s="1">
        <f t="shared" ca="1" si="0"/>
        <v>3.1070718708827902</v>
      </c>
      <c r="C31" s="1">
        <f t="shared" ca="1" si="1"/>
        <v>10.986691160383554</v>
      </c>
      <c r="D31" s="1">
        <f t="shared" ca="1" si="2"/>
        <v>3.1070718708827902</v>
      </c>
      <c r="E31" s="1">
        <f ca="1">SUM($B$6:C31)/(2*A31)</f>
        <v>6.6526793145062992</v>
      </c>
      <c r="F31" s="1">
        <f ca="1">SUM($E$6:E31)/A31</f>
        <v>6.1516452595097775</v>
      </c>
    </row>
    <row r="32" spans="1:6" x14ac:dyDescent="0.25">
      <c r="A32" s="1">
        <v>27</v>
      </c>
      <c r="B32" s="1">
        <f t="shared" ca="1" si="0"/>
        <v>3.3302410213094156</v>
      </c>
      <c r="C32" s="1">
        <f t="shared" ca="1" si="1"/>
        <v>5.4191172630984061</v>
      </c>
      <c r="D32" s="1">
        <f t="shared" ca="1" si="2"/>
        <v>3.3302410213094156</v>
      </c>
      <c r="E32" s="1">
        <f ca="1">SUM($B$6:C32)/(2*A32)</f>
        <v>6.5683089377543586</v>
      </c>
      <c r="F32" s="1">
        <f ca="1">SUM($E$6:E32)/A32</f>
        <v>6.1670772475929097</v>
      </c>
    </row>
    <row r="33" spans="1:6" x14ac:dyDescent="0.25">
      <c r="A33" s="1">
        <v>28</v>
      </c>
      <c r="B33" s="1">
        <f t="shared" ca="1" si="0"/>
        <v>0.10961624362403666</v>
      </c>
      <c r="C33" s="1">
        <f t="shared" ca="1" si="1"/>
        <v>11.392726306891285</v>
      </c>
      <c r="D33" s="1">
        <f t="shared" ca="1" si="2"/>
        <v>0.10961624362403666</v>
      </c>
      <c r="E33" s="1">
        <f ca="1">SUM($B$6:C33)/(2*A33)</f>
        <v>6.539125449808048</v>
      </c>
      <c r="F33" s="1">
        <f ca="1">SUM($E$6:E33)/A33</f>
        <v>6.1803646833863075</v>
      </c>
    </row>
    <row r="34" spans="1:6" x14ac:dyDescent="0.25">
      <c r="A34" s="1">
        <v>29</v>
      </c>
      <c r="B34" s="1">
        <f t="shared" ca="1" si="0"/>
        <v>8.4245707627513173</v>
      </c>
      <c r="C34" s="1">
        <f t="shared" ca="1" si="1"/>
        <v>12.979266912147633</v>
      </c>
      <c r="D34" s="1">
        <f t="shared" ca="1" si="2"/>
        <v>8.4245707627513173</v>
      </c>
      <c r="E34" s="1">
        <f ca="1">SUM($B$6:C34)/(2*A34)</f>
        <v>6.6826700493818905</v>
      </c>
      <c r="F34" s="1">
        <f ca="1">SUM($E$6:E34)/A34</f>
        <v>6.1976855580758103</v>
      </c>
    </row>
    <row r="35" spans="1:6" x14ac:dyDescent="0.25">
      <c r="A35" s="1">
        <v>30</v>
      </c>
      <c r="B35" s="1">
        <f t="shared" ca="1" si="0"/>
        <v>8.2487095226597482</v>
      </c>
      <c r="C35" s="1">
        <f t="shared" ca="1" si="1"/>
        <v>1.4830879113078399</v>
      </c>
      <c r="D35" s="1">
        <f t="shared" ca="1" si="2"/>
        <v>1.4830879113078399</v>
      </c>
      <c r="E35" s="1">
        <f ca="1">SUM($B$6:C35)/(2*A35)</f>
        <v>6.6221110049686205</v>
      </c>
      <c r="F35" s="1">
        <f ca="1">SUM($E$6:E35)/A35</f>
        <v>6.2118330729722375</v>
      </c>
    </row>
    <row r="36" spans="1:6" x14ac:dyDescent="0.25">
      <c r="A36" s="1">
        <v>31</v>
      </c>
      <c r="B36" s="1">
        <f t="shared" ca="1" si="0"/>
        <v>5.2733534499003412</v>
      </c>
      <c r="C36" s="1">
        <f t="shared" ca="1" si="1"/>
        <v>9.2581437233781543</v>
      </c>
      <c r="D36" s="1">
        <f t="shared" ca="1" si="2"/>
        <v>5.2733534499003412</v>
      </c>
      <c r="E36" s="1">
        <f ca="1">SUM($B$6:C36)/(2*A36)</f>
        <v>6.6428735076031575</v>
      </c>
      <c r="F36" s="1">
        <f ca="1">SUM($E$6:E36)/A36</f>
        <v>6.2257376031216216</v>
      </c>
    </row>
    <row r="37" spans="1:6" x14ac:dyDescent="0.25">
      <c r="A37" s="1">
        <v>32</v>
      </c>
      <c r="B37" s="1">
        <f t="shared" ca="1" si="0"/>
        <v>4.2705492716013795</v>
      </c>
      <c r="C37" s="1">
        <f t="shared" ca="1" si="1"/>
        <v>14.384256973835843</v>
      </c>
      <c r="D37" s="1">
        <f t="shared" ca="1" si="2"/>
        <v>4.2705492716013795</v>
      </c>
      <c r="E37" s="1">
        <f ca="1">SUM($B$6:C37)/(2*A37)</f>
        <v>6.7267650580755154</v>
      </c>
      <c r="F37" s="1">
        <f ca="1">SUM($E$6:E37)/A37</f>
        <v>6.2413947110889314</v>
      </c>
    </row>
    <row r="38" spans="1:6" x14ac:dyDescent="0.25">
      <c r="A38" s="1">
        <v>33</v>
      </c>
      <c r="B38" s="1">
        <f t="shared" ca="1" si="0"/>
        <v>6.2345100645372034</v>
      </c>
      <c r="C38" s="1">
        <f t="shared" ca="1" si="1"/>
        <v>4.2359295506853192</v>
      </c>
      <c r="D38" s="1">
        <f t="shared" ca="1" si="2"/>
        <v>4.2359295506853192</v>
      </c>
      <c r="E38" s="1">
        <f ca="1">SUM($B$6:C38)/(2*A38)</f>
        <v>6.6815667171523563</v>
      </c>
      <c r="F38" s="1">
        <f ca="1">SUM($E$6:E38)/A38</f>
        <v>6.2547332567272171</v>
      </c>
    </row>
    <row r="39" spans="1:6" x14ac:dyDescent="0.25">
      <c r="A39" s="1">
        <v>34</v>
      </c>
      <c r="B39" s="1">
        <f t="shared" ca="1" si="0"/>
        <v>4.2393984446546078</v>
      </c>
      <c r="C39" s="1">
        <f t="shared" ca="1" si="1"/>
        <v>0.73740361768995566</v>
      </c>
      <c r="D39" s="1">
        <f t="shared" ca="1" si="2"/>
        <v>0.73740361768995566</v>
      </c>
      <c r="E39" s="1">
        <f ca="1">SUM($B$6:C39)/(2*A39)</f>
        <v>6.5582383146235301</v>
      </c>
      <c r="F39" s="1">
        <f ca="1">SUM($E$6:E39)/A39</f>
        <v>6.2636598760771083</v>
      </c>
    </row>
    <row r="40" spans="1:6" x14ac:dyDescent="0.25">
      <c r="A40" s="1">
        <v>35</v>
      </c>
      <c r="B40" s="1">
        <f t="shared" ca="1" si="0"/>
        <v>5.9409950029887675</v>
      </c>
      <c r="C40" s="1">
        <f t="shared" ca="1" si="1"/>
        <v>13.725312079003329</v>
      </c>
      <c r="D40" s="1">
        <f t="shared" ca="1" si="2"/>
        <v>5.9409950029887675</v>
      </c>
      <c r="E40" s="1">
        <f ca="1">SUM($B$6:C40)/(2*A40)</f>
        <v>6.6518073210913169</v>
      </c>
      <c r="F40" s="1">
        <f ca="1">SUM($E$6:E40)/A40</f>
        <v>6.2747498030775146</v>
      </c>
    </row>
    <row r="41" spans="1:6" x14ac:dyDescent="0.25">
      <c r="A41" s="1">
        <v>36</v>
      </c>
      <c r="B41" s="1">
        <f t="shared" ca="1" si="0"/>
        <v>0.4822957121517879</v>
      </c>
      <c r="C41" s="1">
        <f t="shared" ca="1" si="1"/>
        <v>10.079018346719167</v>
      </c>
      <c r="D41" s="1">
        <f t="shared" ca="1" si="2"/>
        <v>0.4822957121517879</v>
      </c>
      <c r="E41" s="1">
        <f ca="1">SUM($B$6:C41)/(2*A41)</f>
        <v>6.6137198129897659</v>
      </c>
      <c r="F41" s="1">
        <f ca="1">SUM($E$6:E41)/A41</f>
        <v>6.284165636686188</v>
      </c>
    </row>
    <row r="42" spans="1:6" x14ac:dyDescent="0.25">
      <c r="A42" s="1">
        <v>37</v>
      </c>
      <c r="B42" s="1">
        <f t="shared" ca="1" si="0"/>
        <v>5.535086008542967</v>
      </c>
      <c r="C42" s="1">
        <f t="shared" ca="1" si="1"/>
        <v>6.3542466408944023</v>
      </c>
      <c r="D42" s="1">
        <f t="shared" ca="1" si="2"/>
        <v>5.535086008542967</v>
      </c>
      <c r="E42" s="1">
        <f ca="1">SUM($B$6:C42)/(2*A42)</f>
        <v>6.5956372862797368</v>
      </c>
      <c r="F42" s="1">
        <f ca="1">SUM($E$6:E42)/A42</f>
        <v>6.2925837893779057</v>
      </c>
    </row>
    <row r="43" spans="1:6" x14ac:dyDescent="0.25">
      <c r="A43" s="1">
        <v>38</v>
      </c>
      <c r="B43" s="1">
        <f t="shared" ca="1" si="0"/>
        <v>3.9098384036773339</v>
      </c>
      <c r="C43" s="1">
        <f t="shared" ca="1" si="1"/>
        <v>6.1597372105296779</v>
      </c>
      <c r="D43" s="1">
        <f t="shared" ca="1" si="2"/>
        <v>3.9098384036773339</v>
      </c>
      <c r="E43" s="1">
        <f ca="1">SUM($B$6:C43)/(2*A43)</f>
        <v>6.5545622999856255</v>
      </c>
      <c r="F43" s="1">
        <f ca="1">SUM($E$6:E43)/A43</f>
        <v>6.2994779607096874</v>
      </c>
    </row>
    <row r="44" spans="1:6" x14ac:dyDescent="0.25">
      <c r="A44" s="1">
        <v>39</v>
      </c>
      <c r="B44" s="1">
        <f t="shared" ca="1" si="0"/>
        <v>4.9016322508385146</v>
      </c>
      <c r="C44" s="1">
        <f t="shared" ca="1" si="1"/>
        <v>6.2413687431890672</v>
      </c>
      <c r="D44" s="1">
        <f t="shared" ca="1" si="2"/>
        <v>4.9016322508385146</v>
      </c>
      <c r="E44" s="1">
        <f ca="1">SUM($B$6:C44)/(2*A44)</f>
        <v>6.5293555870889115</v>
      </c>
      <c r="F44" s="1">
        <f ca="1">SUM($E$6:E44)/A44</f>
        <v>6.3053722588219756</v>
      </c>
    </row>
    <row r="45" spans="1:6" x14ac:dyDescent="0.25">
      <c r="A45" s="1">
        <v>40</v>
      </c>
      <c r="B45" s="1">
        <f t="shared" ca="1" si="0"/>
        <v>5.8271087097886163</v>
      </c>
      <c r="C45" s="1">
        <f t="shared" ca="1" si="1"/>
        <v>4.7496701824364829</v>
      </c>
      <c r="D45" s="1">
        <f t="shared" ca="1" si="2"/>
        <v>4.7496701824364829</v>
      </c>
      <c r="E45" s="1">
        <f ca="1">SUM($B$6:C45)/(2*A45)</f>
        <v>6.4983314335645037</v>
      </c>
      <c r="F45" s="1">
        <f ca="1">SUM($E$6:E45)/A45</f>
        <v>6.3101962381905388</v>
      </c>
    </row>
    <row r="46" spans="1:6" x14ac:dyDescent="0.25">
      <c r="A46" s="1">
        <v>41</v>
      </c>
      <c r="B46" s="1">
        <f t="shared" ca="1" si="0"/>
        <v>7.5117726619070071</v>
      </c>
      <c r="C46" s="1">
        <f t="shared" ca="1" si="1"/>
        <v>8.1449454748834516</v>
      </c>
      <c r="D46" s="1">
        <f t="shared" ca="1" si="2"/>
        <v>7.5117726619070071</v>
      </c>
      <c r="E46" s="1">
        <f ca="1">SUM($B$6:C46)/(2*A46)</f>
        <v>6.5307711319750092</v>
      </c>
      <c r="F46" s="1">
        <f ca="1">SUM($E$6:E46)/A46</f>
        <v>6.3155761136486968</v>
      </c>
    </row>
    <row r="47" spans="1:6" x14ac:dyDescent="0.25">
      <c r="A47" s="1">
        <v>42</v>
      </c>
      <c r="B47" s="1">
        <f t="shared" ca="1" si="0"/>
        <v>0.58464169376544528</v>
      </c>
      <c r="C47" s="1">
        <f t="shared" ca="1" si="1"/>
        <v>3.7666781222562946</v>
      </c>
      <c r="D47" s="1">
        <f t="shared" ca="1" si="2"/>
        <v>0.58464169376544528</v>
      </c>
      <c r="E47" s="1">
        <f ca="1">SUM($B$6:C47)/(2*A47)</f>
        <v>6.4270780075949103</v>
      </c>
      <c r="F47" s="1">
        <f ca="1">SUM($E$6:E47)/A47</f>
        <v>6.3182309206474159</v>
      </c>
    </row>
    <row r="48" spans="1:6" x14ac:dyDescent="0.25">
      <c r="A48" s="1">
        <v>43</v>
      </c>
      <c r="B48" s="1">
        <f t="shared" ca="1" si="0"/>
        <v>2.2760198013787569</v>
      </c>
      <c r="C48" s="1">
        <f t="shared" ca="1" si="1"/>
        <v>12.580282521439228</v>
      </c>
      <c r="D48" s="1">
        <f t="shared" ca="1" si="2"/>
        <v>2.2760198013787569</v>
      </c>
      <c r="E48" s="1">
        <f ca="1">SUM($B$6:C48)/(2*A48)</f>
        <v>6.4503587786138423</v>
      </c>
      <c r="F48" s="1">
        <f ca="1">SUM($E$6:E48)/A48</f>
        <v>6.3213036615303562</v>
      </c>
    </row>
    <row r="49" spans="1:6" x14ac:dyDescent="0.25">
      <c r="A49" s="1">
        <v>44</v>
      </c>
      <c r="B49" s="1">
        <f t="shared" ca="1" si="0"/>
        <v>7.4588292513163799</v>
      </c>
      <c r="C49" s="1">
        <f t="shared" ca="1" si="1"/>
        <v>7.8458238456573692</v>
      </c>
      <c r="D49" s="1">
        <f t="shared" ca="1" si="2"/>
        <v>7.4588292513163799</v>
      </c>
      <c r="E49" s="1">
        <f ca="1">SUM($B$6:C49)/(2*A49)</f>
        <v>6.4776762279291384</v>
      </c>
      <c r="F49" s="1">
        <f ca="1">SUM($E$6:E49)/A49</f>
        <v>6.3248575834939649</v>
      </c>
    </row>
    <row r="50" spans="1:6" x14ac:dyDescent="0.25">
      <c r="A50" s="1">
        <v>45</v>
      </c>
      <c r="B50" s="1">
        <f t="shared" ca="1" si="0"/>
        <v>9.7487727731929787</v>
      </c>
      <c r="C50" s="1">
        <f t="shared" ca="1" si="1"/>
        <v>9.9423486085693131</v>
      </c>
      <c r="D50" s="1">
        <f t="shared" ca="1" si="2"/>
        <v>9.7487727731929787</v>
      </c>
      <c r="E50" s="1">
        <f ca="1">SUM($B$6:C50)/(2*A50)</f>
        <v>6.5525181048836281</v>
      </c>
      <c r="F50" s="1">
        <f ca="1">SUM($E$6:E50)/A50</f>
        <v>6.3299167061915123</v>
      </c>
    </row>
    <row r="51" spans="1:6" x14ac:dyDescent="0.25">
      <c r="A51" s="1">
        <v>46</v>
      </c>
      <c r="B51" s="1">
        <f t="shared" ca="1" si="0"/>
        <v>3.2674861771277399</v>
      </c>
      <c r="C51" s="1">
        <f t="shared" ca="1" si="1"/>
        <v>4.2512664390317809</v>
      </c>
      <c r="D51" s="1">
        <f t="shared" ca="1" si="2"/>
        <v>3.2674861771277399</v>
      </c>
      <c r="E51" s="1">
        <f ca="1">SUM($B$6:C51)/(2*A51)</f>
        <v>6.4917976310400647</v>
      </c>
      <c r="F51" s="1">
        <f ca="1">SUM($E$6:E51)/A51</f>
        <v>6.3334358567316986</v>
      </c>
    </row>
    <row r="52" spans="1:6" x14ac:dyDescent="0.25">
      <c r="A52" s="1">
        <v>47</v>
      </c>
      <c r="B52" s="1">
        <f t="shared" ca="1" si="0"/>
        <v>1.1346576223895399</v>
      </c>
      <c r="C52" s="1">
        <f t="shared" ca="1" si="1"/>
        <v>13.444143484508199</v>
      </c>
      <c r="D52" s="1">
        <f t="shared" ca="1" si="2"/>
        <v>1.1346576223895399</v>
      </c>
      <c r="E52" s="1">
        <f ca="1">SUM($B$6:C52)/(2*A52)</f>
        <v>6.508767905984933</v>
      </c>
      <c r="F52" s="1">
        <f ca="1">SUM($E$6:E52)/A52</f>
        <v>6.3371663258647466</v>
      </c>
    </row>
    <row r="53" spans="1:6" x14ac:dyDescent="0.25">
      <c r="A53" s="1">
        <v>48</v>
      </c>
      <c r="B53" s="1">
        <f t="shared" ca="1" si="0"/>
        <v>1.7991398509519252</v>
      </c>
      <c r="C53" s="1">
        <f t="shared" ca="1" si="1"/>
        <v>12.078758742075246</v>
      </c>
      <c r="D53" s="1">
        <f t="shared" ca="1" si="2"/>
        <v>1.7991398509519252</v>
      </c>
      <c r="E53" s="1">
        <f ca="1">SUM($B$6:C53)/(2*A53)</f>
        <v>6.5177300182876143</v>
      </c>
      <c r="F53" s="1">
        <f ca="1">SUM($E$6:E53)/A53</f>
        <v>6.3409280694568899</v>
      </c>
    </row>
    <row r="54" spans="1:6" x14ac:dyDescent="0.25">
      <c r="A54" s="1">
        <v>49</v>
      </c>
      <c r="B54" s="1">
        <f t="shared" ca="1" si="0"/>
        <v>9.8984239071223765</v>
      </c>
      <c r="C54" s="1">
        <f t="shared" ca="1" si="1"/>
        <v>10.961659235635906</v>
      </c>
      <c r="D54" s="1">
        <f t="shared" ca="1" si="2"/>
        <v>9.8984239071223765</v>
      </c>
      <c r="E54" s="1">
        <f ca="1">SUM($B$6:C54)/(2*A54)</f>
        <v>6.5975731112078497</v>
      </c>
      <c r="F54" s="1">
        <f ca="1">SUM($E$6:E54)/A54</f>
        <v>6.3461657233701745</v>
      </c>
    </row>
    <row r="55" spans="1:6" x14ac:dyDescent="0.25">
      <c r="A55" s="1">
        <v>50</v>
      </c>
      <c r="B55" s="1">
        <f t="shared" ca="1" si="0"/>
        <v>3.1283462649276386</v>
      </c>
      <c r="C55" s="1">
        <f t="shared" ca="1" si="1"/>
        <v>9.5691299390356335</v>
      </c>
      <c r="D55" s="1">
        <f t="shared" ca="1" si="2"/>
        <v>3.1283462649276386</v>
      </c>
      <c r="E55" s="1">
        <f ca="1">SUM($B$6:C55)/(2*A55)</f>
        <v>6.5925964110233251</v>
      </c>
      <c r="F55" s="1">
        <f ca="1">SUM($E$6:E55)/A55</f>
        <v>6.3510943371232385</v>
      </c>
    </row>
    <row r="56" spans="1:6" x14ac:dyDescent="0.25">
      <c r="A56" s="1">
        <v>51</v>
      </c>
      <c r="B56" s="1">
        <f t="shared" ca="1" si="0"/>
        <v>1.6507517997344179</v>
      </c>
      <c r="C56" s="1">
        <f t="shared" ca="1" si="1"/>
        <v>12.766415122706796</v>
      </c>
      <c r="D56" s="1">
        <f t="shared" ca="1" si="2"/>
        <v>1.6507517997344179</v>
      </c>
      <c r="E56" s="1">
        <f ca="1">SUM($B$6:C56)/(2*A56)</f>
        <v>6.604674588478173</v>
      </c>
      <c r="F56" s="1">
        <f ca="1">SUM($E$6:E56)/A56</f>
        <v>6.3560664989145117</v>
      </c>
    </row>
    <row r="57" spans="1:6" x14ac:dyDescent="0.25">
      <c r="A57" s="1">
        <v>52</v>
      </c>
      <c r="B57" s="1">
        <f t="shared" ca="1" si="0"/>
        <v>1.7961236058068397</v>
      </c>
      <c r="C57" s="1">
        <f t="shared" ca="1" si="1"/>
        <v>13.048436010059753</v>
      </c>
      <c r="D57" s="1">
        <f t="shared" ca="1" si="2"/>
        <v>1.7961236058068397</v>
      </c>
      <c r="E57" s="1">
        <f ca="1">SUM($B$6:C57)/(2*A57)</f>
        <v>6.6203977657753876</v>
      </c>
      <c r="F57" s="1">
        <f ca="1">SUM($E$6:E57)/A57</f>
        <v>6.361149792507991</v>
      </c>
    </row>
    <row r="58" spans="1:6" x14ac:dyDescent="0.25">
      <c r="A58" s="1">
        <v>53</v>
      </c>
      <c r="B58" s="1">
        <f t="shared" ca="1" si="0"/>
        <v>7.370468322730714</v>
      </c>
      <c r="C58" s="1">
        <f t="shared" ca="1" si="1"/>
        <v>6.5666306963696011</v>
      </c>
      <c r="D58" s="1">
        <f t="shared" ca="1" si="2"/>
        <v>6.5666306963696011</v>
      </c>
      <c r="E58" s="1">
        <f ca="1">SUM($B$6:C58)/(2*A58)</f>
        <v>6.6269666666013274</v>
      </c>
      <c r="F58" s="1">
        <f ca="1">SUM($E$6:E58)/A58</f>
        <v>6.366165205226733</v>
      </c>
    </row>
    <row r="59" spans="1:6" x14ac:dyDescent="0.25">
      <c r="A59" s="1">
        <v>54</v>
      </c>
      <c r="B59" s="1">
        <f t="shared" ca="1" si="0"/>
        <v>1.3661888579443726</v>
      </c>
      <c r="C59" s="1">
        <f t="shared" ca="1" si="1"/>
        <v>5.9729412987398085</v>
      </c>
      <c r="D59" s="1">
        <f t="shared" ca="1" si="2"/>
        <v>1.3661888579443726</v>
      </c>
      <c r="E59" s="1">
        <f ca="1">SUM($B$6:C59)/(2*A59)</f>
        <v>6.5721999705224521</v>
      </c>
      <c r="F59" s="1">
        <f ca="1">SUM($E$6:E59)/A59</f>
        <v>6.3699806638433198</v>
      </c>
    </row>
    <row r="60" spans="1:6" x14ac:dyDescent="0.25">
      <c r="A60" s="1">
        <v>55</v>
      </c>
      <c r="B60" s="1">
        <f t="shared" ca="1" si="0"/>
        <v>8.6009884445075553</v>
      </c>
      <c r="C60" s="1">
        <f t="shared" ca="1" si="1"/>
        <v>1.3988542671328204</v>
      </c>
      <c r="D60" s="1">
        <f t="shared" ca="1" si="2"/>
        <v>1.3988542671328204</v>
      </c>
      <c r="E60" s="1">
        <f ca="1">SUM($B$6:C60)/(2*A60)</f>
        <v>6.5436130866187758</v>
      </c>
      <c r="F60" s="1">
        <f ca="1">SUM($E$6:E60)/A60</f>
        <v>6.3731376169846925</v>
      </c>
    </row>
    <row r="61" spans="1:6" x14ac:dyDescent="0.25">
      <c r="A61" s="1">
        <v>56</v>
      </c>
      <c r="B61" s="1">
        <f t="shared" ca="1" si="0"/>
        <v>8.2467848166075211</v>
      </c>
      <c r="C61" s="1">
        <f t="shared" ca="1" si="1"/>
        <v>6.8528214075222618</v>
      </c>
      <c r="D61" s="1">
        <f t="shared" ca="1" si="2"/>
        <v>6.8528214075222618</v>
      </c>
      <c r="E61" s="1">
        <f ca="1">SUM($B$6:C61)/(2*A61)</f>
        <v>6.5615807656445986</v>
      </c>
      <c r="F61" s="1">
        <f ca="1">SUM($E$6:E61)/A61</f>
        <v>6.3765026732107613</v>
      </c>
    </row>
    <row r="62" spans="1:6" x14ac:dyDescent="0.25">
      <c r="A62" s="1">
        <v>57</v>
      </c>
      <c r="B62" s="1">
        <f t="shared" ca="1" si="0"/>
        <v>9.7298778729539634</v>
      </c>
      <c r="C62" s="1">
        <f t="shared" ca="1" si="1"/>
        <v>4.306233143635871</v>
      </c>
      <c r="D62" s="1">
        <f t="shared" ca="1" si="2"/>
        <v>4.306233143635871</v>
      </c>
      <c r="E62" s="1">
        <f ca="1">SUM($B$6:C62)/(2*A62)</f>
        <v>6.5695890944630246</v>
      </c>
      <c r="F62" s="1">
        <f ca="1">SUM($E$6:E62)/A62</f>
        <v>6.3798901542853628</v>
      </c>
    </row>
    <row r="63" spans="1:6" x14ac:dyDescent="0.25">
      <c r="A63" s="1">
        <v>58</v>
      </c>
      <c r="B63" s="1">
        <f t="shared" ca="1" si="0"/>
        <v>6.7437283045408822</v>
      </c>
      <c r="C63" s="1">
        <f t="shared" ca="1" si="1"/>
        <v>13.681746155426488</v>
      </c>
      <c r="D63" s="1">
        <f t="shared" ca="1" si="2"/>
        <v>6.7437283045408822</v>
      </c>
      <c r="E63" s="1">
        <f ca="1">SUM($B$6:C63)/(2*A63)</f>
        <v>6.6324019933513121</v>
      </c>
      <c r="F63" s="1">
        <f ca="1">SUM($E$6:E63)/A63</f>
        <v>6.3842438066830516</v>
      </c>
    </row>
    <row r="64" spans="1:6" x14ac:dyDescent="0.25">
      <c r="A64" s="1">
        <v>59</v>
      </c>
      <c r="B64" s="1">
        <f t="shared" ca="1" si="0"/>
        <v>1.3256474040233945</v>
      </c>
      <c r="C64" s="1">
        <f t="shared" ca="1" si="1"/>
        <v>2.7134946817230219</v>
      </c>
      <c r="D64" s="1">
        <f t="shared" ca="1" si="2"/>
        <v>1.3256474040233945</v>
      </c>
      <c r="E64" s="1">
        <f ca="1">SUM($B$6:C64)/(2*A64)</f>
        <v>6.5542184179194791</v>
      </c>
      <c r="F64" s="1">
        <f ca="1">SUM($E$6:E64)/A64</f>
        <v>6.3871247322972282</v>
      </c>
    </row>
    <row r="65" spans="1:6" x14ac:dyDescent="0.25">
      <c r="A65" s="1">
        <v>60</v>
      </c>
      <c r="B65" s="1">
        <f t="shared" ca="1" si="0"/>
        <v>0.67948930162984089</v>
      </c>
      <c r="C65" s="1">
        <f t="shared" ca="1" si="1"/>
        <v>4.6216695934314043</v>
      </c>
      <c r="D65" s="1">
        <f t="shared" ca="1" si="2"/>
        <v>0.67948930162984089</v>
      </c>
      <c r="E65" s="1">
        <f ca="1">SUM($B$6:C65)/(2*A65)</f>
        <v>6.4891577684129977</v>
      </c>
      <c r="F65" s="1">
        <f ca="1">SUM($E$6:E65)/A65</f>
        <v>6.3888252828991581</v>
      </c>
    </row>
    <row r="66" spans="1:6" x14ac:dyDescent="0.25">
      <c r="A66" s="1">
        <v>61</v>
      </c>
      <c r="B66" s="1">
        <f t="shared" ca="1" si="0"/>
        <v>3.097791985126209</v>
      </c>
      <c r="C66" s="1">
        <f t="shared" ca="1" si="1"/>
        <v>0.68005363433714494</v>
      </c>
      <c r="D66" s="1">
        <f t="shared" ca="1" si="2"/>
        <v>0.68005363433714494</v>
      </c>
      <c r="E66" s="1">
        <f ca="1">SUM($B$6:C66)/(2*A66)</f>
        <v>6.4137440805657633</v>
      </c>
      <c r="F66" s="1">
        <f ca="1">SUM($E$6:E66)/A66</f>
        <v>6.389233787778938</v>
      </c>
    </row>
    <row r="67" spans="1:6" x14ac:dyDescent="0.25">
      <c r="A67" s="1">
        <v>62</v>
      </c>
      <c r="B67" s="1">
        <f t="shared" ca="1" si="0"/>
        <v>4.3554019455727309</v>
      </c>
      <c r="C67" s="1">
        <f t="shared" ca="1" si="1"/>
        <v>8.7837206707466677</v>
      </c>
      <c r="D67" s="1">
        <f t="shared" ca="1" si="2"/>
        <v>4.3554019455727309</v>
      </c>
      <c r="E67" s="1">
        <f ca="1">SUM($B$6:C67)/(2*A67)</f>
        <v>6.4162572616559883</v>
      </c>
      <c r="F67" s="1">
        <f ca="1">SUM($E$6:E67)/A67</f>
        <v>6.3896696502608261</v>
      </c>
    </row>
    <row r="68" spans="1:6" x14ac:dyDescent="0.25">
      <c r="A68" s="1">
        <v>63</v>
      </c>
      <c r="B68" s="1">
        <f t="shared" ca="1" si="0"/>
        <v>7.2525599305890989</v>
      </c>
      <c r="C68" s="1">
        <f t="shared" ca="1" si="1"/>
        <v>2.3687147803340287</v>
      </c>
      <c r="D68" s="1">
        <f t="shared" ca="1" si="2"/>
        <v>2.3687147803340287</v>
      </c>
      <c r="E68" s="1">
        <f ca="1">SUM($B$6:C68)/(2*A68)</f>
        <v>6.3907712313989338</v>
      </c>
      <c r="F68" s="1">
        <f ca="1">SUM($E$6:E68)/A68</f>
        <v>6.3896871356757172</v>
      </c>
    </row>
    <row r="69" spans="1:6" x14ac:dyDescent="0.25">
      <c r="A69" s="1">
        <v>64</v>
      </c>
      <c r="B69" s="1">
        <f t="shared" ca="1" si="0"/>
        <v>0.51754550725620074</v>
      </c>
      <c r="C69" s="1">
        <f t="shared" ca="1" si="1"/>
        <v>14.343821048875149</v>
      </c>
      <c r="D69" s="1">
        <f t="shared" ca="1" si="2"/>
        <v>0.51754550725620074</v>
      </c>
      <c r="E69" s="1">
        <f ca="1">SUM($B$6:C69)/(2*A69)</f>
        <v>6.407019857128101</v>
      </c>
      <c r="F69" s="1">
        <f ca="1">SUM($E$6:E69)/A69</f>
        <v>6.3899579594484104</v>
      </c>
    </row>
    <row r="70" spans="1:6" x14ac:dyDescent="0.25">
      <c r="A70" s="1">
        <v>65</v>
      </c>
      <c r="B70" s="1">
        <f t="shared" ca="1" si="0"/>
        <v>1.0643723647899006</v>
      </c>
      <c r="C70" s="1">
        <f t="shared" ca="1" si="1"/>
        <v>10.595721586398358</v>
      </c>
      <c r="D70" s="1">
        <f t="shared" ca="1" si="2"/>
        <v>1.0643723647899006</v>
      </c>
      <c r="E70" s="1">
        <f ca="1">SUM($B$6:C70)/(2*A70)</f>
        <v>6.398143351258347</v>
      </c>
      <c r="F70" s="1">
        <f ca="1">SUM($E$6:E70)/A70</f>
        <v>6.3900838885531783</v>
      </c>
    </row>
    <row r="71" spans="1:6" x14ac:dyDescent="0.25">
      <c r="A71" s="1">
        <v>66</v>
      </c>
      <c r="B71" s="1">
        <f t="shared" ref="B71:B134" ca="1" si="3">RAND()*$D$1</f>
        <v>4.3012625070811739</v>
      </c>
      <c r="C71" s="1">
        <f t="shared" ref="C71:C134" ca="1" si="4">RAND()*$D$2</f>
        <v>9.4788738109459754</v>
      </c>
      <c r="D71" s="1">
        <f t="shared" ref="D71:D134" ca="1" si="5">MIN(B71:C71)</f>
        <v>4.3012625070811739</v>
      </c>
      <c r="E71" s="1">
        <f ca="1">SUM($B$6:C71)/(2*A71)</f>
        <v>6.4055967574364567</v>
      </c>
      <c r="F71" s="1">
        <f ca="1">SUM($E$6:E71)/A71</f>
        <v>6.3903189320211071</v>
      </c>
    </row>
    <row r="72" spans="1:6" x14ac:dyDescent="0.25">
      <c r="A72" s="1">
        <v>67</v>
      </c>
      <c r="B72" s="1">
        <f t="shared" ca="1" si="3"/>
        <v>9.9851935743099958</v>
      </c>
      <c r="C72" s="1">
        <f t="shared" ca="1" si="4"/>
        <v>3.6616694092547442</v>
      </c>
      <c r="D72" s="1">
        <f t="shared" ca="1" si="5"/>
        <v>3.6616694092547442</v>
      </c>
      <c r="E72" s="1">
        <f ca="1">SUM($B$6:C72)/(2*A72)</f>
        <v>6.4118330967550516</v>
      </c>
      <c r="F72" s="1">
        <f ca="1">SUM($E$6:E72)/A72</f>
        <v>6.3906400389574349</v>
      </c>
    </row>
    <row r="73" spans="1:6" x14ac:dyDescent="0.25">
      <c r="A73" s="1">
        <v>68</v>
      </c>
      <c r="B73" s="1">
        <f t="shared" ca="1" si="3"/>
        <v>4.3411709533750384</v>
      </c>
      <c r="C73" s="1">
        <f t="shared" ca="1" si="4"/>
        <v>4.0762271104226588</v>
      </c>
      <c r="D73" s="1">
        <f t="shared" ca="1" si="5"/>
        <v>4.0762271104226588</v>
      </c>
      <c r="E73" s="1">
        <f ca="1">SUM($B$6:C73)/(2*A73)</f>
        <v>6.3794340663895195</v>
      </c>
      <c r="F73" s="1">
        <f ca="1">SUM($E$6:E73)/A73</f>
        <v>6.3904752452432012</v>
      </c>
    </row>
    <row r="74" spans="1:6" x14ac:dyDescent="0.25">
      <c r="A74" s="1">
        <v>69</v>
      </c>
      <c r="B74" s="1">
        <f t="shared" ca="1" si="3"/>
        <v>1.1632243127117015</v>
      </c>
      <c r="C74" s="1">
        <f t="shared" ca="1" si="4"/>
        <v>14.110123709752067</v>
      </c>
      <c r="D74" s="1">
        <f t="shared" ca="1" si="5"/>
        <v>1.1632243127117015</v>
      </c>
      <c r="E74" s="1">
        <f ca="1">SUM($B$6:C74)/(2*A74)</f>
        <v>6.3976549351553507</v>
      </c>
      <c r="F74" s="1">
        <f ca="1">SUM($E$6:E74)/A74</f>
        <v>6.3905792987201888</v>
      </c>
    </row>
    <row r="75" spans="1:6" x14ac:dyDescent="0.25">
      <c r="A75" s="1">
        <v>70</v>
      </c>
      <c r="B75" s="1">
        <f t="shared" ca="1" si="3"/>
        <v>9.6292627309156575</v>
      </c>
      <c r="C75" s="1">
        <f t="shared" ca="1" si="4"/>
        <v>11.846296646855304</v>
      </c>
      <c r="D75" s="1">
        <f t="shared" ca="1" si="5"/>
        <v>9.6292627309156575</v>
      </c>
      <c r="E75" s="1">
        <f ca="1">SUM($B$6:C75)/(2*A75)</f>
        <v>6.4596567173514963</v>
      </c>
      <c r="F75" s="1">
        <f ca="1">SUM($E$6:E75)/A75</f>
        <v>6.3915661189863497</v>
      </c>
    </row>
    <row r="76" spans="1:6" x14ac:dyDescent="0.25">
      <c r="A76" s="1">
        <v>71</v>
      </c>
      <c r="B76" s="1">
        <f t="shared" ca="1" si="3"/>
        <v>6.6994230349456458</v>
      </c>
      <c r="C76" s="1">
        <f t="shared" ca="1" si="4"/>
        <v>10.504678228107554</v>
      </c>
      <c r="D76" s="1">
        <f t="shared" ca="1" si="5"/>
        <v>6.6994230349456458</v>
      </c>
      <c r="E76" s="1">
        <f ca="1">SUM($B$6:C76)/(2*A76)</f>
        <v>6.489831279522976</v>
      </c>
      <c r="F76" s="1">
        <f ca="1">SUM($E$6:E76)/A76</f>
        <v>6.3929501353319367</v>
      </c>
    </row>
    <row r="77" spans="1:6" x14ac:dyDescent="0.25">
      <c r="A77" s="1">
        <v>72</v>
      </c>
      <c r="B77" s="1">
        <f t="shared" ca="1" si="3"/>
        <v>6.7212017942141422</v>
      </c>
      <c r="C77" s="1">
        <f t="shared" ca="1" si="4"/>
        <v>0.58579791562293648</v>
      </c>
      <c r="D77" s="1">
        <f t="shared" ca="1" si="5"/>
        <v>0.58579791562293648</v>
      </c>
      <c r="E77" s="1">
        <f ca="1">SUM($B$6:C77)/(2*A77)</f>
        <v>6.4504377875145815</v>
      </c>
      <c r="F77" s="1">
        <f ca="1">SUM($E$6:E77)/A77</f>
        <v>6.3937485749455849</v>
      </c>
    </row>
    <row r="78" spans="1:6" x14ac:dyDescent="0.25">
      <c r="A78" s="1">
        <v>73</v>
      </c>
      <c r="B78" s="1">
        <f t="shared" ca="1" si="3"/>
        <v>2.0279000859702148</v>
      </c>
      <c r="C78" s="1">
        <f t="shared" ca="1" si="4"/>
        <v>13.296003302718333</v>
      </c>
      <c r="D78" s="1">
        <f t="shared" ca="1" si="5"/>
        <v>2.0279000859702148</v>
      </c>
      <c r="E78" s="1">
        <f ca="1">SUM($B$6:C78)/(2*A78)</f>
        <v>6.4670338684300566</v>
      </c>
      <c r="F78" s="1">
        <f ca="1">SUM($E$6:E78)/A78</f>
        <v>6.3947524830755089</v>
      </c>
    </row>
    <row r="79" spans="1:6" x14ac:dyDescent="0.25">
      <c r="A79" s="1">
        <v>74</v>
      </c>
      <c r="B79" s="1">
        <f t="shared" ca="1" si="3"/>
        <v>3.9414088264275948</v>
      </c>
      <c r="C79" s="1">
        <f t="shared" ca="1" si="4"/>
        <v>6.3733539018482475</v>
      </c>
      <c r="D79" s="1">
        <f t="shared" ca="1" si="5"/>
        <v>3.9414088264275948</v>
      </c>
      <c r="E79" s="1">
        <f ca="1">SUM($B$6:C79)/(2*A79)</f>
        <v>6.4493358616152987</v>
      </c>
      <c r="F79" s="1">
        <f ca="1">SUM($E$6:E79)/A79</f>
        <v>6.3954900962990191</v>
      </c>
    </row>
    <row r="80" spans="1:6" x14ac:dyDescent="0.25">
      <c r="A80" s="1">
        <v>75</v>
      </c>
      <c r="B80" s="1">
        <f t="shared" ca="1" si="3"/>
        <v>7.1143666579129086</v>
      </c>
      <c r="C80" s="1">
        <f t="shared" ca="1" si="4"/>
        <v>12.042797738223925</v>
      </c>
      <c r="D80" s="1">
        <f t="shared" ca="1" si="5"/>
        <v>7.1143666579129086</v>
      </c>
      <c r="E80" s="1">
        <f ca="1">SUM($B$6:C80)/(2*A80)</f>
        <v>6.4910591461013407</v>
      </c>
      <c r="F80" s="1">
        <f ca="1">SUM($E$6:E80)/A80</f>
        <v>6.396764350296384</v>
      </c>
    </row>
    <row r="81" spans="1:6" x14ac:dyDescent="0.25">
      <c r="A81" s="1">
        <v>76</v>
      </c>
      <c r="B81" s="1">
        <f t="shared" ca="1" si="3"/>
        <v>2.9606144492737219</v>
      </c>
      <c r="C81" s="1">
        <f t="shared" ca="1" si="4"/>
        <v>4.0436149408997224</v>
      </c>
      <c r="D81" s="1">
        <f t="shared" ca="1" si="5"/>
        <v>2.9606144492737219</v>
      </c>
      <c r="E81" s="1">
        <f ca="1">SUM($B$6:C81)/(2*A81)</f>
        <v>6.4517309296406218</v>
      </c>
      <c r="F81" s="1">
        <f ca="1">SUM($E$6:E81)/A81</f>
        <v>6.39748759476144</v>
      </c>
    </row>
    <row r="82" spans="1:6" x14ac:dyDescent="0.25">
      <c r="A82" s="1">
        <v>77</v>
      </c>
      <c r="B82" s="1">
        <f t="shared" ca="1" si="3"/>
        <v>7.8695739385784194</v>
      </c>
      <c r="C82" s="1">
        <f t="shared" ca="1" si="4"/>
        <v>5.3579468561370973</v>
      </c>
      <c r="D82" s="1">
        <f t="shared" ca="1" si="5"/>
        <v>5.3579468561370973</v>
      </c>
      <c r="E82" s="1">
        <f ca="1">SUM($B$6:C82)/(2*A82)</f>
        <v>6.4538352084421433</v>
      </c>
      <c r="F82" s="1">
        <f ca="1">SUM($E$6:E82)/A82</f>
        <v>6.3982193819520976</v>
      </c>
    </row>
    <row r="83" spans="1:6" x14ac:dyDescent="0.25">
      <c r="A83" s="1">
        <v>78</v>
      </c>
      <c r="B83" s="1">
        <f t="shared" ca="1" si="3"/>
        <v>4.2445053148396319</v>
      </c>
      <c r="C83" s="1">
        <f t="shared" ca="1" si="4"/>
        <v>9.8930477034689535</v>
      </c>
      <c r="D83" s="1">
        <f t="shared" ca="1" si="5"/>
        <v>4.2445053148396319</v>
      </c>
      <c r="E83" s="1">
        <f ca="1">SUM($B$6:C83)/(2*A83)</f>
        <v>6.4617190712717871</v>
      </c>
      <c r="F83" s="1">
        <f ca="1">SUM($E$6:E83)/A83</f>
        <v>6.3990334805331193</v>
      </c>
    </row>
    <row r="84" spans="1:6" x14ac:dyDescent="0.25">
      <c r="A84" s="1">
        <v>79</v>
      </c>
      <c r="B84" s="1">
        <f t="shared" ca="1" si="3"/>
        <v>0.99986341654948352</v>
      </c>
      <c r="C84" s="1">
        <f t="shared" ca="1" si="4"/>
        <v>2.4193686283992188</v>
      </c>
      <c r="D84" s="1">
        <f t="shared" ca="1" si="5"/>
        <v>0.99986341654948352</v>
      </c>
      <c r="E84" s="1">
        <f ca="1">SUM($B$6:C84)/(2*A84)</f>
        <v>6.4015658681224519</v>
      </c>
      <c r="F84" s="1">
        <f ca="1">SUM($E$6:E84)/A84</f>
        <v>6.3990655360722251</v>
      </c>
    </row>
    <row r="85" spans="1:6" x14ac:dyDescent="0.25">
      <c r="A85" s="1">
        <v>80</v>
      </c>
      <c r="B85" s="1">
        <f t="shared" ca="1" si="3"/>
        <v>9.2505214173136068</v>
      </c>
      <c r="C85" s="1">
        <f t="shared" ca="1" si="4"/>
        <v>7.2217097358991102</v>
      </c>
      <c r="D85" s="1">
        <f t="shared" ca="1" si="5"/>
        <v>7.2217097358991102</v>
      </c>
      <c r="E85" s="1">
        <f ca="1">SUM($B$6:C85)/(2*A85)</f>
        <v>6.4244977394785012</v>
      </c>
      <c r="F85" s="1">
        <f ca="1">SUM($E$6:E85)/A85</f>
        <v>6.3993834386148034</v>
      </c>
    </row>
    <row r="86" spans="1:6" x14ac:dyDescent="0.25">
      <c r="A86" s="1">
        <v>81</v>
      </c>
      <c r="B86" s="1">
        <f t="shared" ca="1" si="3"/>
        <v>3.4900803489104448</v>
      </c>
      <c r="C86" s="1">
        <f t="shared" ca="1" si="4"/>
        <v>3.7018177037801907</v>
      </c>
      <c r="D86" s="1">
        <f t="shared" ca="1" si="5"/>
        <v>3.4900803489104448</v>
      </c>
      <c r="E86" s="1">
        <f ca="1">SUM($B$6:C86)/(2*A86)</f>
        <v>6.3895773849953743</v>
      </c>
      <c r="F86" s="1">
        <f ca="1">SUM($E$6:E86)/A86</f>
        <v>6.3992623762244403</v>
      </c>
    </row>
    <row r="87" spans="1:6" x14ac:dyDescent="0.25">
      <c r="A87" s="1">
        <v>82</v>
      </c>
      <c r="B87" s="1">
        <f t="shared" ca="1" si="3"/>
        <v>9.9981204787999882</v>
      </c>
      <c r="C87" s="1">
        <f t="shared" ca="1" si="4"/>
        <v>1.5655101883749629</v>
      </c>
      <c r="D87" s="1">
        <f t="shared" ca="1" si="5"/>
        <v>1.5655101883749629</v>
      </c>
      <c r="E87" s="1">
        <f ca="1">SUM($B$6:C87)/(2*A87)</f>
        <v>6.3821656526611319</v>
      </c>
      <c r="F87" s="1">
        <f ca="1">SUM($E$6:E87)/A87</f>
        <v>6.3990538795956198</v>
      </c>
    </row>
    <row r="88" spans="1:6" x14ac:dyDescent="0.25">
      <c r="A88" s="1">
        <v>83</v>
      </c>
      <c r="B88" s="1">
        <f t="shared" ca="1" si="3"/>
        <v>1.6302637033723655</v>
      </c>
      <c r="C88" s="1">
        <f t="shared" ca="1" si="4"/>
        <v>0.1317042350366382</v>
      </c>
      <c r="D88" s="1">
        <f t="shared" ca="1" si="5"/>
        <v>0.1317042350366382</v>
      </c>
      <c r="E88" s="1">
        <f ca="1">SUM($B$6:C88)/(2*A88)</f>
        <v>6.3158863552700879</v>
      </c>
      <c r="F88" s="1">
        <f ca="1">SUM($E$6:E88)/A88</f>
        <v>6.3980518612302522</v>
      </c>
    </row>
    <row r="89" spans="1:6" x14ac:dyDescent="0.25">
      <c r="A89" s="1">
        <v>84</v>
      </c>
      <c r="B89" s="1">
        <f t="shared" ca="1" si="3"/>
        <v>4.7417718747724704</v>
      </c>
      <c r="C89" s="1">
        <f t="shared" ca="1" si="4"/>
        <v>2.67337770773175</v>
      </c>
      <c r="D89" s="1">
        <f t="shared" ca="1" si="5"/>
        <v>2.67337770773175</v>
      </c>
      <c r="E89" s="1">
        <f ca="1">SUM($B$6:C89)/(2*A89)</f>
        <v>6.2848350271270172</v>
      </c>
      <c r="F89" s="1">
        <f ca="1">SUM($E$6:E89)/A89</f>
        <v>6.3967040417766414</v>
      </c>
    </row>
    <row r="90" spans="1:6" x14ac:dyDescent="0.25">
      <c r="A90" s="1">
        <v>85</v>
      </c>
      <c r="B90" s="1">
        <f t="shared" ca="1" si="3"/>
        <v>3.1176053955830083</v>
      </c>
      <c r="C90" s="1">
        <f t="shared" ca="1" si="4"/>
        <v>8.0967057925930277</v>
      </c>
      <c r="D90" s="1">
        <f t="shared" ca="1" si="5"/>
        <v>3.1176053955830083</v>
      </c>
      <c r="E90" s="1">
        <f ca="1">SUM($B$6:C90)/(2*A90)</f>
        <v>6.2768623279147935</v>
      </c>
      <c r="F90" s="1">
        <f ca="1">SUM($E$6:E90)/A90</f>
        <v>6.3952941392606206</v>
      </c>
    </row>
    <row r="91" spans="1:6" x14ac:dyDescent="0.25">
      <c r="A91" s="1">
        <v>86</v>
      </c>
      <c r="B91" s="1">
        <f t="shared" ca="1" si="3"/>
        <v>6.5251377330417295</v>
      </c>
      <c r="C91" s="1">
        <f t="shared" ca="1" si="4"/>
        <v>3.489686946933837</v>
      </c>
      <c r="D91" s="1">
        <f t="shared" ca="1" si="5"/>
        <v>3.489686946933837</v>
      </c>
      <c r="E91" s="1">
        <f ca="1">SUM($B$6:C91)/(2*A91)</f>
        <v>6.2621012815435497</v>
      </c>
      <c r="F91" s="1">
        <f ca="1">SUM($E$6:E91)/A91</f>
        <v>6.393745385101119</v>
      </c>
    </row>
    <row r="92" spans="1:6" x14ac:dyDescent="0.25">
      <c r="A92" s="1">
        <v>87</v>
      </c>
      <c r="B92" s="1">
        <f t="shared" ca="1" si="3"/>
        <v>7.5012331278787583</v>
      </c>
      <c r="C92" s="1">
        <f t="shared" ca="1" si="4"/>
        <v>4.4030998357410036</v>
      </c>
      <c r="D92" s="1">
        <f t="shared" ca="1" si="5"/>
        <v>4.4030998357410036</v>
      </c>
      <c r="E92" s="1">
        <f ca="1">SUM($B$6:C92)/(2*A92)</f>
        <v>6.2585388125810928</v>
      </c>
      <c r="F92" s="1">
        <f ca="1">SUM($E$6:E92)/A92</f>
        <v>6.3921912865664057</v>
      </c>
    </row>
    <row r="93" spans="1:6" x14ac:dyDescent="0.25">
      <c r="A93" s="1">
        <v>88</v>
      </c>
      <c r="B93" s="1">
        <f t="shared" ca="1" si="3"/>
        <v>3.6386403829088074</v>
      </c>
      <c r="C93" s="1">
        <f t="shared" ca="1" si="4"/>
        <v>4.7523055259781666</v>
      </c>
      <c r="D93" s="1">
        <f t="shared" ca="1" si="5"/>
        <v>3.6386403829088074</v>
      </c>
      <c r="E93" s="1">
        <f ca="1">SUM($B$6:C93)/(2*A93)</f>
        <v>6.2350948823749839</v>
      </c>
      <c r="F93" s="1">
        <f ca="1">SUM($E$6:E93)/A93</f>
        <v>6.3904061001551389</v>
      </c>
    </row>
    <row r="94" spans="1:6" x14ac:dyDescent="0.25">
      <c r="A94" s="1">
        <v>89</v>
      </c>
      <c r="B94" s="1">
        <f t="shared" ca="1" si="3"/>
        <v>1.8831651434292862</v>
      </c>
      <c r="C94" s="1">
        <f t="shared" ca="1" si="4"/>
        <v>8.0762941344927608</v>
      </c>
      <c r="D94" s="1">
        <f t="shared" ca="1" si="5"/>
        <v>1.8831651434292862</v>
      </c>
      <c r="E94" s="1">
        <f ca="1">SUM($B$6:C94)/(2*A94)</f>
        <v>6.2209896549208956</v>
      </c>
      <c r="F94" s="1">
        <f ca="1">SUM($E$6:E94)/A94</f>
        <v>6.3885025445907093</v>
      </c>
    </row>
    <row r="95" spans="1:6" x14ac:dyDescent="0.25">
      <c r="A95" s="1">
        <v>90</v>
      </c>
      <c r="B95" s="1">
        <f t="shared" ca="1" si="3"/>
        <v>8.3693763275629749</v>
      </c>
      <c r="C95" s="1">
        <f t="shared" ca="1" si="4"/>
        <v>14.527238266074267</v>
      </c>
      <c r="D95" s="1">
        <f t="shared" ca="1" si="5"/>
        <v>8.3693763275629749</v>
      </c>
      <c r="E95" s="1">
        <f ca="1">SUM($B$6:C95)/(2*A95)</f>
        <v>6.2790709620530922</v>
      </c>
      <c r="F95" s="1">
        <f ca="1">SUM($E$6:E95)/A95</f>
        <v>6.3872866381180691</v>
      </c>
    </row>
    <row r="96" spans="1:6" x14ac:dyDescent="0.25">
      <c r="A96" s="1">
        <v>91</v>
      </c>
      <c r="B96" s="1">
        <f t="shared" ca="1" si="3"/>
        <v>7.8670258544920015</v>
      </c>
      <c r="C96" s="1">
        <f t="shared" ca="1" si="4"/>
        <v>5.9941511716021489</v>
      </c>
      <c r="D96" s="1">
        <f t="shared" ca="1" si="5"/>
        <v>5.9941511716021489</v>
      </c>
      <c r="E96" s="1">
        <f ca="1">SUM($B$6:C96)/(2*A96)</f>
        <v>6.2862304955804991</v>
      </c>
      <c r="F96" s="1">
        <f ca="1">SUM($E$6:E96)/A96</f>
        <v>6.3861761310572174</v>
      </c>
    </row>
    <row r="97" spans="1:6" x14ac:dyDescent="0.25">
      <c r="A97" s="1">
        <v>92</v>
      </c>
      <c r="B97" s="1">
        <f t="shared" ca="1" si="3"/>
        <v>7.3972501000603348</v>
      </c>
      <c r="C97" s="1">
        <f t="shared" ca="1" si="4"/>
        <v>5.8951404251282842</v>
      </c>
      <c r="D97" s="1">
        <f t="shared" ca="1" si="5"/>
        <v>5.8951404251282842</v>
      </c>
      <c r="E97" s="1">
        <f ca="1">SUM($B$6:C97)/(2*A97)</f>
        <v>6.2901431560915197</v>
      </c>
      <c r="F97" s="1">
        <f ca="1">SUM($E$6:E97)/A97</f>
        <v>6.3851322943728075</v>
      </c>
    </row>
    <row r="98" spans="1:6" x14ac:dyDescent="0.25">
      <c r="A98" s="1">
        <v>93</v>
      </c>
      <c r="B98" s="1">
        <f t="shared" ca="1" si="3"/>
        <v>8.3823345244820278</v>
      </c>
      <c r="C98" s="1">
        <f t="shared" ca="1" si="4"/>
        <v>9.1605006657129344</v>
      </c>
      <c r="D98" s="1">
        <f t="shared" ca="1" si="5"/>
        <v>8.3823345244820278</v>
      </c>
      <c r="E98" s="1">
        <f ca="1">SUM($B$6:C98)/(2*A98)</f>
        <v>6.3168235264034127</v>
      </c>
      <c r="F98" s="1">
        <f ca="1">SUM($E$6:E98)/A98</f>
        <v>6.3843977914914154</v>
      </c>
    </row>
    <row r="99" spans="1:6" x14ac:dyDescent="0.25">
      <c r="A99" s="1">
        <v>94</v>
      </c>
      <c r="B99" s="1">
        <f t="shared" ca="1" si="3"/>
        <v>6.9926512455599221</v>
      </c>
      <c r="C99" s="1">
        <f t="shared" ca="1" si="4"/>
        <v>14.745888049592729</v>
      </c>
      <c r="D99" s="1">
        <f t="shared" ca="1" si="5"/>
        <v>6.9926512455599221</v>
      </c>
      <c r="E99" s="1">
        <f ca="1">SUM($B$6:C99)/(2*A99)</f>
        <v>6.3652538042882298</v>
      </c>
      <c r="F99" s="1">
        <f ca="1">SUM($E$6:E99)/A99</f>
        <v>6.3841941320530839</v>
      </c>
    </row>
    <row r="100" spans="1:6" x14ac:dyDescent="0.25">
      <c r="A100" s="1">
        <v>95</v>
      </c>
      <c r="B100" s="1">
        <f t="shared" ca="1" si="3"/>
        <v>0.89098483008637985</v>
      </c>
      <c r="C100" s="1">
        <f t="shared" ca="1" si="4"/>
        <v>7.714038328808968</v>
      </c>
      <c r="D100" s="1">
        <f t="shared" ca="1" si="5"/>
        <v>0.89098483008637985</v>
      </c>
      <c r="E100" s="1">
        <f ca="1">SUM($B$6:C100)/(2*A100)</f>
        <v>6.3435407282372775</v>
      </c>
      <c r="F100" s="1">
        <f ca="1">SUM($E$6:E100)/A100</f>
        <v>6.3837662014866021</v>
      </c>
    </row>
    <row r="101" spans="1:6" x14ac:dyDescent="0.25">
      <c r="A101" s="1">
        <v>96</v>
      </c>
      <c r="B101" s="1">
        <f t="shared" ca="1" si="3"/>
        <v>5.7962446483670735</v>
      </c>
      <c r="C101" s="1">
        <f t="shared" ca="1" si="4"/>
        <v>5.9539830747470983</v>
      </c>
      <c r="D101" s="1">
        <f t="shared" ca="1" si="5"/>
        <v>5.7962446483670735</v>
      </c>
      <c r="E101" s="1">
        <f ca="1">SUM($B$6:C101)/(2*A101)</f>
        <v>6.3386612817093591</v>
      </c>
      <c r="F101" s="1">
        <f ca="1">SUM($E$6:E101)/A101</f>
        <v>6.383296358572256</v>
      </c>
    </row>
    <row r="102" spans="1:6" x14ac:dyDescent="0.25">
      <c r="A102" s="1">
        <v>97</v>
      </c>
      <c r="B102" s="1">
        <f t="shared" ca="1" si="3"/>
        <v>1.2565068275845404</v>
      </c>
      <c r="C102" s="1">
        <f t="shared" ca="1" si="4"/>
        <v>6.9119784385076368</v>
      </c>
      <c r="D102" s="1">
        <f t="shared" ca="1" si="5"/>
        <v>1.2565068275845404</v>
      </c>
      <c r="E102" s="1">
        <f ca="1">SUM($B$6:C102)/(2*A102)</f>
        <v>6.3154198523416971</v>
      </c>
      <c r="F102" s="1">
        <f ca="1">SUM($E$6:E102)/A102</f>
        <v>6.3825966007760648</v>
      </c>
    </row>
    <row r="103" spans="1:6" x14ac:dyDescent="0.25">
      <c r="A103" s="1">
        <v>98</v>
      </c>
      <c r="B103" s="1">
        <f t="shared" ca="1" si="3"/>
        <v>5.9844774400317355</v>
      </c>
      <c r="C103" s="1">
        <f t="shared" ca="1" si="4"/>
        <v>6.6643418853180982</v>
      </c>
      <c r="D103" s="1">
        <f t="shared" ca="1" si="5"/>
        <v>5.9844774400317355</v>
      </c>
      <c r="E103" s="1">
        <f ca="1">SUM($B$6:C103)/(2*A103)</f>
        <v>6.3155115851002002</v>
      </c>
      <c r="F103" s="1">
        <f ca="1">SUM($E$6:E103)/A103</f>
        <v>6.3819120597997809</v>
      </c>
    </row>
    <row r="104" spans="1:6" x14ac:dyDescent="0.25">
      <c r="A104" s="1">
        <v>99</v>
      </c>
      <c r="B104" s="1">
        <f t="shared" ca="1" si="3"/>
        <v>9.2570898047822094</v>
      </c>
      <c r="C104" s="1">
        <f t="shared" ca="1" si="4"/>
        <v>2.6851015792220845</v>
      </c>
      <c r="D104" s="1">
        <f t="shared" ca="1" si="5"/>
        <v>2.6851015792220845</v>
      </c>
      <c r="E104" s="1">
        <f ca="1">SUM($B$6:C104)/(2*A104)</f>
        <v>6.3120326366850685</v>
      </c>
      <c r="F104" s="1">
        <f ca="1">SUM($E$6:E104)/A104</f>
        <v>6.3812062070410471</v>
      </c>
    </row>
    <row r="105" spans="1:6" x14ac:dyDescent="0.25">
      <c r="A105" s="1">
        <v>100</v>
      </c>
      <c r="B105" s="1">
        <f t="shared" ca="1" si="3"/>
        <v>5.4584361133611914</v>
      </c>
      <c r="C105" s="1">
        <f t="shared" ca="1" si="4"/>
        <v>11.292188017249</v>
      </c>
      <c r="D105" s="1">
        <f t="shared" ca="1" si="5"/>
        <v>5.4584361133611914</v>
      </c>
      <c r="E105" s="1">
        <f ca="1">SUM($B$6:C105)/(2*A105)</f>
        <v>6.332665430971268</v>
      </c>
      <c r="F105" s="1">
        <f ca="1">SUM($E$6:E105)/A105</f>
        <v>6.3807207992803487</v>
      </c>
    </row>
    <row r="106" spans="1:6" x14ac:dyDescent="0.25">
      <c r="A106" s="1">
        <v>101</v>
      </c>
      <c r="B106" s="1">
        <f t="shared" ca="1" si="3"/>
        <v>2.8410487451759794</v>
      </c>
      <c r="C106" s="1">
        <f t="shared" ca="1" si="4"/>
        <v>11.960588082730116</v>
      </c>
      <c r="D106" s="1">
        <f t="shared" ca="1" si="5"/>
        <v>2.8410487451759794</v>
      </c>
      <c r="E106" s="1">
        <f ca="1">SUM($B$6:C106)/(2*A106)</f>
        <v>6.3432412030799989</v>
      </c>
      <c r="F106" s="1">
        <f ca="1">SUM($E$6:E106)/A106</f>
        <v>6.3803497141694541</v>
      </c>
    </row>
    <row r="107" spans="1:6" x14ac:dyDescent="0.25">
      <c r="A107" s="1">
        <v>102</v>
      </c>
      <c r="B107" s="1">
        <f t="shared" ca="1" si="3"/>
        <v>1.9703227344433405</v>
      </c>
      <c r="C107" s="1">
        <f t="shared" ca="1" si="4"/>
        <v>3.5997167738230833</v>
      </c>
      <c r="D107" s="1">
        <f t="shared" ca="1" si="5"/>
        <v>1.9703227344433405</v>
      </c>
      <c r="E107" s="1">
        <f ca="1">SUM($B$6:C107)/(2*A107)</f>
        <v>6.308356679070716</v>
      </c>
      <c r="F107" s="1">
        <f ca="1">SUM($E$6:E107)/A107</f>
        <v>6.3796439000998584</v>
      </c>
    </row>
    <row r="108" spans="1:6" x14ac:dyDescent="0.25">
      <c r="A108" s="1">
        <v>103</v>
      </c>
      <c r="B108" s="1">
        <f t="shared" ca="1" si="3"/>
        <v>7.6501057910745338</v>
      </c>
      <c r="C108" s="1">
        <f t="shared" ca="1" si="4"/>
        <v>8.9769218040885352</v>
      </c>
      <c r="D108" s="1">
        <f t="shared" ca="1" si="5"/>
        <v>7.6501057910745338</v>
      </c>
      <c r="E108" s="1">
        <f ca="1">SUM($B$6:C108)/(2*A108)</f>
        <v>6.3278242239106266</v>
      </c>
      <c r="F108" s="1">
        <f ca="1">SUM($E$6:E108)/A108</f>
        <v>6.379140796447536</v>
      </c>
    </row>
    <row r="109" spans="1:6" x14ac:dyDescent="0.25">
      <c r="A109" s="1">
        <v>104</v>
      </c>
      <c r="B109" s="1">
        <f t="shared" ca="1" si="3"/>
        <v>0.25593801069693889</v>
      </c>
      <c r="C109" s="1">
        <f t="shared" ca="1" si="4"/>
        <v>9.4860396623401897</v>
      </c>
      <c r="D109" s="1">
        <f t="shared" ca="1" si="5"/>
        <v>0.25593801069693889</v>
      </c>
      <c r="E109" s="1">
        <f ca="1">SUM($B$6:C109)/(2*A109)</f>
        <v>6.3138161913395496</v>
      </c>
      <c r="F109" s="1">
        <f ca="1">SUM($E$6:E109)/A109</f>
        <v>6.3785126752445747</v>
      </c>
    </row>
    <row r="110" spans="1:6" x14ac:dyDescent="0.25">
      <c r="A110" s="1">
        <v>105</v>
      </c>
      <c r="B110" s="1">
        <f t="shared" ca="1" si="3"/>
        <v>9.5559592061197769</v>
      </c>
      <c r="C110" s="1">
        <f t="shared" ca="1" si="4"/>
        <v>14.659112398055205</v>
      </c>
      <c r="D110" s="1">
        <f t="shared" ca="1" si="5"/>
        <v>9.5559592061197769</v>
      </c>
      <c r="E110" s="1">
        <f ca="1">SUM($B$6:C110)/(2*A110)</f>
        <v>6.3689944733466728</v>
      </c>
      <c r="F110" s="1">
        <f ca="1">SUM($E$6:E110)/A110</f>
        <v>6.3784220257026902</v>
      </c>
    </row>
    <row r="111" spans="1:6" x14ac:dyDescent="0.25">
      <c r="A111" s="1">
        <v>106</v>
      </c>
      <c r="B111" s="1">
        <f t="shared" ca="1" si="3"/>
        <v>1.5875562128043874</v>
      </c>
      <c r="C111" s="1">
        <f t="shared" ca="1" si="4"/>
        <v>7.6716973524377794</v>
      </c>
      <c r="D111" s="1">
        <f t="shared" ca="1" si="5"/>
        <v>1.5875562128043874</v>
      </c>
      <c r="E111" s="1">
        <f ca="1">SUM($B$6:C111)/(2*A111)</f>
        <v>6.352585344188884</v>
      </c>
      <c r="F111" s="1">
        <f ca="1">SUM($E$6:E111)/A111</f>
        <v>6.3781782834242584</v>
      </c>
    </row>
    <row r="112" spans="1:6" x14ac:dyDescent="0.25">
      <c r="A112" s="1">
        <v>107</v>
      </c>
      <c r="B112" s="1">
        <f t="shared" ca="1" si="3"/>
        <v>2.0302895383878941</v>
      </c>
      <c r="C112" s="1">
        <f t="shared" ca="1" si="4"/>
        <v>8.9007663681487088</v>
      </c>
      <c r="D112" s="1">
        <f t="shared" ca="1" si="5"/>
        <v>2.0302895383878941</v>
      </c>
      <c r="E112" s="1">
        <f ca="1">SUM($B$6:C112)/(2*A112)</f>
        <v>6.3442950881989724</v>
      </c>
      <c r="F112" s="1">
        <f ca="1">SUM($E$6:E112)/A112</f>
        <v>6.3778616180483203</v>
      </c>
    </row>
    <row r="113" spans="1:6" x14ac:dyDescent="0.25">
      <c r="A113" s="1">
        <v>108</v>
      </c>
      <c r="B113" s="1">
        <f t="shared" ca="1" si="3"/>
        <v>6.2986150043348053</v>
      </c>
      <c r="C113" s="1">
        <f t="shared" ca="1" si="4"/>
        <v>12.678670146496984</v>
      </c>
      <c r="D113" s="1">
        <f t="shared" ca="1" si="5"/>
        <v>6.2986150043348053</v>
      </c>
      <c r="E113" s="1">
        <f ca="1">SUM($B$6:C113)/(2*A113)</f>
        <v>6.3734094167843134</v>
      </c>
      <c r="F113" s="1">
        <f ca="1">SUM($E$6:E113)/A113</f>
        <v>6.3778203939625424</v>
      </c>
    </row>
    <row r="114" spans="1:6" x14ac:dyDescent="0.25">
      <c r="A114" s="1">
        <v>109</v>
      </c>
      <c r="B114" s="1">
        <f t="shared" ca="1" si="3"/>
        <v>1.6048381905747755</v>
      </c>
      <c r="C114" s="1">
        <f t="shared" ca="1" si="4"/>
        <v>5.1988045437962418</v>
      </c>
      <c r="D114" s="1">
        <f t="shared" ca="1" si="5"/>
        <v>1.6048381905747755</v>
      </c>
      <c r="E114" s="1">
        <f ca="1">SUM($B$6:C114)/(2*A114)</f>
        <v>6.3461471410999213</v>
      </c>
      <c r="F114" s="1">
        <f ca="1">SUM($E$6:E114)/A114</f>
        <v>6.3775298136610505</v>
      </c>
    </row>
    <row r="115" spans="1:6" x14ac:dyDescent="0.25">
      <c r="A115" s="1">
        <v>110</v>
      </c>
      <c r="B115" s="1">
        <f t="shared" ca="1" si="3"/>
        <v>5.3906080494544106</v>
      </c>
      <c r="C115" s="1">
        <f t="shared" ca="1" si="4"/>
        <v>6.9640470399700485</v>
      </c>
      <c r="D115" s="1">
        <f t="shared" ca="1" si="5"/>
        <v>5.3906080494544106</v>
      </c>
      <c r="E115" s="1">
        <f ca="1">SUM($B$6:C115)/(2*A115)</f>
        <v>6.3446124174963963</v>
      </c>
      <c r="F115" s="1">
        <f ca="1">SUM($E$6:E115)/A115</f>
        <v>6.3772305646050071</v>
      </c>
    </row>
    <row r="116" spans="1:6" x14ac:dyDescent="0.25">
      <c r="A116" s="1">
        <v>111</v>
      </c>
      <c r="B116" s="1">
        <f t="shared" ca="1" si="3"/>
        <v>4.3439082382284235</v>
      </c>
      <c r="C116" s="1">
        <f t="shared" ca="1" si="4"/>
        <v>14.424901875532546</v>
      </c>
      <c r="D116" s="1">
        <f t="shared" ca="1" si="5"/>
        <v>4.3439082382284235</v>
      </c>
      <c r="E116" s="1">
        <f ca="1">SUM($B$6:C116)/(2*A116)</f>
        <v>6.3719979367701258</v>
      </c>
      <c r="F116" s="1">
        <f ca="1">SUM($E$6:E116)/A116</f>
        <v>6.377183423813702</v>
      </c>
    </row>
    <row r="117" spans="1:6" x14ac:dyDescent="0.25">
      <c r="A117" s="1">
        <v>112</v>
      </c>
      <c r="B117" s="1">
        <f t="shared" ca="1" si="3"/>
        <v>7.2347454115318888</v>
      </c>
      <c r="C117" s="1">
        <f t="shared" ca="1" si="4"/>
        <v>10.944288358974212</v>
      </c>
      <c r="D117" s="1">
        <f t="shared" ca="1" si="5"/>
        <v>7.2347454115318888</v>
      </c>
      <c r="E117" s="1">
        <f ca="1">SUM($B$6:C117)/(2*A117)</f>
        <v>6.3962614988101523</v>
      </c>
      <c r="F117" s="1">
        <f ca="1">SUM($E$6:E117)/A117</f>
        <v>6.3773537637690279</v>
      </c>
    </row>
    <row r="118" spans="1:6" x14ac:dyDescent="0.25">
      <c r="A118" s="1">
        <v>113</v>
      </c>
      <c r="B118" s="1">
        <f t="shared" ca="1" si="3"/>
        <v>8.0087111017871955</v>
      </c>
      <c r="C118" s="1">
        <f t="shared" ca="1" si="4"/>
        <v>7.1949415068834233</v>
      </c>
      <c r="D118" s="1">
        <f t="shared" ca="1" si="5"/>
        <v>7.1949415068834233</v>
      </c>
      <c r="E118" s="1">
        <f ca="1">SUM($B$6:C118)/(2*A118)</f>
        <v>6.4069302139032951</v>
      </c>
      <c r="F118" s="1">
        <f ca="1">SUM($E$6:E118)/A118</f>
        <v>6.3776155022657903</v>
      </c>
    </row>
    <row r="119" spans="1:6" x14ac:dyDescent="0.25">
      <c r="A119" s="1">
        <v>114</v>
      </c>
      <c r="B119" s="1">
        <f t="shared" ca="1" si="3"/>
        <v>5.640251128100723</v>
      </c>
      <c r="C119" s="1">
        <f t="shared" ca="1" si="4"/>
        <v>13.300393580340744</v>
      </c>
      <c r="D119" s="1">
        <f t="shared" ca="1" si="5"/>
        <v>5.640251128100723</v>
      </c>
      <c r="E119" s="1">
        <f ca="1">SUM($B$6:C119)/(2*A119)</f>
        <v>6.4338020747832729</v>
      </c>
      <c r="F119" s="1">
        <f ca="1">SUM($E$6:E119)/A119</f>
        <v>6.3781083669369973</v>
      </c>
    </row>
    <row r="120" spans="1:6" x14ac:dyDescent="0.25">
      <c r="A120" s="1">
        <v>115</v>
      </c>
      <c r="B120" s="1">
        <f t="shared" ca="1" si="3"/>
        <v>4.1753511814516733</v>
      </c>
      <c r="C120" s="1">
        <f t="shared" ca="1" si="4"/>
        <v>3.3783208373756395</v>
      </c>
      <c r="D120" s="1">
        <f t="shared" ca="1" si="5"/>
        <v>3.3783208373756395</v>
      </c>
      <c r="E120" s="1">
        <f ca="1">SUM($B$6:C120)/(2*A120)</f>
        <v>6.4106980220409282</v>
      </c>
      <c r="F120" s="1">
        <f ca="1">SUM($E$6:E120)/A120</f>
        <v>6.3783917552422489</v>
      </c>
    </row>
    <row r="121" spans="1:6" x14ac:dyDescent="0.25">
      <c r="A121" s="1">
        <v>116</v>
      </c>
      <c r="B121" s="1">
        <f t="shared" ca="1" si="3"/>
        <v>8.8681958855269443</v>
      </c>
      <c r="C121" s="1">
        <f t="shared" ca="1" si="4"/>
        <v>4.2478305565657068</v>
      </c>
      <c r="D121" s="1">
        <f t="shared" ca="1" si="5"/>
        <v>4.2478305565657068</v>
      </c>
      <c r="E121" s="1">
        <f ca="1">SUM($B$6:C121)/(2*A121)</f>
        <v>6.4119679806530439</v>
      </c>
      <c r="F121" s="1">
        <f ca="1">SUM($E$6:E121)/A121</f>
        <v>6.3786812054613069</v>
      </c>
    </row>
    <row r="122" spans="1:6" x14ac:dyDescent="0.25">
      <c r="A122" s="1">
        <v>117</v>
      </c>
      <c r="B122" s="1">
        <f t="shared" ca="1" si="3"/>
        <v>7.1675591941920285</v>
      </c>
      <c r="C122" s="1">
        <f t="shared" ca="1" si="4"/>
        <v>1.3338383078117444</v>
      </c>
      <c r="D122" s="1">
        <f t="shared" ca="1" si="5"/>
        <v>1.3338383078117444</v>
      </c>
      <c r="E122" s="1">
        <f ca="1">SUM($B$6:C122)/(2*A122)</f>
        <v>6.393495594074829</v>
      </c>
      <c r="F122" s="1">
        <f ca="1">SUM($E$6:E122)/A122</f>
        <v>6.3788078241674055</v>
      </c>
    </row>
    <row r="123" spans="1:6" x14ac:dyDescent="0.25">
      <c r="A123" s="1">
        <v>118</v>
      </c>
      <c r="B123" s="1">
        <f t="shared" ca="1" si="3"/>
        <v>9.7165801617773475</v>
      </c>
      <c r="C123" s="1">
        <f t="shared" ca="1" si="4"/>
        <v>4.0445457941635024</v>
      </c>
      <c r="D123" s="1">
        <f t="shared" ca="1" si="5"/>
        <v>4.0445457941635024</v>
      </c>
      <c r="E123" s="1">
        <f ca="1">SUM($B$6:C123)/(2*A123)</f>
        <v>6.3976232837688594</v>
      </c>
      <c r="F123" s="1">
        <f ca="1">SUM($E$6:E123)/A123</f>
        <v>6.3789672772148753</v>
      </c>
    </row>
    <row r="124" spans="1:6" x14ac:dyDescent="0.25">
      <c r="A124" s="1">
        <v>119</v>
      </c>
      <c r="B124" s="1">
        <f t="shared" ca="1" si="3"/>
        <v>1.4180067963387222</v>
      </c>
      <c r="C124" s="1">
        <f t="shared" ca="1" si="4"/>
        <v>14.04613430174601</v>
      </c>
      <c r="D124" s="1">
        <f t="shared" ca="1" si="5"/>
        <v>1.4180067963387222</v>
      </c>
      <c r="E124" s="1">
        <f ca="1">SUM($B$6:C124)/(2*A124)</f>
        <v>6.4088371263341823</v>
      </c>
      <c r="F124" s="1">
        <f ca="1">SUM($E$6:E124)/A124</f>
        <v>6.3792182843503324</v>
      </c>
    </row>
    <row r="125" spans="1:6" x14ac:dyDescent="0.25">
      <c r="A125" s="1">
        <v>120</v>
      </c>
      <c r="B125" s="1">
        <f t="shared" ca="1" si="3"/>
        <v>1.9531390656346792</v>
      </c>
      <c r="C125" s="1">
        <f t="shared" ca="1" si="4"/>
        <v>12.388178761438159</v>
      </c>
      <c r="D125" s="1">
        <f t="shared" ca="1" si="5"/>
        <v>1.9531390656346792</v>
      </c>
      <c r="E125" s="1">
        <f ca="1">SUM($B$6:C125)/(2*A125)</f>
        <v>6.4151856412275352</v>
      </c>
      <c r="F125" s="1">
        <f ca="1">SUM($E$6:E125)/A125</f>
        <v>6.3795180123243087</v>
      </c>
    </row>
    <row r="126" spans="1:6" x14ac:dyDescent="0.25">
      <c r="A126" s="1">
        <v>121</v>
      </c>
      <c r="B126" s="1">
        <f t="shared" ca="1" si="3"/>
        <v>5.6061113907484632</v>
      </c>
      <c r="C126" s="1">
        <f t="shared" ca="1" si="4"/>
        <v>8.4521938523879534</v>
      </c>
      <c r="D126" s="1">
        <f t="shared" ca="1" si="5"/>
        <v>5.6061113907484632</v>
      </c>
      <c r="E126" s="1">
        <f ca="1">SUM($B$6:C126)/(2*A126)</f>
        <v>6.4202597485030788</v>
      </c>
      <c r="F126" s="1">
        <f ca="1">SUM($E$6:E126)/A126</f>
        <v>6.3798547208877698</v>
      </c>
    </row>
    <row r="127" spans="1:6" x14ac:dyDescent="0.25">
      <c r="A127" s="1">
        <v>122</v>
      </c>
      <c r="B127" s="1">
        <f t="shared" ca="1" si="3"/>
        <v>2.0721198761626027</v>
      </c>
      <c r="C127" s="1">
        <f t="shared" ca="1" si="4"/>
        <v>8.2935871901690366</v>
      </c>
      <c r="D127" s="1">
        <f t="shared" ca="1" si="5"/>
        <v>2.0721198761626027</v>
      </c>
      <c r="E127" s="1">
        <f ca="1">SUM($B$6:C127)/(2*A127)</f>
        <v>6.4101170746068714</v>
      </c>
      <c r="F127" s="1">
        <f ca="1">SUM($E$6:E127)/A127</f>
        <v>6.3801027729674349</v>
      </c>
    </row>
    <row r="128" spans="1:6" x14ac:dyDescent="0.25">
      <c r="A128" s="1">
        <v>123</v>
      </c>
      <c r="B128" s="1">
        <f t="shared" ca="1" si="3"/>
        <v>9.5787381731204615</v>
      </c>
      <c r="C128" s="1">
        <f t="shared" ca="1" si="4"/>
        <v>0.46988291902483159</v>
      </c>
      <c r="D128" s="1">
        <f t="shared" ca="1" si="5"/>
        <v>0.46988291902483159</v>
      </c>
      <c r="E128" s="1">
        <f ca="1">SUM($B$6:C128)/(2*A128)</f>
        <v>6.3988503548626916</v>
      </c>
      <c r="F128" s="1">
        <f ca="1">SUM($E$6:E128)/A128</f>
        <v>6.3802551923324371</v>
      </c>
    </row>
    <row r="129" spans="1:6" x14ac:dyDescent="0.25">
      <c r="A129" s="1">
        <v>124</v>
      </c>
      <c r="B129" s="1">
        <f t="shared" ca="1" si="3"/>
        <v>7.2126165830475211</v>
      </c>
      <c r="C129" s="1">
        <f t="shared" ca="1" si="4"/>
        <v>7.8639981310744274</v>
      </c>
      <c r="D129" s="1">
        <f t="shared" ca="1" si="5"/>
        <v>7.2126165830475211</v>
      </c>
      <c r="E129" s="1">
        <f ca="1">SUM($B$6:C129)/(2*A129)</f>
        <v>6.4080395242352575</v>
      </c>
      <c r="F129" s="1">
        <f ca="1">SUM($E$6:E129)/A129</f>
        <v>6.3804792595252016</v>
      </c>
    </row>
    <row r="130" spans="1:6" x14ac:dyDescent="0.25">
      <c r="A130" s="1">
        <v>125</v>
      </c>
      <c r="B130" s="1">
        <f t="shared" ca="1" si="3"/>
        <v>5.2684974615048032</v>
      </c>
      <c r="C130" s="1">
        <f t="shared" ca="1" si="4"/>
        <v>5.1189256965613019</v>
      </c>
      <c r="D130" s="1">
        <f t="shared" ca="1" si="5"/>
        <v>5.1189256965613019</v>
      </c>
      <c r="E130" s="1">
        <f ca="1">SUM($B$6:C130)/(2*A130)</f>
        <v>6.3983249006736393</v>
      </c>
      <c r="F130" s="1">
        <f ca="1">SUM($E$6:E130)/A130</f>
        <v>6.3806220246543885</v>
      </c>
    </row>
    <row r="131" spans="1:6" x14ac:dyDescent="0.25">
      <c r="A131" s="1">
        <v>126</v>
      </c>
      <c r="B131" s="1">
        <f t="shared" ca="1" si="3"/>
        <v>4.104455648108126</v>
      </c>
      <c r="C131" s="1">
        <f t="shared" ca="1" si="4"/>
        <v>10.120582932505995</v>
      </c>
      <c r="D131" s="1">
        <f t="shared" ca="1" si="5"/>
        <v>4.104455648108126</v>
      </c>
      <c r="E131" s="1">
        <f ca="1">SUM($B$6:C131)/(2*A131)</f>
        <v>6.4039931101151746</v>
      </c>
      <c r="F131" s="1">
        <f ca="1">SUM($E$6:E131)/A131</f>
        <v>6.3808075094596335</v>
      </c>
    </row>
    <row r="132" spans="1:6" x14ac:dyDescent="0.25">
      <c r="A132" s="1">
        <v>127</v>
      </c>
      <c r="B132" s="1">
        <f t="shared" ca="1" si="3"/>
        <v>0.30774372296983654</v>
      </c>
      <c r="C132" s="1">
        <f t="shared" ca="1" si="4"/>
        <v>3.792431298311044</v>
      </c>
      <c r="D132" s="1">
        <f t="shared" ca="1" si="5"/>
        <v>0.30774372296983654</v>
      </c>
      <c r="E132" s="1">
        <f ca="1">SUM($B$6:C132)/(2*A132)</f>
        <v>6.3697103888594695</v>
      </c>
      <c r="F132" s="1">
        <f ca="1">SUM($E$6:E132)/A132</f>
        <v>6.3807201305572701</v>
      </c>
    </row>
    <row r="133" spans="1:6" x14ac:dyDescent="0.25">
      <c r="A133" s="1">
        <v>128</v>
      </c>
      <c r="B133" s="1">
        <f t="shared" ca="1" si="3"/>
        <v>3.6034467462690465</v>
      </c>
      <c r="C133" s="1">
        <f t="shared" ca="1" si="4"/>
        <v>3.7843833375813158</v>
      </c>
      <c r="D133" s="1">
        <f t="shared" ca="1" si="5"/>
        <v>3.6034467462690465</v>
      </c>
      <c r="E133" s="1">
        <f ca="1">SUM($B$6:C133)/(2*A133)</f>
        <v>6.3488057377115457</v>
      </c>
      <c r="F133" s="1">
        <f ca="1">SUM($E$6:E133)/A133</f>
        <v>6.3804707993631631</v>
      </c>
    </row>
    <row r="134" spans="1:6" x14ac:dyDescent="0.25">
      <c r="A134" s="1">
        <v>129</v>
      </c>
      <c r="B134" s="1">
        <f t="shared" ca="1" si="3"/>
        <v>4.7372269237492937</v>
      </c>
      <c r="C134" s="1">
        <f t="shared" ca="1" si="4"/>
        <v>9.279379930304037</v>
      </c>
      <c r="D134" s="1">
        <f t="shared" ca="1" si="5"/>
        <v>4.7372269237492937</v>
      </c>
      <c r="E134" s="1">
        <f ca="1">SUM($B$6:C134)/(2*A134)</f>
        <v>6.3539181229000352</v>
      </c>
      <c r="F134" s="1">
        <f ca="1">SUM($E$6:E134)/A134</f>
        <v>6.3802649646618983</v>
      </c>
    </row>
    <row r="135" spans="1:6" x14ac:dyDescent="0.25">
      <c r="A135" s="1">
        <v>130</v>
      </c>
      <c r="B135" s="1">
        <f t="shared" ref="B135:B198" ca="1" si="6">RAND()*$D$1</f>
        <v>6.9216423998475634</v>
      </c>
      <c r="C135" s="1">
        <f t="shared" ref="C135:C198" ca="1" si="7">RAND()*$D$2</f>
        <v>7.7236354554612046</v>
      </c>
      <c r="D135" s="1">
        <f t="shared" ref="D135:D198" ca="1" si="8">MIN(B135:C135)</f>
        <v>6.9216423998475634</v>
      </c>
      <c r="E135" s="1">
        <f ca="1">SUM($B$6:C135)/(2*A135)</f>
        <v>6.3613698213981449</v>
      </c>
      <c r="F135" s="1">
        <f ca="1">SUM($E$6:E135)/A135</f>
        <v>6.3801196174060237</v>
      </c>
    </row>
    <row r="136" spans="1:6" x14ac:dyDescent="0.25">
      <c r="A136" s="1">
        <v>131</v>
      </c>
      <c r="B136" s="1">
        <f t="shared" ca="1" si="6"/>
        <v>4.9063714173238724</v>
      </c>
      <c r="C136" s="1">
        <f t="shared" ca="1" si="7"/>
        <v>12.095954445231261</v>
      </c>
      <c r="D136" s="1">
        <f t="shared" ca="1" si="8"/>
        <v>4.9063714173238724</v>
      </c>
      <c r="E136" s="1">
        <f ca="1">SUM($B$6:C136)/(2*A136)</f>
        <v>6.3777041199468432</v>
      </c>
      <c r="F136" s="1">
        <f ca="1">SUM($E$6:E136)/A136</f>
        <v>6.3801011784941215</v>
      </c>
    </row>
    <row r="137" spans="1:6" x14ac:dyDescent="0.25">
      <c r="A137" s="1">
        <v>132</v>
      </c>
      <c r="B137" s="1">
        <f t="shared" ca="1" si="6"/>
        <v>5.8669653839703191</v>
      </c>
      <c r="C137" s="1">
        <f t="shared" ca="1" si="7"/>
        <v>0.13273596863336845</v>
      </c>
      <c r="D137" s="1">
        <f t="shared" ca="1" si="8"/>
        <v>0.13273596863336845</v>
      </c>
      <c r="E137" s="1">
        <f ca="1">SUM($B$6:C137)/(2*A137)</f>
        <v>6.3521143211313511</v>
      </c>
      <c r="F137" s="1">
        <f ca="1">SUM($E$6:E137)/A137</f>
        <v>6.3798891568474341</v>
      </c>
    </row>
    <row r="138" spans="1:6" x14ac:dyDescent="0.25">
      <c r="A138" s="1">
        <v>133</v>
      </c>
      <c r="B138" s="1">
        <f t="shared" ca="1" si="6"/>
        <v>9.0245492913596319</v>
      </c>
      <c r="C138" s="1">
        <f t="shared" ca="1" si="7"/>
        <v>13.211015155172255</v>
      </c>
      <c r="D138" s="1">
        <f t="shared" ca="1" si="8"/>
        <v>9.0245492913596319</v>
      </c>
      <c r="E138" s="1">
        <f ca="1">SUM($B$6:C138)/(2*A138)</f>
        <v>6.3879464106210841</v>
      </c>
      <c r="F138" s="1">
        <f ca="1">SUM($E$6:E138)/A138</f>
        <v>6.3799497377028755</v>
      </c>
    </row>
    <row r="139" spans="1:6" x14ac:dyDescent="0.25">
      <c r="A139" s="1">
        <v>134</v>
      </c>
      <c r="B139" s="1">
        <f t="shared" ca="1" si="6"/>
        <v>3.7185451450973828</v>
      </c>
      <c r="C139" s="1">
        <f t="shared" ca="1" si="7"/>
        <v>9.5635356995993828</v>
      </c>
      <c r="D139" s="1">
        <f t="shared" ca="1" si="8"/>
        <v>3.7185451450973828</v>
      </c>
      <c r="E139" s="1">
        <f ca="1">SUM($B$6:C139)/(2*A139)</f>
        <v>6.3898351719026314</v>
      </c>
      <c r="F139" s="1">
        <f ca="1">SUM($E$6:E139)/A139</f>
        <v>6.380023509599889</v>
      </c>
    </row>
    <row r="140" spans="1:6" x14ac:dyDescent="0.25">
      <c r="A140" s="1">
        <v>135</v>
      </c>
      <c r="B140" s="1">
        <f t="shared" ca="1" si="6"/>
        <v>3.0491101334211068</v>
      </c>
      <c r="C140" s="1">
        <f t="shared" ca="1" si="7"/>
        <v>5.3561062503506891</v>
      </c>
      <c r="D140" s="1">
        <f t="shared" ca="1" si="8"/>
        <v>3.0491101334211068</v>
      </c>
      <c r="E140" s="1">
        <f ca="1">SUM($B$6:C140)/(2*A140)</f>
        <v>6.3736334905691745</v>
      </c>
      <c r="F140" s="1">
        <f ca="1">SUM($E$6:E140)/A140</f>
        <v>6.3799761761255871</v>
      </c>
    </row>
    <row r="141" spans="1:6" x14ac:dyDescent="0.25">
      <c r="A141" s="1">
        <v>136</v>
      </c>
      <c r="B141" s="1">
        <f t="shared" ca="1" si="6"/>
        <v>8.3366248461796015</v>
      </c>
      <c r="C141" s="1">
        <f t="shared" ca="1" si="7"/>
        <v>6.1855907716120004</v>
      </c>
      <c r="D141" s="1">
        <f t="shared" ca="1" si="8"/>
        <v>6.1855907716120004</v>
      </c>
      <c r="E141" s="1">
        <f ca="1">SUM($B$6:C141)/(2*A141)</f>
        <v>6.3801590370274583</v>
      </c>
      <c r="F141" s="1">
        <f ca="1">SUM($E$6:E141)/A141</f>
        <v>6.3799775206910425</v>
      </c>
    </row>
    <row r="142" spans="1:6" x14ac:dyDescent="0.25">
      <c r="A142" s="1">
        <v>137</v>
      </c>
      <c r="B142" s="1">
        <f t="shared" ca="1" si="6"/>
        <v>5.6740379035150177</v>
      </c>
      <c r="C142" s="1">
        <f t="shared" ca="1" si="7"/>
        <v>6.1719798006424966</v>
      </c>
      <c r="D142" s="1">
        <f t="shared" ca="1" si="8"/>
        <v>5.6740379035150177</v>
      </c>
      <c r="E142" s="1">
        <f ca="1">SUM($B$6:C142)/(2*A142)</f>
        <v>6.3768221743635989</v>
      </c>
      <c r="F142" s="1">
        <f ca="1">SUM($E$6:E142)/A142</f>
        <v>6.3799544889660247</v>
      </c>
    </row>
    <row r="143" spans="1:6" x14ac:dyDescent="0.25">
      <c r="A143" s="1">
        <v>138</v>
      </c>
      <c r="B143" s="1">
        <f t="shared" ca="1" si="6"/>
        <v>0.25733122948430887</v>
      </c>
      <c r="C143" s="1">
        <f t="shared" ca="1" si="7"/>
        <v>11.485164213823451</v>
      </c>
      <c r="D143" s="1">
        <f t="shared" ca="1" si="8"/>
        <v>0.25733122948430887</v>
      </c>
      <c r="E143" s="1">
        <f ca="1">SUM($B$6:C143)/(2*A143)</f>
        <v>6.3731585913729489</v>
      </c>
      <c r="F143" s="1">
        <f ca="1">SUM($E$6:E143)/A143</f>
        <v>6.3799052433312928</v>
      </c>
    </row>
    <row r="144" spans="1:6" x14ac:dyDescent="0.25">
      <c r="A144" s="1">
        <v>139</v>
      </c>
      <c r="B144" s="1">
        <f t="shared" ca="1" si="6"/>
        <v>4.4978037212546029</v>
      </c>
      <c r="C144" s="1">
        <f t="shared" ca="1" si="7"/>
        <v>1.2786762805017564</v>
      </c>
      <c r="D144" s="1">
        <f t="shared" ca="1" si="8"/>
        <v>1.2786762805017564</v>
      </c>
      <c r="E144" s="1">
        <f ca="1">SUM($B$6:C144)/(2*A144)</f>
        <v>6.3480872346067994</v>
      </c>
      <c r="F144" s="1">
        <f ca="1">SUM($E$6:E144)/A144</f>
        <v>6.3796763367937066</v>
      </c>
    </row>
    <row r="145" spans="1:6" x14ac:dyDescent="0.25">
      <c r="A145" s="1">
        <v>140</v>
      </c>
      <c r="B145" s="1">
        <f t="shared" ca="1" si="6"/>
        <v>0.30984550437434977</v>
      </c>
      <c r="C145" s="1">
        <f t="shared" ca="1" si="7"/>
        <v>12.927960247695806</v>
      </c>
      <c r="D145" s="1">
        <f t="shared" ca="1" si="8"/>
        <v>0.30984550437434977</v>
      </c>
      <c r="E145" s="1">
        <f ca="1">SUM($B$6:C145)/(2*A145)</f>
        <v>6.3500216320455731</v>
      </c>
      <c r="F145" s="1">
        <f ca="1">SUM($E$6:E145)/A145</f>
        <v>6.3794645174740774</v>
      </c>
    </row>
    <row r="146" spans="1:6" x14ac:dyDescent="0.25">
      <c r="A146" s="1">
        <v>141</v>
      </c>
      <c r="B146" s="1">
        <f t="shared" ca="1" si="6"/>
        <v>9.896067080401691</v>
      </c>
      <c r="C146" s="1">
        <f t="shared" ca="1" si="7"/>
        <v>11.49368207101376</v>
      </c>
      <c r="D146" s="1">
        <f t="shared" ca="1" si="8"/>
        <v>9.896067080401691</v>
      </c>
      <c r="E146" s="1">
        <f ca="1">SUM($B$6:C146)/(2*A146)</f>
        <v>6.3808361919297019</v>
      </c>
      <c r="F146" s="1">
        <f ca="1">SUM($E$6:E146)/A146</f>
        <v>6.3794742456617062</v>
      </c>
    </row>
    <row r="147" spans="1:6" x14ac:dyDescent="0.25">
      <c r="A147" s="1">
        <v>142</v>
      </c>
      <c r="B147" s="1">
        <f t="shared" ca="1" si="6"/>
        <v>7.7482628791059147</v>
      </c>
      <c r="C147" s="1">
        <f t="shared" ca="1" si="7"/>
        <v>7.8755813583764827</v>
      </c>
      <c r="D147" s="1">
        <f t="shared" ca="1" si="8"/>
        <v>7.7482628791059147</v>
      </c>
      <c r="E147" s="1">
        <f ca="1">SUM($B$6:C147)/(2*A147)</f>
        <v>6.3909142618368247</v>
      </c>
      <c r="F147" s="1">
        <f ca="1">SUM($E$6:E147)/A147</f>
        <v>6.3795548091558967</v>
      </c>
    </row>
    <row r="148" spans="1:6" x14ac:dyDescent="0.25">
      <c r="A148" s="1">
        <v>143</v>
      </c>
      <c r="B148" s="1">
        <f t="shared" ca="1" si="6"/>
        <v>0.62003770050426787</v>
      </c>
      <c r="C148" s="1">
        <f t="shared" ca="1" si="7"/>
        <v>13.39740508552873</v>
      </c>
      <c r="D148" s="1">
        <f t="shared" ca="1" si="8"/>
        <v>0.62003770050426787</v>
      </c>
      <c r="E148" s="1">
        <f ca="1">SUM($B$6:C148)/(2*A148)</f>
        <v>6.3952345914254947</v>
      </c>
      <c r="F148" s="1">
        <f ca="1">SUM($E$6:E148)/A148</f>
        <v>6.3796644579829564</v>
      </c>
    </row>
    <row r="149" spans="1:6" x14ac:dyDescent="0.25">
      <c r="A149" s="1">
        <v>144</v>
      </c>
      <c r="B149" s="1">
        <f t="shared" ca="1" si="6"/>
        <v>2.0806415919822161</v>
      </c>
      <c r="C149" s="1">
        <f t="shared" ca="1" si="7"/>
        <v>4.4486637987875071</v>
      </c>
      <c r="D149" s="1">
        <f t="shared" ca="1" si="8"/>
        <v>2.0806415919822161</v>
      </c>
      <c r="E149" s="1">
        <f ca="1">SUM($B$6:C149)/(2*A149)</f>
        <v>6.3734944393696562</v>
      </c>
      <c r="F149" s="1">
        <f ca="1">SUM($E$6:E149)/A149</f>
        <v>6.3796216106314754</v>
      </c>
    </row>
    <row r="150" spans="1:6" x14ac:dyDescent="0.25">
      <c r="A150" s="1">
        <v>145</v>
      </c>
      <c r="B150" s="1">
        <f t="shared" ca="1" si="6"/>
        <v>4.291673576579683</v>
      </c>
      <c r="C150" s="1">
        <f t="shared" ca="1" si="7"/>
        <v>0.94549077466746789</v>
      </c>
      <c r="D150" s="1">
        <f t="shared" ca="1" si="8"/>
        <v>0.94549077466746789</v>
      </c>
      <c r="E150" s="1">
        <f ca="1">SUM($B$6:C150)/(2*A150)</f>
        <v>6.3475984927231313</v>
      </c>
      <c r="F150" s="1">
        <f ca="1">SUM($E$6:E150)/A150</f>
        <v>6.3794007615424526</v>
      </c>
    </row>
    <row r="151" spans="1:6" x14ac:dyDescent="0.25">
      <c r="A151" s="1">
        <v>146</v>
      </c>
      <c r="B151" s="1">
        <f t="shared" ca="1" si="6"/>
        <v>5.0612730636414209</v>
      </c>
      <c r="C151" s="1">
        <f t="shared" ca="1" si="7"/>
        <v>5.4566999577997368</v>
      </c>
      <c r="D151" s="1">
        <f t="shared" ca="1" si="8"/>
        <v>5.0612730636414209</v>
      </c>
      <c r="E151" s="1">
        <f ca="1">SUM($B$6:C151)/(2*A151)</f>
        <v>6.3401422462710588</v>
      </c>
      <c r="F151" s="1">
        <f ca="1">SUM($E$6:E151)/A151</f>
        <v>6.3791318676022373</v>
      </c>
    </row>
    <row r="152" spans="1:6" x14ac:dyDescent="0.25">
      <c r="A152" s="1">
        <v>147</v>
      </c>
      <c r="B152" s="1">
        <f t="shared" ca="1" si="6"/>
        <v>1.7819718055087908</v>
      </c>
      <c r="C152" s="1">
        <f t="shared" ca="1" si="7"/>
        <v>13.81258260389018</v>
      </c>
      <c r="D152" s="1">
        <f t="shared" ca="1" si="8"/>
        <v>1.7819718055087908</v>
      </c>
      <c r="E152" s="1">
        <f ca="1">SUM($B$6:C152)/(2*A152)</f>
        <v>6.3500547289814566</v>
      </c>
      <c r="F152" s="1">
        <f ca="1">SUM($E$6:E152)/A152</f>
        <v>6.3789340639381509</v>
      </c>
    </row>
    <row r="153" spans="1:6" x14ac:dyDescent="0.25">
      <c r="A153" s="1">
        <v>148</v>
      </c>
      <c r="B153" s="1">
        <f t="shared" ca="1" si="6"/>
        <v>2.8282726942583327</v>
      </c>
      <c r="C153" s="1">
        <f t="shared" ca="1" si="7"/>
        <v>6.2726053380466675</v>
      </c>
      <c r="D153" s="1">
        <f t="shared" ca="1" si="8"/>
        <v>2.8282726942583327</v>
      </c>
      <c r="E153" s="1">
        <f ca="1">SUM($B$6:C153)/(2*A153)</f>
        <v>6.3378951633542338</v>
      </c>
      <c r="F153" s="1">
        <f ca="1">SUM($E$6:E153)/A153</f>
        <v>6.3786567740693405</v>
      </c>
    </row>
    <row r="154" spans="1:6" x14ac:dyDescent="0.25">
      <c r="A154" s="1">
        <v>149</v>
      </c>
      <c r="B154" s="1">
        <f t="shared" ca="1" si="6"/>
        <v>3.0091144527621272</v>
      </c>
      <c r="C154" s="1">
        <f t="shared" ca="1" si="7"/>
        <v>3.2382684825056609</v>
      </c>
      <c r="D154" s="1">
        <f t="shared" ca="1" si="8"/>
        <v>3.0091144527621272</v>
      </c>
      <c r="E154" s="1">
        <f ca="1">SUM($B$6:C154)/(2*A154)</f>
        <v>6.3163233264702043</v>
      </c>
      <c r="F154" s="1">
        <f ca="1">SUM($E$6:E154)/A154</f>
        <v>6.3782384287834395</v>
      </c>
    </row>
    <row r="155" spans="1:6" x14ac:dyDescent="0.25">
      <c r="A155" s="1">
        <v>150</v>
      </c>
      <c r="B155" s="1">
        <f t="shared" ca="1" si="6"/>
        <v>0.21202067908170585</v>
      </c>
      <c r="C155" s="1">
        <f t="shared" ca="1" si="7"/>
        <v>6.5585315173311036</v>
      </c>
      <c r="D155" s="1">
        <f t="shared" ca="1" si="8"/>
        <v>0.21202067908170585</v>
      </c>
      <c r="E155" s="1">
        <f ca="1">SUM($B$6:C155)/(2*A155)</f>
        <v>6.2967830116151129</v>
      </c>
      <c r="F155" s="1">
        <f ca="1">SUM($E$6:E155)/A155</f>
        <v>6.3776953926689846</v>
      </c>
    </row>
    <row r="156" spans="1:6" x14ac:dyDescent="0.25">
      <c r="A156" s="1">
        <v>151</v>
      </c>
      <c r="B156" s="1">
        <f t="shared" ca="1" si="6"/>
        <v>2.7432417263687547</v>
      </c>
      <c r="C156" s="1">
        <f t="shared" ca="1" si="7"/>
        <v>1.6999462131305227</v>
      </c>
      <c r="D156" s="1">
        <f t="shared" ca="1" si="8"/>
        <v>1.6999462131305227</v>
      </c>
      <c r="E156" s="1">
        <f ca="1">SUM($B$6:C156)/(2*A156)</f>
        <v>6.2697950047153412</v>
      </c>
      <c r="F156" s="1">
        <f ca="1">SUM($E$6:E156)/A156</f>
        <v>6.3769808205633316</v>
      </c>
    </row>
    <row r="157" spans="1:6" x14ac:dyDescent="0.25">
      <c r="A157" s="1">
        <v>152</v>
      </c>
      <c r="B157" s="1">
        <f t="shared" ca="1" si="6"/>
        <v>0.55290396169149658</v>
      </c>
      <c r="C157" s="1">
        <f t="shared" ca="1" si="7"/>
        <v>9.3573521056460702</v>
      </c>
      <c r="D157" s="1">
        <f t="shared" ca="1" si="8"/>
        <v>0.55290396169149658</v>
      </c>
      <c r="E157" s="1">
        <f ca="1">SUM($B$6:C157)/(2*A157)</f>
        <v>6.2611458799058237</v>
      </c>
      <c r="F157" s="1">
        <f ca="1">SUM($E$6:E157)/A157</f>
        <v>6.3762187485853214</v>
      </c>
    </row>
    <row r="158" spans="1:6" x14ac:dyDescent="0.25">
      <c r="A158" s="1">
        <v>153</v>
      </c>
      <c r="B158" s="1">
        <f t="shared" ca="1" si="6"/>
        <v>5.1961687931487521</v>
      </c>
      <c r="C158" s="1">
        <f t="shared" ca="1" si="7"/>
        <v>4.3158101991073412</v>
      </c>
      <c r="D158" s="1">
        <f t="shared" ca="1" si="8"/>
        <v>4.3158101991073412</v>
      </c>
      <c r="E158" s="1">
        <f ca="1">SUM($B$6:C158)/(2*A158)</f>
        <v>6.2513082564824396</v>
      </c>
      <c r="F158" s="1">
        <f ca="1">SUM($E$6:E158)/A158</f>
        <v>6.3754023401402042</v>
      </c>
    </row>
    <row r="159" spans="1:6" x14ac:dyDescent="0.25">
      <c r="A159" s="1">
        <v>154</v>
      </c>
      <c r="B159" s="1">
        <f t="shared" ca="1" si="6"/>
        <v>5.680380324893183</v>
      </c>
      <c r="C159" s="1">
        <f t="shared" ca="1" si="7"/>
        <v>6.7054507145862541</v>
      </c>
      <c r="D159" s="1">
        <f t="shared" ca="1" si="8"/>
        <v>5.680380324893183</v>
      </c>
      <c r="E159" s="1">
        <f ca="1">SUM($B$6:C159)/(2*A159)</f>
        <v>6.250929082867227</v>
      </c>
      <c r="F159" s="1">
        <f ca="1">SUM($E$6:E159)/A159</f>
        <v>6.3745940722358334</v>
      </c>
    </row>
    <row r="160" spans="1:6" x14ac:dyDescent="0.25">
      <c r="A160" s="1">
        <v>155</v>
      </c>
      <c r="B160" s="1">
        <f t="shared" ca="1" si="6"/>
        <v>0.28319428091765908</v>
      </c>
      <c r="C160" s="1">
        <f t="shared" ca="1" si="7"/>
        <v>4.1192037537387174</v>
      </c>
      <c r="D160" s="1">
        <f t="shared" ca="1" si="8"/>
        <v>0.28319428091765908</v>
      </c>
      <c r="E160" s="1">
        <f ca="1">SUM($B$6:C160)/(2*A160)</f>
        <v>6.2248017921218137</v>
      </c>
      <c r="F160" s="1">
        <f ca="1">SUM($E$6:E160)/A160</f>
        <v>6.3736276704286468</v>
      </c>
    </row>
    <row r="161" spans="1:6" x14ac:dyDescent="0.25">
      <c r="A161" s="1">
        <v>156</v>
      </c>
      <c r="B161" s="1">
        <f t="shared" ca="1" si="6"/>
        <v>8.2716481475255836</v>
      </c>
      <c r="C161" s="1">
        <f t="shared" ca="1" si="7"/>
        <v>0.85531720375536135</v>
      </c>
      <c r="D161" s="1">
        <f t="shared" ca="1" si="8"/>
        <v>0.85531720375536135</v>
      </c>
      <c r="E161" s="1">
        <f ca="1">SUM($B$6:C161)/(2*A161)</f>
        <v>6.2141523106059076</v>
      </c>
      <c r="F161" s="1">
        <f ca="1">SUM($E$6:E161)/A161</f>
        <v>6.3726053924810646</v>
      </c>
    </row>
    <row r="162" spans="1:6" x14ac:dyDescent="0.25">
      <c r="A162" s="1">
        <v>157</v>
      </c>
      <c r="B162" s="1">
        <f t="shared" ca="1" si="6"/>
        <v>6.15895328943179</v>
      </c>
      <c r="C162" s="1">
        <f t="shared" ca="1" si="7"/>
        <v>12.971142345096602</v>
      </c>
      <c r="D162" s="1">
        <f t="shared" ca="1" si="8"/>
        <v>6.15895328943179</v>
      </c>
      <c r="E162" s="1">
        <f ca="1">SUM($B$6:C162)/(2*A162)</f>
        <v>6.2354955940878076</v>
      </c>
      <c r="F162" s="1">
        <f ca="1">SUM($E$6:E162)/A162</f>
        <v>6.3717320816632732</v>
      </c>
    </row>
    <row r="163" spans="1:6" x14ac:dyDescent="0.25">
      <c r="A163" s="1">
        <v>158</v>
      </c>
      <c r="B163" s="1">
        <f t="shared" ca="1" si="6"/>
        <v>3.7936077939512303</v>
      </c>
      <c r="C163" s="1">
        <f t="shared" ca="1" si="7"/>
        <v>13.46076944753356</v>
      </c>
      <c r="D163" s="1">
        <f t="shared" ca="1" si="8"/>
        <v>3.7936077939512303</v>
      </c>
      <c r="E163" s="1">
        <f ca="1">SUM($B$6:C163)/(2*A163)</f>
        <v>6.2506328917248615</v>
      </c>
      <c r="F163" s="1">
        <f ca="1">SUM($E$6:E163)/A163</f>
        <v>6.3709656310940428</v>
      </c>
    </row>
    <row r="164" spans="1:6" x14ac:dyDescent="0.25">
      <c r="A164" s="1">
        <v>159</v>
      </c>
      <c r="B164" s="1">
        <f t="shared" ca="1" si="6"/>
        <v>6.8494682660858537</v>
      </c>
      <c r="C164" s="1">
        <f t="shared" ca="1" si="7"/>
        <v>9.3507745967038822</v>
      </c>
      <c r="D164" s="1">
        <f t="shared" ca="1" si="8"/>
        <v>6.8494682660858537</v>
      </c>
      <c r="E164" s="1">
        <f ca="1">SUM($B$6:C164)/(2*A164)</f>
        <v>6.2622648951190119</v>
      </c>
      <c r="F164" s="1">
        <f ca="1">SUM($E$6:E164)/A164</f>
        <v>6.3702819786665268</v>
      </c>
    </row>
    <row r="165" spans="1:6" x14ac:dyDescent="0.25">
      <c r="A165" s="1">
        <v>160</v>
      </c>
      <c r="B165" s="1">
        <f t="shared" ca="1" si="6"/>
        <v>1.7346860696498534</v>
      </c>
      <c r="C165" s="1">
        <f t="shared" ca="1" si="7"/>
        <v>8.2418900253585949</v>
      </c>
      <c r="D165" s="1">
        <f t="shared" ca="1" si="8"/>
        <v>1.7346860696498534</v>
      </c>
      <c r="E165" s="1">
        <f ca="1">SUM($B$6:C165)/(2*A165)</f>
        <v>6.2543025398214187</v>
      </c>
      <c r="F165" s="1">
        <f ca="1">SUM($E$6:E165)/A165</f>
        <v>6.3695571071737449</v>
      </c>
    </row>
    <row r="166" spans="1:6" x14ac:dyDescent="0.25">
      <c r="A166" s="1">
        <v>161</v>
      </c>
      <c r="B166" s="1">
        <f t="shared" ca="1" si="6"/>
        <v>1.0471830277114402</v>
      </c>
      <c r="C166" s="1">
        <f t="shared" ca="1" si="7"/>
        <v>2.9695366357871751</v>
      </c>
      <c r="D166" s="1">
        <f t="shared" ca="1" si="8"/>
        <v>1.0471830277114402</v>
      </c>
      <c r="E166" s="1">
        <f ca="1">SUM($B$6:C166)/(2*A166)</f>
        <v>6.2279302248644495</v>
      </c>
      <c r="F166" s="1">
        <f ca="1">SUM($E$6:E166)/A166</f>
        <v>6.368677437097289</v>
      </c>
    </row>
    <row r="167" spans="1:6" x14ac:dyDescent="0.25">
      <c r="A167" s="1">
        <v>162</v>
      </c>
      <c r="B167" s="1">
        <f t="shared" ca="1" si="6"/>
        <v>3.8460320848010889</v>
      </c>
      <c r="C167" s="1">
        <f t="shared" ca="1" si="7"/>
        <v>7.8708275643299093</v>
      </c>
      <c r="D167" s="1">
        <f t="shared" ca="1" si="8"/>
        <v>3.8460320848010889</v>
      </c>
      <c r="E167" s="1">
        <f ca="1">SUM($B$6:C167)/(2*A167)</f>
        <v>6.2256493581959367</v>
      </c>
      <c r="F167" s="1">
        <f ca="1">SUM($E$6:E167)/A167</f>
        <v>6.3677945477213544</v>
      </c>
    </row>
    <row r="168" spans="1:6" x14ac:dyDescent="0.25">
      <c r="A168" s="1">
        <v>163</v>
      </c>
      <c r="B168" s="1">
        <f t="shared" ca="1" si="6"/>
        <v>0.41172622198315079</v>
      </c>
      <c r="C168" s="1">
        <f t="shared" ca="1" si="7"/>
        <v>4.8268904312117673</v>
      </c>
      <c r="D168" s="1">
        <f t="shared" ca="1" si="8"/>
        <v>0.41172622198315079</v>
      </c>
      <c r="E168" s="1">
        <f ca="1">SUM($B$6:C168)/(2*A168)</f>
        <v>6.2035245665910379</v>
      </c>
      <c r="F168" s="1">
        <f ca="1">SUM($E$6:E168)/A168</f>
        <v>6.3667867564260767</v>
      </c>
    </row>
    <row r="169" spans="1:6" x14ac:dyDescent="0.25">
      <c r="A169" s="1">
        <v>164</v>
      </c>
      <c r="B169" s="1">
        <f t="shared" ca="1" si="6"/>
        <v>8.7857326245753846</v>
      </c>
      <c r="C169" s="1">
        <f t="shared" ca="1" si="7"/>
        <v>1.3239010413750147</v>
      </c>
      <c r="D169" s="1">
        <f t="shared" ca="1" si="8"/>
        <v>1.3239010413750147</v>
      </c>
      <c r="E169" s="1">
        <f ca="1">SUM($B$6:C169)/(2*A169)</f>
        <v>6.1965202511421609</v>
      </c>
      <c r="F169" s="1">
        <f ca="1">SUM($E$6:E169)/A169</f>
        <v>6.3657485460280041</v>
      </c>
    </row>
    <row r="170" spans="1:6" x14ac:dyDescent="0.25">
      <c r="A170" s="1">
        <v>165</v>
      </c>
      <c r="B170" s="1">
        <f t="shared" ca="1" si="6"/>
        <v>4.1569383382154221</v>
      </c>
      <c r="C170" s="1">
        <f t="shared" ca="1" si="7"/>
        <v>9.7513487536854839</v>
      </c>
      <c r="D170" s="1">
        <f t="shared" ca="1" si="8"/>
        <v>4.1569383382154221</v>
      </c>
      <c r="E170" s="1">
        <f ca="1">SUM($B$6:C170)/(2*A170)</f>
        <v>6.2011119074743322</v>
      </c>
      <c r="F170" s="1">
        <f ca="1">SUM($E$6:E170)/A170</f>
        <v>6.3647507482185874</v>
      </c>
    </row>
    <row r="171" spans="1:6" x14ac:dyDescent="0.25">
      <c r="A171" s="1">
        <v>166</v>
      </c>
      <c r="B171" s="1">
        <f t="shared" ca="1" si="6"/>
        <v>1.0162942262739338</v>
      </c>
      <c r="C171" s="1">
        <f t="shared" ca="1" si="7"/>
        <v>12.752889692602047</v>
      </c>
      <c r="D171" s="1">
        <f t="shared" ca="1" si="8"/>
        <v>1.0162942262739338</v>
      </c>
      <c r="E171" s="1">
        <f ca="1">SUM($B$6:C171)/(2*A171)</f>
        <v>6.205229257184957</v>
      </c>
      <c r="F171" s="1">
        <f ca="1">SUM($E$6:E171)/A171</f>
        <v>6.3637897753810364</v>
      </c>
    </row>
    <row r="172" spans="1:6" x14ac:dyDescent="0.25">
      <c r="A172" s="1">
        <v>167</v>
      </c>
      <c r="B172" s="1">
        <f t="shared" ca="1" si="6"/>
        <v>9.754637547699275</v>
      </c>
      <c r="C172" s="1">
        <f t="shared" ca="1" si="7"/>
        <v>0.26842048604428903</v>
      </c>
      <c r="D172" s="1">
        <f t="shared" ca="1" si="8"/>
        <v>0.26842048604428903</v>
      </c>
      <c r="E172" s="1">
        <f ca="1">SUM($B$6:C172)/(2*A172)</f>
        <v>6.1980813515543387</v>
      </c>
      <c r="F172" s="1">
        <f ca="1">SUM($E$6:E172)/A172</f>
        <v>6.3627975093700977</v>
      </c>
    </row>
    <row r="173" spans="1:6" x14ac:dyDescent="0.25">
      <c r="A173" s="1">
        <v>168</v>
      </c>
      <c r="B173" s="1">
        <f t="shared" ca="1" si="6"/>
        <v>3.2907214327732168</v>
      </c>
      <c r="C173" s="1">
        <f t="shared" ca="1" si="7"/>
        <v>3.9711077273595503</v>
      </c>
      <c r="D173" s="1">
        <f t="shared" ca="1" si="8"/>
        <v>3.2907214327732168</v>
      </c>
      <c r="E173" s="1">
        <f ca="1">SUM($B$6:C173)/(2*A173)</f>
        <v>6.1828005969621485</v>
      </c>
      <c r="F173" s="1">
        <f ca="1">SUM($E$6:E173)/A173</f>
        <v>6.3617260991771927</v>
      </c>
    </row>
    <row r="174" spans="1:6" x14ac:dyDescent="0.25">
      <c r="A174" s="1">
        <v>169</v>
      </c>
      <c r="B174" s="1">
        <f t="shared" ca="1" si="6"/>
        <v>8.1733081003836592</v>
      </c>
      <c r="C174" s="1">
        <f t="shared" ca="1" si="7"/>
        <v>4.7766768119076106</v>
      </c>
      <c r="D174" s="1">
        <f t="shared" ca="1" si="8"/>
        <v>4.7766768119076106</v>
      </c>
      <c r="E174" s="1">
        <f ca="1">SUM($B$6:C174)/(2*A174)</f>
        <v>6.1845295428744773</v>
      </c>
      <c r="F174" s="1">
        <f ca="1">SUM($E$6:E174)/A174</f>
        <v>6.3606775988440409</v>
      </c>
    </row>
    <row r="175" spans="1:6" x14ac:dyDescent="0.25">
      <c r="A175" s="1">
        <v>170</v>
      </c>
      <c r="B175" s="1">
        <f t="shared" ca="1" si="6"/>
        <v>0.95667957381068258</v>
      </c>
      <c r="C175" s="1">
        <f t="shared" ca="1" si="7"/>
        <v>7.6561625291295243</v>
      </c>
      <c r="D175" s="1">
        <f t="shared" ca="1" si="8"/>
        <v>0.95667957381068258</v>
      </c>
      <c r="E175" s="1">
        <f ca="1">SUM($B$6:C175)/(2*A175)</f>
        <v>6.173481845866216</v>
      </c>
      <c r="F175" s="1">
        <f ca="1">SUM($E$6:E175)/A175</f>
        <v>6.359576447355936</v>
      </c>
    </row>
    <row r="176" spans="1:6" x14ac:dyDescent="0.25">
      <c r="A176" s="1">
        <v>171</v>
      </c>
      <c r="B176" s="1">
        <f t="shared" ca="1" si="6"/>
        <v>5.530974896382407</v>
      </c>
      <c r="C176" s="1">
        <f t="shared" ca="1" si="7"/>
        <v>4.5826855507019246</v>
      </c>
      <c r="D176" s="1">
        <f t="shared" ca="1" si="8"/>
        <v>4.5826855507019246</v>
      </c>
      <c r="E176" s="1">
        <f ca="1">SUM($B$6:C176)/(2*A176)</f>
        <v>6.1669517194198766</v>
      </c>
      <c r="F176" s="1">
        <f ca="1">SUM($E$6:E176)/A176</f>
        <v>6.3584499869586493</v>
      </c>
    </row>
    <row r="177" spans="1:6" x14ac:dyDescent="0.25">
      <c r="A177" s="1">
        <v>172</v>
      </c>
      <c r="B177" s="1">
        <f t="shared" ca="1" si="6"/>
        <v>3.4046993535515204</v>
      </c>
      <c r="C177" s="1">
        <f t="shared" ca="1" si="7"/>
        <v>8.8608368475193924</v>
      </c>
      <c r="D177" s="1">
        <f t="shared" ca="1" si="8"/>
        <v>3.4046993535515204</v>
      </c>
      <c r="E177" s="1">
        <f ca="1">SUM($B$6:C177)/(2*A177)</f>
        <v>6.1667529774496188</v>
      </c>
      <c r="F177" s="1">
        <f ca="1">SUM($E$6:E177)/A177</f>
        <v>6.3573354694615025</v>
      </c>
    </row>
    <row r="178" spans="1:6" x14ac:dyDescent="0.25">
      <c r="A178" s="1">
        <v>173</v>
      </c>
      <c r="B178" s="1">
        <f t="shared" ca="1" si="6"/>
        <v>1.2507999732142994</v>
      </c>
      <c r="C178" s="1">
        <f t="shared" ca="1" si="7"/>
        <v>1.3512500560460372</v>
      </c>
      <c r="D178" s="1">
        <f t="shared" ca="1" si="8"/>
        <v>1.2507999732142994</v>
      </c>
      <c r="E178" s="1">
        <f ca="1">SUM($B$6:C178)/(2*A178)</f>
        <v>6.1386273822888127</v>
      </c>
      <c r="F178" s="1">
        <f ca="1">SUM($E$6:E178)/A178</f>
        <v>6.3560712608651295</v>
      </c>
    </row>
    <row r="179" spans="1:6" x14ac:dyDescent="0.25">
      <c r="A179" s="1">
        <v>174</v>
      </c>
      <c r="B179" s="1">
        <f t="shared" ca="1" si="6"/>
        <v>5.6565758040512648</v>
      </c>
      <c r="C179" s="1">
        <f t="shared" ca="1" si="7"/>
        <v>11.006637906127189</v>
      </c>
      <c r="D179" s="1">
        <f t="shared" ca="1" si="8"/>
        <v>5.6565758040512648</v>
      </c>
      <c r="E179" s="1">
        <f ca="1">SUM($B$6:C179)/(2*A179)</f>
        <v>6.1512307125922625</v>
      </c>
      <c r="F179" s="1">
        <f ca="1">SUM($E$6:E179)/A179</f>
        <v>6.3548940163348249</v>
      </c>
    </row>
    <row r="180" spans="1:6" x14ac:dyDescent="0.25">
      <c r="A180" s="1">
        <v>175</v>
      </c>
      <c r="B180" s="1">
        <f t="shared" ca="1" si="6"/>
        <v>0.9359981601048617</v>
      </c>
      <c r="C180" s="1">
        <f t="shared" ca="1" si="7"/>
        <v>8.6512646890141376</v>
      </c>
      <c r="D180" s="1">
        <f t="shared" ca="1" si="8"/>
        <v>0.9359981601048617</v>
      </c>
      <c r="E180" s="1">
        <f ca="1">SUM($B$6:C180)/(2*A180)</f>
        <v>6.1434730023749324</v>
      </c>
      <c r="F180" s="1">
        <f ca="1">SUM($E$6:E180)/A180</f>
        <v>6.3536858962550546</v>
      </c>
    </row>
    <row r="181" spans="1:6" x14ac:dyDescent="0.25">
      <c r="A181" s="1">
        <v>176</v>
      </c>
      <c r="B181" s="1">
        <f t="shared" ca="1" si="6"/>
        <v>7.1217141990821862</v>
      </c>
      <c r="C181" s="1">
        <f t="shared" ca="1" si="7"/>
        <v>4.2687539819898275</v>
      </c>
      <c r="D181" s="1">
        <f t="shared" ca="1" si="8"/>
        <v>4.2687539819898275</v>
      </c>
      <c r="E181" s="1">
        <f ca="1">SUM($B$6:C181)/(2*A181)</f>
        <v>6.1409261903758479</v>
      </c>
      <c r="F181" s="1">
        <f ca="1">SUM($E$6:E181)/A181</f>
        <v>6.3524770342898327</v>
      </c>
    </row>
    <row r="182" spans="1:6" x14ac:dyDescent="0.25">
      <c r="A182" s="1">
        <v>177</v>
      </c>
      <c r="B182" s="1">
        <f t="shared" ca="1" si="6"/>
        <v>0.98052222679779089</v>
      </c>
      <c r="C182" s="1">
        <f t="shared" ca="1" si="7"/>
        <v>5.979431417793549</v>
      </c>
      <c r="D182" s="1">
        <f t="shared" ca="1" si="8"/>
        <v>0.98052222679779089</v>
      </c>
      <c r="E182" s="1">
        <f ca="1">SUM($B$6:C182)/(2*A182)</f>
        <v>6.1258925781268072</v>
      </c>
      <c r="F182" s="1">
        <f ca="1">SUM($E$6:E182)/A182</f>
        <v>6.3511968961194194</v>
      </c>
    </row>
    <row r="183" spans="1:6" x14ac:dyDescent="0.25">
      <c r="A183" s="1">
        <v>178</v>
      </c>
      <c r="B183" s="1">
        <f t="shared" ca="1" si="6"/>
        <v>0.91543902069742167</v>
      </c>
      <c r="C183" s="1">
        <f t="shared" ca="1" si="7"/>
        <v>9.4433269721431365</v>
      </c>
      <c r="D183" s="1">
        <f t="shared" ca="1" si="8"/>
        <v>0.91543902069742167</v>
      </c>
      <c r="E183" s="1">
        <f ca="1">SUM($B$6:C183)/(2*A183)</f>
        <v>6.1205751085666575</v>
      </c>
      <c r="F183" s="1">
        <f ca="1">SUM($E$6:E183)/A183</f>
        <v>6.34990126809946</v>
      </c>
    </row>
    <row r="184" spans="1:6" x14ac:dyDescent="0.25">
      <c r="A184" s="1">
        <v>179</v>
      </c>
      <c r="B184" s="1">
        <f t="shared" ca="1" si="6"/>
        <v>7.9296973981173533</v>
      </c>
      <c r="C184" s="1">
        <f t="shared" ca="1" si="7"/>
        <v>10.878988649525835</v>
      </c>
      <c r="D184" s="1">
        <f t="shared" ca="1" si="8"/>
        <v>7.9296973981173533</v>
      </c>
      <c r="E184" s="1">
        <f ca="1">SUM($B$6:C184)/(2*A184)</f>
        <v>6.1389201807189195</v>
      </c>
      <c r="F184" s="1">
        <f ca="1">SUM($E$6:E184)/A184</f>
        <v>6.3487226028068315</v>
      </c>
    </row>
    <row r="185" spans="1:6" x14ac:dyDescent="0.25">
      <c r="A185" s="1">
        <v>180</v>
      </c>
      <c r="B185" s="1">
        <f t="shared" ca="1" si="6"/>
        <v>5.3254260187164268</v>
      </c>
      <c r="C185" s="1">
        <f t="shared" ca="1" si="7"/>
        <v>1.3776466606168474</v>
      </c>
      <c r="D185" s="1">
        <f t="shared" ca="1" si="8"/>
        <v>1.3776466606168474</v>
      </c>
      <c r="E185" s="1">
        <f ca="1">SUM($B$6:C185)/(2*A185)</f>
        <v>6.1234347149352955</v>
      </c>
      <c r="F185" s="1">
        <f ca="1">SUM($E$6:E185)/A185</f>
        <v>6.3474710034297672</v>
      </c>
    </row>
    <row r="186" spans="1:6" x14ac:dyDescent="0.25">
      <c r="A186" s="1">
        <v>181</v>
      </c>
      <c r="B186" s="1">
        <f t="shared" ca="1" si="6"/>
        <v>5.8786080511332841</v>
      </c>
      <c r="C186" s="1">
        <f t="shared" ca="1" si="7"/>
        <v>7.783036238881814</v>
      </c>
      <c r="D186" s="1">
        <f t="shared" ca="1" si="8"/>
        <v>5.8786080511332841</v>
      </c>
      <c r="E186" s="1">
        <f ca="1">SUM($B$6:C186)/(2*A186)</f>
        <v>6.1273429327809987</v>
      </c>
      <c r="F186" s="1">
        <f ca="1">SUM($E$6:E186)/A186</f>
        <v>6.3462548262438627</v>
      </c>
    </row>
    <row r="187" spans="1:6" x14ac:dyDescent="0.25">
      <c r="A187" s="1">
        <v>182</v>
      </c>
      <c r="B187" s="1">
        <f t="shared" ca="1" si="6"/>
        <v>5.1236989027600188</v>
      </c>
      <c r="C187" s="1">
        <f t="shared" ca="1" si="7"/>
        <v>9.6422697324152438</v>
      </c>
      <c r="D187" s="1">
        <f t="shared" ca="1" si="8"/>
        <v>5.1236989027600188</v>
      </c>
      <c r="E187" s="1">
        <f ca="1">SUM($B$6:C187)/(2*A187)</f>
        <v>6.1342420612689468</v>
      </c>
      <c r="F187" s="1">
        <f ca="1">SUM($E$6:E187)/A187</f>
        <v>6.3450899209418017</v>
      </c>
    </row>
    <row r="188" spans="1:6" x14ac:dyDescent="0.25">
      <c r="A188" s="1">
        <v>183</v>
      </c>
      <c r="B188" s="1">
        <f t="shared" ca="1" si="6"/>
        <v>0.17403205914335529</v>
      </c>
      <c r="C188" s="1">
        <f t="shared" ca="1" si="7"/>
        <v>0.86620944042205994</v>
      </c>
      <c r="D188" s="1">
        <f t="shared" ca="1" si="8"/>
        <v>0.17403205914335529</v>
      </c>
      <c r="E188" s="1">
        <f ca="1">SUM($B$6:C188)/(2*A188)</f>
        <v>6.103563802736236</v>
      </c>
      <c r="F188" s="1">
        <f ca="1">SUM($E$6:E188)/A188</f>
        <v>6.3437701060882201</v>
      </c>
    </row>
    <row r="189" spans="1:6" x14ac:dyDescent="0.25">
      <c r="A189" s="1">
        <v>184</v>
      </c>
      <c r="B189" s="1">
        <f t="shared" ca="1" si="6"/>
        <v>0.72765181490088926</v>
      </c>
      <c r="C189" s="1">
        <f t="shared" ca="1" si="7"/>
        <v>2.5356751174180268</v>
      </c>
      <c r="D189" s="1">
        <f t="shared" ca="1" si="8"/>
        <v>0.72765181490088926</v>
      </c>
      <c r="E189" s="1">
        <f ca="1">SUM($B$6:C189)/(2*A189)</f>
        <v>6.0792599965591885</v>
      </c>
      <c r="F189" s="1">
        <f ca="1">SUM($E$6:E189)/A189</f>
        <v>6.3423325511451267</v>
      </c>
    </row>
    <row r="190" spans="1:6" x14ac:dyDescent="0.25">
      <c r="A190" s="1">
        <v>185</v>
      </c>
      <c r="B190" s="1">
        <f t="shared" ca="1" si="6"/>
        <v>0.19432253372623109</v>
      </c>
      <c r="C190" s="1">
        <f t="shared" ca="1" si="7"/>
        <v>0.46925496471414141</v>
      </c>
      <c r="D190" s="1">
        <f t="shared" ca="1" si="8"/>
        <v>0.19432253372623109</v>
      </c>
      <c r="E190" s="1">
        <f ca="1">SUM($B$6:C190)/(2*A190)</f>
        <v>6.0481925844114111</v>
      </c>
      <c r="F190" s="1">
        <f ca="1">SUM($E$6:E190)/A190</f>
        <v>6.340742605378999</v>
      </c>
    </row>
    <row r="191" spans="1:6" x14ac:dyDescent="0.25">
      <c r="A191" s="1">
        <v>186</v>
      </c>
      <c r="B191" s="1">
        <f t="shared" ca="1" si="6"/>
        <v>2.6189348870477924</v>
      </c>
      <c r="C191" s="1">
        <f t="shared" ca="1" si="7"/>
        <v>4.1080667376524103</v>
      </c>
      <c r="D191" s="1">
        <f t="shared" ca="1" si="8"/>
        <v>2.6189348870477924</v>
      </c>
      <c r="E191" s="1">
        <f ca="1">SUM($B$6:C191)/(2*A191)</f>
        <v>6.033758757679899</v>
      </c>
      <c r="F191" s="1">
        <f ca="1">SUM($E$6:E191)/A191</f>
        <v>6.3390921545849173</v>
      </c>
    </row>
    <row r="192" spans="1:6" x14ac:dyDescent="0.25">
      <c r="A192" s="1">
        <v>187</v>
      </c>
      <c r="B192" s="1">
        <f t="shared" ca="1" si="6"/>
        <v>0.64173570588304418</v>
      </c>
      <c r="C192" s="1">
        <f t="shared" ca="1" si="7"/>
        <v>1.716918945606825</v>
      </c>
      <c r="D192" s="1">
        <f t="shared" ca="1" si="8"/>
        <v>0.64173570588304418</v>
      </c>
      <c r="E192" s="1">
        <f ca="1">SUM($B$6:C192)/(2*A192)</f>
        <v>6.0077992313059152</v>
      </c>
      <c r="F192" s="1">
        <f ca="1">SUM($E$6:E192)/A192</f>
        <v>6.3373205346743342</v>
      </c>
    </row>
    <row r="193" spans="1:6" x14ac:dyDescent="0.25">
      <c r="A193" s="1">
        <v>188</v>
      </c>
      <c r="B193" s="1">
        <f t="shared" ca="1" si="6"/>
        <v>1.01918993216084</v>
      </c>
      <c r="C193" s="1">
        <f t="shared" ca="1" si="7"/>
        <v>1.8840680849889773</v>
      </c>
      <c r="D193" s="1">
        <f t="shared" ca="1" si="8"/>
        <v>1.01918993216084</v>
      </c>
      <c r="E193" s="1">
        <f ca="1">SUM($B$6:C193)/(2*A193)</f>
        <v>5.9835642833126643</v>
      </c>
      <c r="F193" s="1">
        <f ca="1">SUM($E$6:E193)/A193</f>
        <v>6.3354388524862406</v>
      </c>
    </row>
    <row r="194" spans="1:6" x14ac:dyDescent="0.25">
      <c r="A194" s="1">
        <v>189</v>
      </c>
      <c r="B194" s="1">
        <f t="shared" ca="1" si="6"/>
        <v>9.933766774237613</v>
      </c>
      <c r="C194" s="1">
        <f t="shared" ca="1" si="7"/>
        <v>10.563507872010065</v>
      </c>
      <c r="D194" s="1">
        <f t="shared" ca="1" si="8"/>
        <v>9.933766774237613</v>
      </c>
      <c r="E194" s="1">
        <f ca="1">SUM($B$6:C194)/(2*A194)</f>
        <v>6.0061308073328297</v>
      </c>
      <c r="F194" s="1">
        <f ca="1">SUM($E$6:E194)/A194</f>
        <v>6.333696481876963</v>
      </c>
    </row>
    <row r="195" spans="1:6" x14ac:dyDescent="0.25">
      <c r="A195" s="1">
        <v>190</v>
      </c>
      <c r="B195" s="1">
        <f t="shared" ca="1" si="6"/>
        <v>5.9725814657583056</v>
      </c>
      <c r="C195" s="1">
        <f t="shared" ca="1" si="7"/>
        <v>2.0509637707726327</v>
      </c>
      <c r="D195" s="1">
        <f t="shared" ca="1" si="8"/>
        <v>2.0509637707726327</v>
      </c>
      <c r="E195" s="1">
        <f ca="1">SUM($B$6:C195)/(2*A195)</f>
        <v>5.9956341852851063</v>
      </c>
      <c r="F195" s="1">
        <f ca="1">SUM($E$6:E195)/A195</f>
        <v>6.3319172066317426</v>
      </c>
    </row>
    <row r="196" spans="1:6" x14ac:dyDescent="0.25">
      <c r="A196" s="1">
        <v>191</v>
      </c>
      <c r="B196" s="1">
        <f t="shared" ca="1" si="6"/>
        <v>4.5837344011195613</v>
      </c>
      <c r="C196" s="1">
        <f t="shared" ca="1" si="7"/>
        <v>14.286105961278157</v>
      </c>
      <c r="D196" s="1">
        <f t="shared" ca="1" si="8"/>
        <v>4.5837344011195613</v>
      </c>
      <c r="E196" s="1">
        <f ca="1">SUM($B$6:C196)/(2*A196)</f>
        <v>6.0136409182480071</v>
      </c>
      <c r="F196" s="1">
        <f ca="1">SUM($E$6:E196)/A196</f>
        <v>6.330250838629734</v>
      </c>
    </row>
    <row r="197" spans="1:6" x14ac:dyDescent="0.25">
      <c r="A197" s="1">
        <v>192</v>
      </c>
      <c r="B197" s="1">
        <f t="shared" ca="1" si="6"/>
        <v>8.3584415139227737</v>
      </c>
      <c r="C197" s="1">
        <f t="shared" ca="1" si="7"/>
        <v>1.1575779451648165</v>
      </c>
      <c r="D197" s="1">
        <f t="shared" ca="1" si="8"/>
        <v>1.1575779451648165</v>
      </c>
      <c r="E197" s="1">
        <f ca="1">SUM($B$6:C197)/(2*A197)</f>
        <v>6.0071011724735053</v>
      </c>
      <c r="F197" s="1">
        <f ca="1">SUM($E$6:E197)/A197</f>
        <v>6.3285677674518368</v>
      </c>
    </row>
    <row r="198" spans="1:6" x14ac:dyDescent="0.25">
      <c r="A198" s="1">
        <v>193</v>
      </c>
      <c r="B198" s="1">
        <f t="shared" ca="1" si="6"/>
        <v>7.0110786924386028</v>
      </c>
      <c r="C198" s="1">
        <f t="shared" ca="1" si="7"/>
        <v>1.1191222002084289</v>
      </c>
      <c r="D198" s="1">
        <f t="shared" ca="1" si="8"/>
        <v>1.1191222002084289</v>
      </c>
      <c r="E198" s="1">
        <f ca="1">SUM($B$6:C198)/(2*A198)</f>
        <v>5.9970389925452681</v>
      </c>
      <c r="F198" s="1">
        <f ca="1">SUM($E$6:E198)/A198</f>
        <v>6.3268500017787455</v>
      </c>
    </row>
    <row r="199" spans="1:6" x14ac:dyDescent="0.25">
      <c r="A199" s="1">
        <v>194</v>
      </c>
      <c r="B199" s="1">
        <f t="shared" ref="B199:B262" ca="1" si="9">RAND()*$D$1</f>
        <v>7.4693473268662691</v>
      </c>
      <c r="C199" s="1">
        <f t="shared" ref="C199:C262" ca="1" si="10">RAND()*$D$2</f>
        <v>12.990405546667853</v>
      </c>
      <c r="D199" s="1">
        <f t="shared" ref="D199:D262" ca="1" si="11">MIN(B199:C199)</f>
        <v>7.4693473268662691</v>
      </c>
      <c r="E199" s="1">
        <f ca="1">SUM($B$6:C199)/(2*A199)</f>
        <v>6.0188577422577509</v>
      </c>
      <c r="F199" s="1">
        <f ca="1">SUM($E$6:E199)/A199</f>
        <v>6.3252624128121422</v>
      </c>
    </row>
    <row r="200" spans="1:6" x14ac:dyDescent="0.25">
      <c r="A200" s="1">
        <v>195</v>
      </c>
      <c r="B200" s="1">
        <f t="shared" ca="1" si="9"/>
        <v>3.1829754626919993</v>
      </c>
      <c r="C200" s="1">
        <f t="shared" ca="1" si="10"/>
        <v>14.479094298651196</v>
      </c>
      <c r="D200" s="1">
        <f t="shared" ca="1" si="11"/>
        <v>3.1829754626919993</v>
      </c>
      <c r="E200" s="1">
        <f ca="1">SUM($B$6:C200)/(2*A200)</f>
        <v>6.033279163480386</v>
      </c>
      <c r="F200" s="1">
        <f ca="1">SUM($E$6:E200)/A200</f>
        <v>6.3237650628155686</v>
      </c>
    </row>
    <row r="201" spans="1:6" x14ac:dyDescent="0.25">
      <c r="A201" s="1">
        <v>196</v>
      </c>
      <c r="B201" s="1">
        <f t="shared" ca="1" si="9"/>
        <v>8.4753943561281524</v>
      </c>
      <c r="C201" s="1">
        <f t="shared" ca="1" si="10"/>
        <v>13.656391510599088</v>
      </c>
      <c r="D201" s="1">
        <f t="shared" ca="1" si="11"/>
        <v>8.4753943561281524</v>
      </c>
      <c r="E201" s="1">
        <f ca="1">SUM($B$6:C201)/(2*A201)</f>
        <v>6.0589557643471368</v>
      </c>
      <c r="F201" s="1">
        <f ca="1">SUM($E$6:E201)/A201</f>
        <v>6.3224139949662392</v>
      </c>
    </row>
    <row r="202" spans="1:6" x14ac:dyDescent="0.25">
      <c r="A202" s="1">
        <v>197</v>
      </c>
      <c r="B202" s="1">
        <f t="shared" ca="1" si="9"/>
        <v>5.9743241466179935</v>
      </c>
      <c r="C202" s="1">
        <f t="shared" ca="1" si="10"/>
        <v>8.1724099831635062</v>
      </c>
      <c r="D202" s="1">
        <f t="shared" ca="1" si="11"/>
        <v>5.9743241466179935</v>
      </c>
      <c r="E202" s="1">
        <f ca="1">SUM($B$6:C202)/(2*A202)</f>
        <v>6.0641050602889823</v>
      </c>
      <c r="F202" s="1">
        <f ca="1">SUM($E$6:E202)/A202</f>
        <v>6.3211027820998575</v>
      </c>
    </row>
    <row r="203" spans="1:6" x14ac:dyDescent="0.25">
      <c r="A203" s="1">
        <v>198</v>
      </c>
      <c r="B203" s="1">
        <f t="shared" ca="1" si="9"/>
        <v>9.5024354411266412</v>
      </c>
      <c r="C203" s="1">
        <f t="shared" ca="1" si="10"/>
        <v>4.2971659447067054</v>
      </c>
      <c r="D203" s="1">
        <f t="shared" ca="1" si="11"/>
        <v>4.2971659447067054</v>
      </c>
      <c r="E203" s="1">
        <f ca="1">SUM($B$6:C203)/(2*A203)</f>
        <v>6.0683257453022534</v>
      </c>
      <c r="F203" s="1">
        <f ca="1">SUM($E$6:E203)/A203</f>
        <v>6.3198261303988597</v>
      </c>
    </row>
    <row r="204" spans="1:6" x14ac:dyDescent="0.25">
      <c r="A204" s="1">
        <v>199</v>
      </c>
      <c r="B204" s="1">
        <f t="shared" ca="1" si="9"/>
        <v>1.8210010635883855</v>
      </c>
      <c r="C204" s="1">
        <f t="shared" ca="1" si="10"/>
        <v>4.627760083633448</v>
      </c>
      <c r="D204" s="1">
        <f t="shared" ca="1" si="11"/>
        <v>1.8210010635883855</v>
      </c>
      <c r="E204" s="1">
        <f ca="1">SUM($B$6:C204)/(2*A204)</f>
        <v>6.0540345635349606</v>
      </c>
      <c r="F204" s="1">
        <f ca="1">SUM($E$6:E204)/A204</f>
        <v>6.3184904943844682</v>
      </c>
    </row>
    <row r="205" spans="1:6" x14ac:dyDescent="0.25">
      <c r="A205" s="1">
        <v>200</v>
      </c>
      <c r="B205" s="1">
        <f t="shared" ca="1" si="9"/>
        <v>9.3500610185266773</v>
      </c>
      <c r="C205" s="1">
        <f t="shared" ca="1" si="10"/>
        <v>13.907298413613706</v>
      </c>
      <c r="D205" s="1">
        <f t="shared" ca="1" si="11"/>
        <v>9.3500610185266773</v>
      </c>
      <c r="E205" s="1">
        <f ca="1">SUM($B$6:C205)/(2*A205)</f>
        <v>6.0819077892976363</v>
      </c>
      <c r="F205" s="1">
        <f ca="1">SUM($E$6:E205)/A205</f>
        <v>6.3173075808590342</v>
      </c>
    </row>
    <row r="206" spans="1:6" x14ac:dyDescent="0.25">
      <c r="A206" s="1">
        <v>201</v>
      </c>
      <c r="B206" s="1">
        <f t="shared" ca="1" si="9"/>
        <v>5.8017680047952584</v>
      </c>
      <c r="C206" s="1">
        <f t="shared" ca="1" si="10"/>
        <v>12.143840151734951</v>
      </c>
      <c r="D206" s="1">
        <f t="shared" ca="1" si="11"/>
        <v>5.8017680047952584</v>
      </c>
      <c r="E206" s="1">
        <f ca="1">SUM($B$6:C206)/(2*A206)</f>
        <v>6.0962903578994636</v>
      </c>
      <c r="F206" s="1">
        <f ca="1">SUM($E$6:E206)/A206</f>
        <v>6.316207992685106</v>
      </c>
    </row>
    <row r="207" spans="1:6" x14ac:dyDescent="0.25">
      <c r="A207" s="1">
        <v>202</v>
      </c>
      <c r="B207" s="1">
        <f t="shared" ca="1" si="9"/>
        <v>3.1067853521324884</v>
      </c>
      <c r="C207" s="1">
        <f t="shared" ca="1" si="10"/>
        <v>11.118459259164768</v>
      </c>
      <c r="D207" s="1">
        <f t="shared" ca="1" si="11"/>
        <v>3.1067853521324884</v>
      </c>
      <c r="E207" s="1">
        <f ca="1">SUM($B$6:C207)/(2*A207)</f>
        <v>6.1013217041754499</v>
      </c>
      <c r="F207" s="1">
        <f ca="1">SUM($E$6:E207)/A207</f>
        <v>6.3151441991776327</v>
      </c>
    </row>
    <row r="208" spans="1:6" x14ac:dyDescent="0.25">
      <c r="A208" s="1">
        <v>203</v>
      </c>
      <c r="B208" s="1">
        <f t="shared" ca="1" si="9"/>
        <v>0.22418353906578092</v>
      </c>
      <c r="C208" s="1">
        <f t="shared" ca="1" si="10"/>
        <v>14.499456028250954</v>
      </c>
      <c r="D208" s="1">
        <f t="shared" ca="1" si="11"/>
        <v>0.22418353906578092</v>
      </c>
      <c r="E208" s="1">
        <f ca="1">SUM($B$6:C208)/(2*A208)</f>
        <v>6.1075310543206864</v>
      </c>
      <c r="F208" s="1">
        <f ca="1">SUM($E$6:E208)/A208</f>
        <v>6.3141214743261198</v>
      </c>
    </row>
    <row r="209" spans="1:6" x14ac:dyDescent="0.25">
      <c r="A209" s="1">
        <v>204</v>
      </c>
      <c r="B209" s="1">
        <f t="shared" ca="1" si="9"/>
        <v>5.0947340607005378</v>
      </c>
      <c r="C209" s="1">
        <f t="shared" ca="1" si="10"/>
        <v>12.420714826960589</v>
      </c>
      <c r="D209" s="1">
        <f t="shared" ca="1" si="11"/>
        <v>5.0947340607005378</v>
      </c>
      <c r="E209" s="1">
        <f ca="1">SUM($B$6:C209)/(2*A209)</f>
        <v>6.1205221983869107</v>
      </c>
      <c r="F209" s="1">
        <f ca="1">SUM($E$6:E209)/A209</f>
        <v>6.3131724582675943</v>
      </c>
    </row>
    <row r="210" spans="1:6" x14ac:dyDescent="0.25">
      <c r="A210" s="1">
        <v>205</v>
      </c>
      <c r="B210" s="1">
        <f t="shared" ca="1" si="9"/>
        <v>9.2388421701944718</v>
      </c>
      <c r="C210" s="1">
        <f t="shared" ca="1" si="10"/>
        <v>5.3913019109763844</v>
      </c>
      <c r="D210" s="1">
        <f t="shared" ca="1" si="11"/>
        <v>5.3913019109763844</v>
      </c>
      <c r="E210" s="1">
        <f ca="1">SUM($B$6:C210)/(2*A210)</f>
        <v>6.1263492707878786</v>
      </c>
      <c r="F210" s="1">
        <f ca="1">SUM($E$6:E210)/A210</f>
        <v>6.3122611256457422</v>
      </c>
    </row>
    <row r="211" spans="1:6" x14ac:dyDescent="0.25">
      <c r="A211" s="1">
        <v>206</v>
      </c>
      <c r="B211" s="1">
        <f t="shared" ca="1" si="9"/>
        <v>8.3397453876331458</v>
      </c>
      <c r="C211" s="1">
        <f t="shared" ca="1" si="10"/>
        <v>4.2247998882549798</v>
      </c>
      <c r="D211" s="1">
        <f t="shared" ca="1" si="11"/>
        <v>4.2247998882549798</v>
      </c>
      <c r="E211" s="1">
        <f ca="1">SUM($B$6:C211)/(2*A211)</f>
        <v>6.1271061803371811</v>
      </c>
      <c r="F211" s="1">
        <f ca="1">SUM($E$6:E211)/A211</f>
        <v>6.3113623152316229</v>
      </c>
    </row>
    <row r="212" spans="1:6" x14ac:dyDescent="0.25">
      <c r="A212" s="1">
        <v>207</v>
      </c>
      <c r="B212" s="1">
        <f t="shared" ca="1" si="9"/>
        <v>0.66890959061414179</v>
      </c>
      <c r="C212" s="1">
        <f t="shared" ca="1" si="10"/>
        <v>12.622510411984058</v>
      </c>
      <c r="D212" s="1">
        <f t="shared" ca="1" si="11"/>
        <v>0.66890959061414179</v>
      </c>
      <c r="E212" s="1">
        <f ca="1">SUM($B$6:C212)/(2*A212)</f>
        <v>6.129611512805595</v>
      </c>
      <c r="F212" s="1">
        <f ca="1">SUM($E$6:E212)/A212</f>
        <v>6.3104842920314983</v>
      </c>
    </row>
    <row r="213" spans="1:6" x14ac:dyDescent="0.25">
      <c r="A213" s="1">
        <v>208</v>
      </c>
      <c r="B213" s="1">
        <f t="shared" ca="1" si="9"/>
        <v>4.1035937542475658</v>
      </c>
      <c r="C213" s="1">
        <f t="shared" ca="1" si="10"/>
        <v>8.2310662510973138</v>
      </c>
      <c r="D213" s="1">
        <f t="shared" ca="1" si="11"/>
        <v>4.1035937542475658</v>
      </c>
      <c r="E213" s="1">
        <f ca="1">SUM($B$6:C213)/(2*A213)</f>
        <v>6.1297928516991851</v>
      </c>
      <c r="F213" s="1">
        <f ca="1">SUM($E$6:E213)/A213</f>
        <v>6.3096155831837466</v>
      </c>
    </row>
    <row r="214" spans="1:6" x14ac:dyDescent="0.25">
      <c r="A214" s="1">
        <v>209</v>
      </c>
      <c r="B214" s="1">
        <f t="shared" ca="1" si="9"/>
        <v>1.7060248306946202</v>
      </c>
      <c r="C214" s="1">
        <f t="shared" ca="1" si="10"/>
        <v>6.7230982403502617</v>
      </c>
      <c r="D214" s="1">
        <f t="shared" ca="1" si="11"/>
        <v>1.7060248306946202</v>
      </c>
      <c r="E214" s="1">
        <f ca="1">SUM($B$6:C214)/(2*A214)</f>
        <v>6.1206290654973836</v>
      </c>
      <c r="F214" s="1">
        <f ca="1">SUM($E$6:E214)/A214</f>
        <v>6.3087113414723293</v>
      </c>
    </row>
    <row r="215" spans="1:6" x14ac:dyDescent="0.25">
      <c r="A215" s="1">
        <v>210</v>
      </c>
      <c r="B215" s="1">
        <f t="shared" ca="1" si="9"/>
        <v>8.4599299457783079</v>
      </c>
      <c r="C215" s="1">
        <f t="shared" ca="1" si="10"/>
        <v>3.770908251440491</v>
      </c>
      <c r="D215" s="1">
        <f t="shared" ca="1" si="11"/>
        <v>3.770908251440491</v>
      </c>
      <c r="E215" s="1">
        <f ca="1">SUM($B$6:C215)/(2*A215)</f>
        <v>6.1206042561312506</v>
      </c>
      <c r="F215" s="1">
        <f ca="1">SUM($E$6:E215)/A215</f>
        <v>6.3078155934468949</v>
      </c>
    </row>
    <row r="216" spans="1:6" x14ac:dyDescent="0.25">
      <c r="A216" s="1">
        <v>211</v>
      </c>
      <c r="B216" s="1">
        <f t="shared" ca="1" si="9"/>
        <v>6.2410360217952787</v>
      </c>
      <c r="C216" s="1">
        <f t="shared" ca="1" si="10"/>
        <v>13.060793557549347</v>
      </c>
      <c r="D216" s="1">
        <f t="shared" ca="1" si="11"/>
        <v>6.2410360217952787</v>
      </c>
      <c r="E216" s="1">
        <f ca="1">SUM($B$6:C216)/(2*A216)</f>
        <v>6.1373355856740996</v>
      </c>
      <c r="F216" s="1">
        <f ca="1">SUM($E$6:E216)/A216</f>
        <v>6.3070076313247485</v>
      </c>
    </row>
    <row r="217" spans="1:6" x14ac:dyDescent="0.25">
      <c r="A217" s="1">
        <v>212</v>
      </c>
      <c r="B217" s="1">
        <f t="shared" ca="1" si="9"/>
        <v>2.7729153567667844</v>
      </c>
      <c r="C217" s="1">
        <f t="shared" ca="1" si="10"/>
        <v>14.747818750412835</v>
      </c>
      <c r="D217" s="1">
        <f t="shared" ca="1" si="11"/>
        <v>2.7729153567667844</v>
      </c>
      <c r="E217" s="1">
        <f ca="1">SUM($B$6:C217)/(2*A217)</f>
        <v>6.1497083756170978</v>
      </c>
      <c r="F217" s="1">
        <f ca="1">SUM($E$6:E217)/A217</f>
        <v>6.3062656537034867</v>
      </c>
    </row>
    <row r="218" spans="1:6" x14ac:dyDescent="0.25">
      <c r="A218" s="1">
        <v>213</v>
      </c>
      <c r="B218" s="1">
        <f t="shared" ca="1" si="9"/>
        <v>3.9904760147955374</v>
      </c>
      <c r="C218" s="1">
        <f t="shared" ca="1" si="10"/>
        <v>10.931839011478448</v>
      </c>
      <c r="D218" s="1">
        <f t="shared" ca="1" si="11"/>
        <v>3.9904760147955374</v>
      </c>
      <c r="E218" s="1">
        <f ca="1">SUM($B$6:C218)/(2*A218)</f>
        <v>6.1558654138214175</v>
      </c>
      <c r="F218" s="1">
        <f ca="1">SUM($E$6:E218)/A218</f>
        <v>6.3055595492908942</v>
      </c>
    </row>
    <row r="219" spans="1:6" x14ac:dyDescent="0.25">
      <c r="A219" s="1">
        <v>214</v>
      </c>
      <c r="B219" s="1">
        <f t="shared" ca="1" si="9"/>
        <v>4.4168208400471389</v>
      </c>
      <c r="C219" s="1">
        <f t="shared" ca="1" si="10"/>
        <v>2.2324966446114884</v>
      </c>
      <c r="D219" s="1">
        <f t="shared" ca="1" si="11"/>
        <v>2.2324966446114884</v>
      </c>
      <c r="E219" s="1">
        <f ca="1">SUM($B$6:C219)/(2*A219)</f>
        <v>6.1426354761041635</v>
      </c>
      <c r="F219" s="1">
        <f ca="1">SUM($E$6:E219)/A219</f>
        <v>6.304798221846097</v>
      </c>
    </row>
    <row r="220" spans="1:6" x14ac:dyDescent="0.25">
      <c r="A220" s="1">
        <v>215</v>
      </c>
      <c r="B220" s="1">
        <f t="shared" ca="1" si="9"/>
        <v>9.3312206758892504</v>
      </c>
      <c r="C220" s="1">
        <f t="shared" ca="1" si="10"/>
        <v>11.336849302013533</v>
      </c>
      <c r="D220" s="1">
        <f t="shared" ca="1" si="11"/>
        <v>9.3312206758892504</v>
      </c>
      <c r="E220" s="1">
        <f ca="1">SUM($B$6:C220)/(2*A220)</f>
        <v>6.162130357559267</v>
      </c>
      <c r="F220" s="1">
        <f ca="1">SUM($E$6:E220)/A220</f>
        <v>6.3041346503842979</v>
      </c>
    </row>
    <row r="221" spans="1:6" x14ac:dyDescent="0.25">
      <c r="A221" s="1">
        <v>216</v>
      </c>
      <c r="B221" s="1">
        <f t="shared" ca="1" si="9"/>
        <v>0.1006901361900614</v>
      </c>
      <c r="C221" s="1">
        <f t="shared" ca="1" si="10"/>
        <v>8.6457619631069278</v>
      </c>
      <c r="D221" s="1">
        <f t="shared" ca="1" si="11"/>
        <v>0.1006901361900614</v>
      </c>
      <c r="E221" s="1">
        <f ca="1">SUM($B$6:C221)/(2*A221)</f>
        <v>6.153848393170791</v>
      </c>
      <c r="F221" s="1">
        <f ca="1">SUM($E$6:E221)/A221</f>
        <v>6.3034388806749764</v>
      </c>
    </row>
    <row r="222" spans="1:6" x14ac:dyDescent="0.25">
      <c r="A222" s="1">
        <v>217</v>
      </c>
      <c r="B222" s="1">
        <f t="shared" ca="1" si="9"/>
        <v>5.6833994792183731</v>
      </c>
      <c r="C222" s="1">
        <f t="shared" ca="1" si="10"/>
        <v>1.4808094575039803</v>
      </c>
      <c r="D222" s="1">
        <f t="shared" ca="1" si="11"/>
        <v>1.4808094575039803</v>
      </c>
      <c r="E222" s="1">
        <f ca="1">SUM($B$6:C222)/(2*A222)</f>
        <v>6.1419970386785812</v>
      </c>
      <c r="F222" s="1">
        <f ca="1">SUM($E$6:E222)/A222</f>
        <v>6.3026949090528728</v>
      </c>
    </row>
    <row r="223" spans="1:6" x14ac:dyDescent="0.25">
      <c r="A223" s="1">
        <v>218</v>
      </c>
      <c r="B223" s="1">
        <f t="shared" ca="1" si="9"/>
        <v>8.355771582814759</v>
      </c>
      <c r="C223" s="1">
        <f t="shared" ca="1" si="10"/>
        <v>6.5034122445243918</v>
      </c>
      <c r="D223" s="1">
        <f t="shared" ca="1" si="11"/>
        <v>6.5034122445243918</v>
      </c>
      <c r="E223" s="1">
        <f ca="1">SUM($B$6:C223)/(2*A223)</f>
        <v>6.1479034371877139</v>
      </c>
      <c r="F223" s="1">
        <f ca="1">SUM($E$6:E223)/A223</f>
        <v>6.3019848564296383</v>
      </c>
    </row>
    <row r="224" spans="1:6" x14ac:dyDescent="0.25">
      <c r="A224" s="1">
        <v>219</v>
      </c>
      <c r="B224" s="1">
        <f t="shared" ca="1" si="9"/>
        <v>5.4971194853513596</v>
      </c>
      <c r="C224" s="1">
        <f t="shared" ca="1" si="10"/>
        <v>1.4406452439689215</v>
      </c>
      <c r="D224" s="1">
        <f t="shared" ca="1" si="11"/>
        <v>1.4406452439689215</v>
      </c>
      <c r="E224" s="1">
        <f ca="1">SUM($B$6:C224)/(2*A224)</f>
        <v>6.1356704642537983</v>
      </c>
      <c r="F224" s="1">
        <f ca="1">SUM($E$6:E224)/A224</f>
        <v>6.301225429981347</v>
      </c>
    </row>
    <row r="225" spans="1:6" x14ac:dyDescent="0.25">
      <c r="A225" s="1">
        <v>220</v>
      </c>
      <c r="B225" s="1">
        <f t="shared" ca="1" si="9"/>
        <v>5.7400661185240676</v>
      </c>
      <c r="C225" s="1">
        <f t="shared" ca="1" si="10"/>
        <v>8.6454687535559867</v>
      </c>
      <c r="D225" s="1">
        <f t="shared" ca="1" si="11"/>
        <v>5.7400661185240676</v>
      </c>
      <c r="E225" s="1">
        <f ca="1">SUM($B$6:C225)/(2*A225)</f>
        <v>6.1404754504891912</v>
      </c>
      <c r="F225" s="1">
        <f ca="1">SUM($E$6:E225)/A225</f>
        <v>6.3004947482563827</v>
      </c>
    </row>
    <row r="226" spans="1:6" x14ac:dyDescent="0.25">
      <c r="A226" s="1">
        <v>221</v>
      </c>
      <c r="B226" s="1">
        <f t="shared" ca="1" si="9"/>
        <v>3.3572107125044925</v>
      </c>
      <c r="C226" s="1">
        <f t="shared" ca="1" si="10"/>
        <v>6.4120337732687362</v>
      </c>
      <c r="D226" s="1">
        <f t="shared" ca="1" si="11"/>
        <v>3.3572107125044925</v>
      </c>
      <c r="E226" s="1">
        <f ca="1">SUM($B$6:C226)/(2*A226)</f>
        <v>6.1347928567896322</v>
      </c>
      <c r="F226" s="1">
        <f ca="1">SUM($E$6:E226)/A226</f>
        <v>6.299744965942053</v>
      </c>
    </row>
    <row r="227" spans="1:6" x14ac:dyDescent="0.25">
      <c r="A227" s="1">
        <v>222</v>
      </c>
      <c r="B227" s="1">
        <f t="shared" ca="1" si="9"/>
        <v>9.1085355854380303</v>
      </c>
      <c r="C227" s="1">
        <f t="shared" ca="1" si="10"/>
        <v>13.270443029663861</v>
      </c>
      <c r="D227" s="1">
        <f t="shared" ca="1" si="11"/>
        <v>9.1085355854380303</v>
      </c>
      <c r="E227" s="1">
        <f ca="1">SUM($B$6:C227)/(2*A227)</f>
        <v>6.1575617597209895</v>
      </c>
      <c r="F227" s="1">
        <f ca="1">SUM($E$6:E227)/A227</f>
        <v>6.2991045010491655</v>
      </c>
    </row>
    <row r="228" spans="1:6" x14ac:dyDescent="0.25">
      <c r="A228" s="1">
        <v>223</v>
      </c>
      <c r="B228" s="1">
        <f t="shared" ca="1" si="9"/>
        <v>0.64934274565607186</v>
      </c>
      <c r="C228" s="1">
        <f t="shared" ca="1" si="10"/>
        <v>10.924365975591259</v>
      </c>
      <c r="D228" s="1">
        <f t="shared" ca="1" si="11"/>
        <v>0.64934274565607186</v>
      </c>
      <c r="E228" s="1">
        <f ca="1">SUM($B$6:C228)/(2*A228)</f>
        <v>6.1558993947026162</v>
      </c>
      <c r="F228" s="1">
        <f ca="1">SUM($E$6:E228)/A228</f>
        <v>6.2984623256843824</v>
      </c>
    </row>
    <row r="229" spans="1:6" x14ac:dyDescent="0.25">
      <c r="A229" s="1">
        <v>224</v>
      </c>
      <c r="B229" s="1">
        <f t="shared" ca="1" si="9"/>
        <v>7.0392842068975163</v>
      </c>
      <c r="C229" s="1">
        <f t="shared" ca="1" si="10"/>
        <v>0.79360834385882373</v>
      </c>
      <c r="D229" s="1">
        <f t="shared" ca="1" si="11"/>
        <v>0.79360834385882373</v>
      </c>
      <c r="E229" s="1">
        <f ca="1">SUM($B$6:C229)/(2*A229)</f>
        <v>6.1459018361342048</v>
      </c>
      <c r="F229" s="1">
        <f ca="1">SUM($E$6:E229)/A229</f>
        <v>6.2977812520703198</v>
      </c>
    </row>
    <row r="230" spans="1:6" x14ac:dyDescent="0.25">
      <c r="A230" s="1">
        <v>225</v>
      </c>
      <c r="B230" s="1">
        <f t="shared" ca="1" si="9"/>
        <v>0.4445978521332028</v>
      </c>
      <c r="C230" s="1">
        <f t="shared" ca="1" si="10"/>
        <v>2.3586214725055008</v>
      </c>
      <c r="D230" s="1">
        <f t="shared" ca="1" si="11"/>
        <v>0.4445978521332028</v>
      </c>
      <c r="E230" s="1">
        <f ca="1">SUM($B$6:C230)/(2*A230)</f>
        <v>6.1248160931394713</v>
      </c>
      <c r="F230" s="1">
        <f ca="1">SUM($E$6:E230)/A230</f>
        <v>6.2970125180306269</v>
      </c>
    </row>
    <row r="231" spans="1:6" x14ac:dyDescent="0.25">
      <c r="A231" s="1">
        <v>226</v>
      </c>
      <c r="B231" s="1">
        <f t="shared" ca="1" si="9"/>
        <v>1.8382177857191173</v>
      </c>
      <c r="C231" s="1">
        <f t="shared" ca="1" si="10"/>
        <v>2.5965750932415803</v>
      </c>
      <c r="D231" s="1">
        <f t="shared" ca="1" si="11"/>
        <v>1.8382177857191173</v>
      </c>
      <c r="E231" s="1">
        <f ca="1">SUM($B$6:C231)/(2*A231)</f>
        <v>6.1075266256454048</v>
      </c>
      <c r="F231" s="1">
        <f ca="1">SUM($E$6:E231)/A231</f>
        <v>6.2961740848784808</v>
      </c>
    </row>
    <row r="232" spans="1:6" x14ac:dyDescent="0.25">
      <c r="A232" s="1">
        <v>227</v>
      </c>
      <c r="B232" s="1">
        <f t="shared" ca="1" si="9"/>
        <v>7.6720632082564331</v>
      </c>
      <c r="C232" s="1">
        <f t="shared" ca="1" si="10"/>
        <v>1.6451290629795405</v>
      </c>
      <c r="D232" s="1">
        <f t="shared" ca="1" si="11"/>
        <v>1.6451290629795405</v>
      </c>
      <c r="E232" s="1">
        <f ca="1">SUM($B$6:C232)/(2*A232)</f>
        <v>6.1011436719448433</v>
      </c>
      <c r="F232" s="1">
        <f ca="1">SUM($E$6:E232)/A232</f>
        <v>6.2953149200637943</v>
      </c>
    </row>
    <row r="233" spans="1:6" x14ac:dyDescent="0.25">
      <c r="A233" s="1">
        <v>228</v>
      </c>
      <c r="B233" s="1">
        <f t="shared" ca="1" si="9"/>
        <v>2.5690753559263912</v>
      </c>
      <c r="C233" s="1">
        <f t="shared" ca="1" si="10"/>
        <v>8.2488691413887683</v>
      </c>
      <c r="D233" s="1">
        <f t="shared" ca="1" si="11"/>
        <v>2.5690753559263912</v>
      </c>
      <c r="E233" s="1">
        <f ca="1">SUM($B$6:C233)/(2*A233)</f>
        <v>6.0981078323690214</v>
      </c>
      <c r="F233" s="1">
        <f ca="1">SUM($E$6:E233)/A233</f>
        <v>6.294449976696713</v>
      </c>
    </row>
    <row r="234" spans="1:6" x14ac:dyDescent="0.25">
      <c r="A234" s="1">
        <v>229</v>
      </c>
      <c r="B234" s="1">
        <f t="shared" ca="1" si="9"/>
        <v>6.9972762857880095</v>
      </c>
      <c r="C234" s="1">
        <f t="shared" ca="1" si="10"/>
        <v>11.119632999696126</v>
      </c>
      <c r="D234" s="1">
        <f t="shared" ca="1" si="11"/>
        <v>6.9972762857880095</v>
      </c>
      <c r="E234" s="1">
        <f ca="1">SUM($B$6:C234)/(2*A234)</f>
        <v>6.1110351110169381</v>
      </c>
      <c r="F234" s="1">
        <f ca="1">SUM($E$6:E234)/A234</f>
        <v>6.2936490384186348</v>
      </c>
    </row>
    <row r="235" spans="1:6" x14ac:dyDescent="0.25">
      <c r="A235" s="1">
        <v>230</v>
      </c>
      <c r="B235" s="1">
        <f t="shared" ca="1" si="9"/>
        <v>7.3723245785288825</v>
      </c>
      <c r="C235" s="1">
        <f t="shared" ca="1" si="10"/>
        <v>11.234623612595632</v>
      </c>
      <c r="D235" s="1">
        <f t="shared" ca="1" si="11"/>
        <v>7.3723245785288825</v>
      </c>
      <c r="E235" s="1">
        <f ca="1">SUM($B$6:C235)/(2*A235)</f>
        <v>6.124915280514962</v>
      </c>
      <c r="F235" s="1">
        <f ca="1">SUM($E$6:E235)/A235</f>
        <v>6.2929154133842706</v>
      </c>
    </row>
    <row r="236" spans="1:6" x14ac:dyDescent="0.25">
      <c r="A236" s="1">
        <v>231</v>
      </c>
      <c r="B236" s="1">
        <f t="shared" ca="1" si="9"/>
        <v>5.3622023917732253</v>
      </c>
      <c r="C236" s="1">
        <f t="shared" ca="1" si="10"/>
        <v>5.6792833084498326</v>
      </c>
      <c r="D236" s="1">
        <f t="shared" ca="1" si="11"/>
        <v>5.3622023917732253</v>
      </c>
      <c r="E236" s="1">
        <f ca="1">SUM($B$6:C236)/(2*A236)</f>
        <v>6.1222998154482795</v>
      </c>
      <c r="F236" s="1">
        <f ca="1">SUM($E$6:E236)/A236</f>
        <v>6.2921768177222104</v>
      </c>
    </row>
    <row r="237" spans="1:6" x14ac:dyDescent="0.25">
      <c r="A237" s="1">
        <v>232</v>
      </c>
      <c r="B237" s="1">
        <f t="shared" ca="1" si="9"/>
        <v>2.4573486856027538</v>
      </c>
      <c r="C237" s="1">
        <f t="shared" ca="1" si="10"/>
        <v>7.5473504711745933</v>
      </c>
      <c r="D237" s="1">
        <f t="shared" ca="1" si="11"/>
        <v>2.4573486856027538</v>
      </c>
      <c r="E237" s="1">
        <f ca="1">SUM($B$6:C237)/(2*A237)</f>
        <v>6.1174724437368164</v>
      </c>
      <c r="F237" s="1">
        <f ca="1">SUM($E$6:E237)/A237</f>
        <v>6.2914237816274463</v>
      </c>
    </row>
    <row r="238" spans="1:6" x14ac:dyDescent="0.25">
      <c r="A238" s="1">
        <v>233</v>
      </c>
      <c r="B238" s="1">
        <f t="shared" ca="1" si="9"/>
        <v>6.1573445798392354</v>
      </c>
      <c r="C238" s="1">
        <f t="shared" ca="1" si="10"/>
        <v>4.6653301094334507</v>
      </c>
      <c r="D238" s="1">
        <f t="shared" ca="1" si="11"/>
        <v>4.6653301094334507</v>
      </c>
      <c r="E238" s="1">
        <f ca="1">SUM($B$6:C238)/(2*A238)</f>
        <v>6.1144418209938962</v>
      </c>
      <c r="F238" s="1">
        <f ca="1">SUM($E$6:E238)/A238</f>
        <v>6.2906642023972594</v>
      </c>
    </row>
    <row r="239" spans="1:6" x14ac:dyDescent="0.25">
      <c r="A239" s="1">
        <v>234</v>
      </c>
      <c r="B239" s="1">
        <f t="shared" ca="1" si="9"/>
        <v>9.4659264214665644</v>
      </c>
      <c r="C239" s="1">
        <f t="shared" ca="1" si="10"/>
        <v>12.607565437193349</v>
      </c>
      <c r="D239" s="1">
        <f t="shared" ca="1" si="11"/>
        <v>9.4659264214665644</v>
      </c>
      <c r="E239" s="1">
        <f ca="1">SUM($B$6:C239)/(2*A239)</f>
        <v>6.1354773086363581</v>
      </c>
      <c r="F239" s="1">
        <f ca="1">SUM($E$6:E239)/A239</f>
        <v>6.2900010105435804</v>
      </c>
    </row>
    <row r="240" spans="1:6" x14ac:dyDescent="0.25">
      <c r="A240" s="1">
        <v>235</v>
      </c>
      <c r="B240" s="1">
        <f t="shared" ca="1" si="9"/>
        <v>5.409515318726986</v>
      </c>
      <c r="C240" s="1">
        <f t="shared" ca="1" si="10"/>
        <v>6.7477396002508909</v>
      </c>
      <c r="D240" s="1">
        <f t="shared" ca="1" si="11"/>
        <v>5.409515318726986</v>
      </c>
      <c r="E240" s="1">
        <f ca="1">SUM($B$6:C240)/(2*A240)</f>
        <v>6.135235394384666</v>
      </c>
      <c r="F240" s="1">
        <f ca="1">SUM($E$6:E240)/A240</f>
        <v>6.2893424334535428</v>
      </c>
    </row>
    <row r="241" spans="1:6" x14ac:dyDescent="0.25">
      <c r="A241" s="1">
        <v>236</v>
      </c>
      <c r="B241" s="1">
        <f t="shared" ca="1" si="9"/>
        <v>8.4868316529834011</v>
      </c>
      <c r="C241" s="1">
        <f t="shared" ca="1" si="10"/>
        <v>9.3621858605779504</v>
      </c>
      <c r="D241" s="1">
        <f t="shared" ca="1" si="11"/>
        <v>8.4868316529834011</v>
      </c>
      <c r="E241" s="1">
        <f ca="1">SUM($B$6:C241)/(2*A241)</f>
        <v>6.1470543493100731</v>
      </c>
      <c r="F241" s="1">
        <f ca="1">SUM($E$6:E241)/A241</f>
        <v>6.2887395178427647</v>
      </c>
    </row>
    <row r="242" spans="1:6" x14ac:dyDescent="0.25">
      <c r="A242" s="1">
        <v>237</v>
      </c>
      <c r="B242" s="1">
        <f t="shared" ca="1" si="9"/>
        <v>1.5689210254011654</v>
      </c>
      <c r="C242" s="1">
        <f t="shared" ca="1" si="10"/>
        <v>1.414287819457668</v>
      </c>
      <c r="D242" s="1">
        <f t="shared" ca="1" si="11"/>
        <v>1.414287819457668</v>
      </c>
      <c r="E242" s="1">
        <f ca="1">SUM($B$6:C242)/(2*A242)</f>
        <v>6.127411100673446</v>
      </c>
      <c r="F242" s="1">
        <f ca="1">SUM($E$6:E242)/A242</f>
        <v>6.2880588072217982</v>
      </c>
    </row>
    <row r="243" spans="1:6" x14ac:dyDescent="0.25">
      <c r="A243" s="1">
        <v>238</v>
      </c>
      <c r="B243" s="1">
        <f t="shared" ca="1" si="9"/>
        <v>0.84843775601305071</v>
      </c>
      <c r="C243" s="1">
        <f t="shared" ca="1" si="10"/>
        <v>10.734151680129893</v>
      </c>
      <c r="D243" s="1">
        <f t="shared" ca="1" si="11"/>
        <v>0.84843775601305071</v>
      </c>
      <c r="E243" s="1">
        <f ca="1">SUM($B$6:C243)/(2*A243)</f>
        <v>6.1259988469650333</v>
      </c>
      <c r="F243" s="1">
        <f ca="1">SUM($E$6:E243)/A243</f>
        <v>6.2873778830190385</v>
      </c>
    </row>
    <row r="244" spans="1:6" x14ac:dyDescent="0.25">
      <c r="A244" s="1">
        <v>239</v>
      </c>
      <c r="B244" s="1">
        <f t="shared" ca="1" si="9"/>
        <v>6.9759447658863092</v>
      </c>
      <c r="C244" s="1">
        <f t="shared" ca="1" si="10"/>
        <v>9.3444071974754461</v>
      </c>
      <c r="D244" s="1">
        <f t="shared" ca="1" si="11"/>
        <v>6.9759447658863092</v>
      </c>
      <c r="E244" s="1">
        <f ca="1">SUM($B$6:C244)/(2*A244)</f>
        <v>6.1345100483655184</v>
      </c>
      <c r="F244" s="1">
        <f ca="1">SUM($E$6:E244)/A244</f>
        <v>6.2867382686481026</v>
      </c>
    </row>
    <row r="245" spans="1:6" x14ac:dyDescent="0.25">
      <c r="A245" s="1">
        <v>240</v>
      </c>
      <c r="B245" s="1">
        <f t="shared" ca="1" si="9"/>
        <v>4.9368280122390633</v>
      </c>
      <c r="C245" s="1">
        <f t="shared" ca="1" si="10"/>
        <v>13.00439936603307</v>
      </c>
      <c r="D245" s="1">
        <f t="shared" ca="1" si="11"/>
        <v>4.9368280122390633</v>
      </c>
      <c r="E245" s="1">
        <f ca="1">SUM($B$6:C245)/(2*A245)</f>
        <v>6.1463271468687282</v>
      </c>
      <c r="F245" s="1">
        <f ca="1">SUM($E$6:E245)/A245</f>
        <v>6.2861532223073562</v>
      </c>
    </row>
    <row r="246" spans="1:6" x14ac:dyDescent="0.25">
      <c r="A246" s="1">
        <v>241</v>
      </c>
      <c r="B246" s="1">
        <f t="shared" ca="1" si="9"/>
        <v>1.5835150782138019</v>
      </c>
      <c r="C246" s="1">
        <f t="shared" ca="1" si="10"/>
        <v>3.7331641359778045</v>
      </c>
      <c r="D246" s="1">
        <f t="shared" ca="1" si="11"/>
        <v>1.5835150782138019</v>
      </c>
      <c r="E246" s="1">
        <f ca="1">SUM($B$6:C246)/(2*A246)</f>
        <v>6.1318541695252717</v>
      </c>
      <c r="F246" s="1">
        <f ca="1">SUM($E$6:E246)/A246</f>
        <v>6.2855129772750651</v>
      </c>
    </row>
    <row r="247" spans="1:6" x14ac:dyDescent="0.25">
      <c r="A247" s="1">
        <v>242</v>
      </c>
      <c r="B247" s="1">
        <f t="shared" ca="1" si="9"/>
        <v>4.6604984831783955</v>
      </c>
      <c r="C247" s="1">
        <f t="shared" ca="1" si="10"/>
        <v>4.5426181541277213</v>
      </c>
      <c r="D247" s="1">
        <f t="shared" ca="1" si="11"/>
        <v>4.5426181541277213</v>
      </c>
      <c r="E247" s="1">
        <f ca="1">SUM($B$6:C247)/(2*A247)</f>
        <v>6.1255306329514196</v>
      </c>
      <c r="F247" s="1">
        <f ca="1">SUM($E$6:E247)/A247</f>
        <v>6.2848518932076125</v>
      </c>
    </row>
    <row r="248" spans="1:6" x14ac:dyDescent="0.25">
      <c r="A248" s="1">
        <v>243</v>
      </c>
      <c r="B248" s="1">
        <f t="shared" ca="1" si="9"/>
        <v>3.2451070799585349</v>
      </c>
      <c r="C248" s="1">
        <f t="shared" ca="1" si="10"/>
        <v>4.7832023128320884</v>
      </c>
      <c r="D248" s="1">
        <f t="shared" ca="1" si="11"/>
        <v>3.2451070799585349</v>
      </c>
      <c r="E248" s="1">
        <f ca="1">SUM($B$6:C248)/(2*A248)</f>
        <v>6.1168418430890492</v>
      </c>
      <c r="F248" s="1">
        <f ca="1">SUM($E$6:E248)/A248</f>
        <v>6.284160493824408</v>
      </c>
    </row>
    <row r="249" spans="1:6" x14ac:dyDescent="0.25">
      <c r="A249" s="1">
        <v>244</v>
      </c>
      <c r="B249" s="1">
        <f t="shared" ca="1" si="9"/>
        <v>5.2598000278696162</v>
      </c>
      <c r="C249" s="1">
        <f t="shared" ca="1" si="10"/>
        <v>13.245086908925288</v>
      </c>
      <c r="D249" s="1">
        <f t="shared" ca="1" si="11"/>
        <v>5.2598000278696162</v>
      </c>
      <c r="E249" s="1">
        <f ca="1">SUM($B$6:C249)/(2*A249)</f>
        <v>6.1296926694222797</v>
      </c>
      <c r="F249" s="1">
        <f ca="1">SUM($E$6:E249)/A249</f>
        <v>6.2835274289703005</v>
      </c>
    </row>
    <row r="250" spans="1:6" x14ac:dyDescent="0.25">
      <c r="A250" s="1">
        <v>245</v>
      </c>
      <c r="B250" s="1">
        <f t="shared" ca="1" si="9"/>
        <v>9.6895072168626388</v>
      </c>
      <c r="C250" s="1">
        <f t="shared" ca="1" si="10"/>
        <v>2.0907614964642001</v>
      </c>
      <c r="D250" s="1">
        <f t="shared" ca="1" si="11"/>
        <v>2.0907614964642001</v>
      </c>
      <c r="E250" s="1">
        <f ca="1">SUM($B$6:C250)/(2*A250)</f>
        <v>6.1287148803906106</v>
      </c>
      <c r="F250" s="1">
        <f ca="1">SUM($E$6:E250)/A250</f>
        <v>6.2828955410169147</v>
      </c>
    </row>
    <row r="251" spans="1:6" x14ac:dyDescent="0.25">
      <c r="A251" s="1">
        <v>246</v>
      </c>
      <c r="B251" s="1">
        <f t="shared" ca="1" si="9"/>
        <v>9.8195870654073687</v>
      </c>
      <c r="C251" s="1">
        <f t="shared" ca="1" si="10"/>
        <v>12.038115754035456</v>
      </c>
      <c r="D251" s="1">
        <f t="shared" ca="1" si="11"/>
        <v>9.8195870654073687</v>
      </c>
      <c r="E251" s="1">
        <f ca="1">SUM($B$6:C251)/(2*A251)</f>
        <v>6.1482276305098411</v>
      </c>
      <c r="F251" s="1">
        <f ca="1">SUM($E$6:E251)/A251</f>
        <v>6.2823481104863976</v>
      </c>
    </row>
    <row r="252" spans="1:6" x14ac:dyDescent="0.25">
      <c r="A252" s="1">
        <v>247</v>
      </c>
      <c r="B252" s="1">
        <f t="shared" ca="1" si="9"/>
        <v>8.5134254862978711</v>
      </c>
      <c r="C252" s="1">
        <f t="shared" ca="1" si="10"/>
        <v>13.216790110398204</v>
      </c>
      <c r="D252" s="1">
        <f t="shared" ca="1" si="11"/>
        <v>8.5134254862978711</v>
      </c>
      <c r="E252" s="1">
        <f ca="1">SUM($B$6:C252)/(2*A252)</f>
        <v>6.1673243113512912</v>
      </c>
      <c r="F252" s="1">
        <f ca="1">SUM($E$6:E252)/A252</f>
        <v>6.2818824270890889</v>
      </c>
    </row>
    <row r="253" spans="1:6" x14ac:dyDescent="0.25">
      <c r="A253" s="1">
        <v>248</v>
      </c>
      <c r="B253" s="1">
        <f t="shared" ca="1" si="9"/>
        <v>5.6975337973750104</v>
      </c>
      <c r="C253" s="1">
        <f t="shared" ca="1" si="10"/>
        <v>1.4819243217168681</v>
      </c>
      <c r="D253" s="1">
        <f t="shared" ca="1" si="11"/>
        <v>1.4819243217168681</v>
      </c>
      <c r="E253" s="1">
        <f ca="1">SUM($B$6:C253)/(2*A253)</f>
        <v>6.1569307821101411</v>
      </c>
      <c r="F253" s="1">
        <f ca="1">SUM($E$6:E253)/A253</f>
        <v>6.2813785898109478</v>
      </c>
    </row>
    <row r="254" spans="1:6" x14ac:dyDescent="0.25">
      <c r="A254" s="1">
        <v>249</v>
      </c>
      <c r="B254" s="1">
        <f t="shared" ca="1" si="9"/>
        <v>2.5471737537413253</v>
      </c>
      <c r="C254" s="1">
        <f t="shared" ca="1" si="10"/>
        <v>3.3093819980590982</v>
      </c>
      <c r="D254" s="1">
        <f t="shared" ca="1" si="11"/>
        <v>2.5471737537413253</v>
      </c>
      <c r="E254" s="1">
        <f ca="1">SUM($B$6:C254)/(2*A254)</f>
        <v>6.1439643045751611</v>
      </c>
      <c r="F254" s="1">
        <f ca="1">SUM($E$6:E254)/A254</f>
        <v>6.2808267252116075</v>
      </c>
    </row>
    <row r="255" spans="1:6" x14ac:dyDescent="0.25">
      <c r="A255" s="1">
        <v>250</v>
      </c>
      <c r="B255" s="1">
        <f t="shared" ca="1" si="9"/>
        <v>8.8230041761594347</v>
      </c>
      <c r="C255" s="1">
        <f t="shared" ca="1" si="10"/>
        <v>5.2591026774381904</v>
      </c>
      <c r="D255" s="1">
        <f t="shared" ca="1" si="11"/>
        <v>5.2591026774381904</v>
      </c>
      <c r="E255" s="1">
        <f ca="1">SUM($B$6:C255)/(2*A255)</f>
        <v>6.1475526610640552</v>
      </c>
      <c r="F255" s="1">
        <f ca="1">SUM($E$6:E255)/A255</f>
        <v>6.2802936289550173</v>
      </c>
    </row>
    <row r="256" spans="1:6" x14ac:dyDescent="0.25">
      <c r="A256" s="1">
        <v>251</v>
      </c>
      <c r="B256" s="1">
        <f t="shared" ca="1" si="9"/>
        <v>8.6323329063194656</v>
      </c>
      <c r="C256" s="1">
        <f t="shared" ca="1" si="10"/>
        <v>5.9661525263645778</v>
      </c>
      <c r="D256" s="1">
        <f t="shared" ca="1" si="11"/>
        <v>5.9661525263645778</v>
      </c>
      <c r="E256" s="1">
        <f ca="1">SUM($B$6:C256)/(2*A256)</f>
        <v>6.1521410676587882</v>
      </c>
      <c r="F256" s="1">
        <f ca="1">SUM($E$6:E256)/A256</f>
        <v>6.2797830609817247</v>
      </c>
    </row>
    <row r="257" spans="1:6" x14ac:dyDescent="0.25">
      <c r="A257" s="1">
        <v>252</v>
      </c>
      <c r="B257" s="1">
        <f t="shared" ca="1" si="9"/>
        <v>6.8689259068287427</v>
      </c>
      <c r="C257" s="1">
        <f t="shared" ca="1" si="10"/>
        <v>12.396673439350106</v>
      </c>
      <c r="D257" s="1">
        <f t="shared" ca="1" si="11"/>
        <v>6.8689259068287427</v>
      </c>
      <c r="E257" s="1">
        <f ca="1">SUM($B$6:C257)/(2*A257)</f>
        <v>6.1659532049819257</v>
      </c>
      <c r="F257" s="1">
        <f ca="1">SUM($E$6:E257)/A257</f>
        <v>6.279331355203948</v>
      </c>
    </row>
    <row r="258" spans="1:6" x14ac:dyDescent="0.25">
      <c r="A258" s="1">
        <v>253</v>
      </c>
      <c r="B258" s="1">
        <f t="shared" ca="1" si="9"/>
        <v>8.1797120271317585</v>
      </c>
      <c r="C258" s="1">
        <f t="shared" ca="1" si="10"/>
        <v>14.9539679581658</v>
      </c>
      <c r="D258" s="1">
        <f t="shared" ca="1" si="11"/>
        <v>8.1797120271317585</v>
      </c>
      <c r="E258" s="1">
        <f ca="1">SUM($B$6:C258)/(2*A258)</f>
        <v>6.1873005835893045</v>
      </c>
      <c r="F258" s="1">
        <f ca="1">SUM($E$6:E258)/A258</f>
        <v>6.2789675972133763</v>
      </c>
    </row>
    <row r="259" spans="1:6" x14ac:dyDescent="0.25">
      <c r="A259" s="1">
        <v>254</v>
      </c>
      <c r="B259" s="1">
        <f t="shared" ca="1" si="9"/>
        <v>5.3870107801096703</v>
      </c>
      <c r="C259" s="1">
        <f t="shared" ca="1" si="10"/>
        <v>11.959828155544049</v>
      </c>
      <c r="D259" s="1">
        <f t="shared" ca="1" si="11"/>
        <v>5.3870107801096703</v>
      </c>
      <c r="E259" s="1">
        <f ca="1">SUM($B$6:C259)/(2*A259)</f>
        <v>6.1970884532122863</v>
      </c>
      <c r="F259" s="1">
        <f ca="1">SUM($E$6:E259)/A259</f>
        <v>6.2786452383787266</v>
      </c>
    </row>
    <row r="260" spans="1:6" x14ac:dyDescent="0.25">
      <c r="A260" s="1">
        <v>255</v>
      </c>
      <c r="B260" s="1">
        <f t="shared" ca="1" si="9"/>
        <v>1.2649668974992845</v>
      </c>
      <c r="C260" s="1">
        <f t="shared" ca="1" si="10"/>
        <v>10.470565153467158</v>
      </c>
      <c r="D260" s="1">
        <f t="shared" ca="1" si="11"/>
        <v>1.2649668974992845</v>
      </c>
      <c r="E260" s="1">
        <f ca="1">SUM($B$6:C260)/(2*A260)</f>
        <v>6.1957969927113883</v>
      </c>
      <c r="F260" s="1">
        <f ca="1">SUM($E$6:E260)/A260</f>
        <v>6.2783203432976782</v>
      </c>
    </row>
    <row r="261" spans="1:6" x14ac:dyDescent="0.25">
      <c r="A261" s="1">
        <v>256</v>
      </c>
      <c r="B261" s="1">
        <f t="shared" ca="1" si="9"/>
        <v>0.99450139616562572</v>
      </c>
      <c r="C261" s="1">
        <f t="shared" ca="1" si="10"/>
        <v>7.1182214407147004</v>
      </c>
      <c r="D261" s="1">
        <f t="shared" ca="1" si="11"/>
        <v>0.99450139616562572</v>
      </c>
      <c r="E261" s="1">
        <f ca="1">SUM($B$6:C261)/(2*A261)</f>
        <v>6.1874398224993907</v>
      </c>
      <c r="F261" s="1">
        <f ca="1">SUM($E$6:E261)/A261</f>
        <v>6.2779653412633092</v>
      </c>
    </row>
    <row r="262" spans="1:6" x14ac:dyDescent="0.25">
      <c r="A262" s="1">
        <v>257</v>
      </c>
      <c r="B262" s="1">
        <f t="shared" ca="1" si="9"/>
        <v>1.841604707372192</v>
      </c>
      <c r="C262" s="1">
        <f t="shared" ca="1" si="10"/>
        <v>9.0079569092144425</v>
      </c>
      <c r="D262" s="1">
        <f t="shared" ca="1" si="11"/>
        <v>1.841604707372192</v>
      </c>
      <c r="E262" s="1">
        <f ca="1">SUM($B$6:C262)/(2*A262)</f>
        <v>6.184472277697032</v>
      </c>
      <c r="F262" s="1">
        <f ca="1">SUM($E$6:E262)/A262</f>
        <v>6.2776015550237521</v>
      </c>
    </row>
    <row r="263" spans="1:6" x14ac:dyDescent="0.25">
      <c r="A263" s="1">
        <v>258</v>
      </c>
      <c r="B263" s="1">
        <f t="shared" ref="B263:B326" ca="1" si="12">RAND()*$D$1</f>
        <v>7.3870085256490796</v>
      </c>
      <c r="C263" s="1">
        <f t="shared" ref="C263:C326" ca="1" si="13">RAND()*$D$2</f>
        <v>4.0595893637733704</v>
      </c>
      <c r="D263" s="1">
        <f t="shared" ref="D263:D326" ca="1" si="14">MIN(B263:C263)</f>
        <v>4.0595893637733704</v>
      </c>
      <c r="E263" s="1">
        <f ca="1">SUM($B$6:C263)/(2*A263)</f>
        <v>6.1826847841583268</v>
      </c>
      <c r="F263" s="1">
        <f ca="1">SUM($E$6:E263)/A263</f>
        <v>6.2772336605630326</v>
      </c>
    </row>
    <row r="264" spans="1:6" x14ac:dyDescent="0.25">
      <c r="A264" s="1">
        <v>259</v>
      </c>
      <c r="B264" s="1">
        <f t="shared" ca="1" si="12"/>
        <v>3.4742895663679385</v>
      </c>
      <c r="C264" s="1">
        <f t="shared" ca="1" si="13"/>
        <v>3.8660788366967598</v>
      </c>
      <c r="D264" s="1">
        <f t="shared" ca="1" si="14"/>
        <v>3.4742895663679385</v>
      </c>
      <c r="E264" s="1">
        <f ca="1">SUM($B$6:C264)/(2*A264)</f>
        <v>6.172984009708034</v>
      </c>
      <c r="F264" s="1">
        <f ca="1">SUM($E$6:E264)/A264</f>
        <v>6.2768311522585734</v>
      </c>
    </row>
    <row r="265" spans="1:6" x14ac:dyDescent="0.25">
      <c r="A265" s="1">
        <v>260</v>
      </c>
      <c r="B265" s="1">
        <f t="shared" ca="1" si="12"/>
        <v>8.7641635551189339</v>
      </c>
      <c r="C265" s="1">
        <f t="shared" ca="1" si="13"/>
        <v>3.1710486579994637</v>
      </c>
      <c r="D265" s="1">
        <f t="shared" ca="1" si="14"/>
        <v>3.1710486579994637</v>
      </c>
      <c r="E265" s="1">
        <f ca="1">SUM($B$6:C265)/(2*A265)</f>
        <v>6.1721940946959242</v>
      </c>
      <c r="F265" s="1">
        <f ca="1">SUM($E$6:E265)/A265</f>
        <v>6.2764287020371787</v>
      </c>
    </row>
    <row r="266" spans="1:6" x14ac:dyDescent="0.25">
      <c r="A266" s="1">
        <v>261</v>
      </c>
      <c r="B266" s="1">
        <f t="shared" ca="1" si="12"/>
        <v>7.4073239499952512</v>
      </c>
      <c r="C266" s="1">
        <f t="shared" ca="1" si="13"/>
        <v>9.8835282198958438</v>
      </c>
      <c r="D266" s="1">
        <f t="shared" ca="1" si="14"/>
        <v>7.4073239499952512</v>
      </c>
      <c r="E266" s="1">
        <f ca="1">SUM($B$6:C266)/(2*A266)</f>
        <v>6.1816700793328954</v>
      </c>
      <c r="F266" s="1">
        <f ca="1">SUM($E$6:E266)/A266</f>
        <v>6.2760656421800736</v>
      </c>
    </row>
    <row r="267" spans="1:6" x14ac:dyDescent="0.25">
      <c r="A267" s="1">
        <v>262</v>
      </c>
      <c r="B267" s="1">
        <f t="shared" ca="1" si="12"/>
        <v>3.8707276701272377</v>
      </c>
      <c r="C267" s="1">
        <f t="shared" ca="1" si="13"/>
        <v>11.809470221721083</v>
      </c>
      <c r="D267" s="1">
        <f t="shared" ca="1" si="14"/>
        <v>3.8707276701272377</v>
      </c>
      <c r="E267" s="1">
        <f ca="1">SUM($B$6:C267)/(2*A267)</f>
        <v>6.18799996050309</v>
      </c>
      <c r="F267" s="1">
        <f ca="1">SUM($E$6:E267)/A267</f>
        <v>6.2757295136240545</v>
      </c>
    </row>
    <row r="268" spans="1:6" x14ac:dyDescent="0.25">
      <c r="A268" s="1">
        <v>263</v>
      </c>
      <c r="B268" s="1">
        <f t="shared" ca="1" si="12"/>
        <v>6.0213773723412043</v>
      </c>
      <c r="C268" s="1">
        <f t="shared" ca="1" si="13"/>
        <v>0.56556055216577583</v>
      </c>
      <c r="D268" s="1">
        <f t="shared" ca="1" si="14"/>
        <v>0.56556055216577583</v>
      </c>
      <c r="E268" s="1">
        <f ca="1">SUM($B$6:C268)/(2*A268)</f>
        <v>6.17699413921697</v>
      </c>
      <c r="F268" s="1">
        <f ca="1">SUM($E$6:E268)/A268</f>
        <v>6.2753540939495025</v>
      </c>
    </row>
    <row r="269" spans="1:6" x14ac:dyDescent="0.25">
      <c r="A269" s="1">
        <v>264</v>
      </c>
      <c r="B269" s="1">
        <f t="shared" ca="1" si="12"/>
        <v>3.586169778988527</v>
      </c>
      <c r="C269" s="1">
        <f t="shared" ca="1" si="13"/>
        <v>1.51881119091186</v>
      </c>
      <c r="D269" s="1">
        <f t="shared" ca="1" si="14"/>
        <v>1.51881119091186</v>
      </c>
      <c r="E269" s="1">
        <f ca="1">SUM($B$6:C269)/(2*A269)</f>
        <v>6.1632649587083836</v>
      </c>
      <c r="F269" s="1">
        <f ca="1">SUM($E$6:E269)/A269</f>
        <v>6.2749295138917711</v>
      </c>
    </row>
    <row r="270" spans="1:6" x14ac:dyDescent="0.25">
      <c r="A270" s="1">
        <v>265</v>
      </c>
      <c r="B270" s="1">
        <f t="shared" ca="1" si="12"/>
        <v>3.0228584325289876</v>
      </c>
      <c r="C270" s="1">
        <f t="shared" ca="1" si="13"/>
        <v>1.7331923156910412</v>
      </c>
      <c r="D270" s="1">
        <f t="shared" ca="1" si="14"/>
        <v>1.7331923156910412</v>
      </c>
      <c r="E270" s="1">
        <f ca="1">SUM($B$6:C270)/(2*A270)</f>
        <v>6.148981035747636</v>
      </c>
      <c r="F270" s="1">
        <f ca="1">SUM($E$6:E270)/A270</f>
        <v>6.2744542366157559</v>
      </c>
    </row>
    <row r="271" spans="1:6" x14ac:dyDescent="0.25">
      <c r="A271" s="1">
        <v>266</v>
      </c>
      <c r="B271" s="1">
        <f t="shared" ca="1" si="12"/>
        <v>8.9136881088927939</v>
      </c>
      <c r="C271" s="1">
        <f t="shared" ca="1" si="13"/>
        <v>0.71091710309258482</v>
      </c>
      <c r="D271" s="1">
        <f t="shared" ca="1" si="14"/>
        <v>0.71091710309258482</v>
      </c>
      <c r="E271" s="1">
        <f ca="1">SUM($B$6:C271)/(2*A271)</f>
        <v>6.1439559288688583</v>
      </c>
      <c r="F271" s="1">
        <f ca="1">SUM($E$6:E271)/A271</f>
        <v>6.2739636414738502</v>
      </c>
    </row>
    <row r="272" spans="1:6" x14ac:dyDescent="0.25">
      <c r="A272" s="1">
        <v>267</v>
      </c>
      <c r="B272" s="1">
        <f t="shared" ca="1" si="12"/>
        <v>2.8977697051673337</v>
      </c>
      <c r="C272" s="1">
        <f t="shared" ca="1" si="13"/>
        <v>2.4394240420143647</v>
      </c>
      <c r="D272" s="1">
        <f t="shared" ca="1" si="14"/>
        <v>2.4394240420143647</v>
      </c>
      <c r="E272" s="1">
        <f ca="1">SUM($B$6:C272)/(2*A272)</f>
        <v>6.1309396028191276</v>
      </c>
      <c r="F272" s="1">
        <f ca="1">SUM($E$6:E272)/A272</f>
        <v>6.2734279709170906</v>
      </c>
    </row>
    <row r="273" spans="1:6" x14ac:dyDescent="0.25">
      <c r="A273" s="1">
        <v>268</v>
      </c>
      <c r="B273" s="1">
        <f t="shared" ca="1" si="12"/>
        <v>1.089769739775216</v>
      </c>
      <c r="C273" s="1">
        <f t="shared" ca="1" si="13"/>
        <v>10.568702550475715</v>
      </c>
      <c r="D273" s="1">
        <f t="shared" ca="1" si="14"/>
        <v>1.089769739775216</v>
      </c>
      <c r="E273" s="1">
        <f ca="1">SUM($B$6:C273)/(2*A273)</f>
        <v>6.1298138436486296</v>
      </c>
      <c r="F273" s="1">
        <f ca="1">SUM($E$6:E273)/A273</f>
        <v>6.2728920973078806</v>
      </c>
    </row>
    <row r="274" spans="1:6" x14ac:dyDescent="0.25">
      <c r="A274" s="1">
        <v>269</v>
      </c>
      <c r="B274" s="1">
        <f t="shared" ca="1" si="12"/>
        <v>2.6087401323885451</v>
      </c>
      <c r="C274" s="1">
        <f t="shared" ca="1" si="13"/>
        <v>8.9839112057665567</v>
      </c>
      <c r="D274" s="1">
        <f t="shared" ca="1" si="14"/>
        <v>2.6087401323885451</v>
      </c>
      <c r="E274" s="1">
        <f ca="1">SUM($B$6:C274)/(2*A274)</f>
        <v>6.1285741106576586</v>
      </c>
      <c r="F274" s="1">
        <f ca="1">SUM($E$6:E274)/A274</f>
        <v>6.2723555992162439</v>
      </c>
    </row>
    <row r="275" spans="1:6" x14ac:dyDescent="0.25">
      <c r="A275" s="1">
        <v>270</v>
      </c>
      <c r="B275" s="1">
        <f t="shared" ca="1" si="12"/>
        <v>2.1012022017333742</v>
      </c>
      <c r="C275" s="1">
        <f t="shared" ca="1" si="13"/>
        <v>5.0243985218141001</v>
      </c>
      <c r="D275" s="1">
        <f t="shared" ca="1" si="14"/>
        <v>2.1012022017333742</v>
      </c>
      <c r="E275" s="1">
        <f ca="1">SUM($B$6:C275)/(2*A275)</f>
        <v>6.1190712449210514</v>
      </c>
      <c r="F275" s="1">
        <f ca="1">SUM($E$6:E275)/A275</f>
        <v>6.2717878793855206</v>
      </c>
    </row>
    <row r="276" spans="1:6" x14ac:dyDescent="0.25">
      <c r="A276" s="1">
        <v>271</v>
      </c>
      <c r="B276" s="1">
        <f t="shared" ca="1" si="12"/>
        <v>4.2317335516878787</v>
      </c>
      <c r="C276" s="1">
        <f t="shared" ca="1" si="13"/>
        <v>5.7644470390954474</v>
      </c>
      <c r="D276" s="1">
        <f t="shared" ca="1" si="14"/>
        <v>4.2317335516878787</v>
      </c>
      <c r="E276" s="1">
        <f ca="1">SUM($B$6:C276)/(2*A276)</f>
        <v>6.1149347838526777</v>
      </c>
      <c r="F276" s="1">
        <f ca="1">SUM($E$6:E276)/A276</f>
        <v>6.2712090856750677</v>
      </c>
    </row>
    <row r="277" spans="1:6" x14ac:dyDescent="0.25">
      <c r="A277" s="1">
        <v>272</v>
      </c>
      <c r="B277" s="1">
        <f t="shared" ca="1" si="12"/>
        <v>1.1383757406116202</v>
      </c>
      <c r="C277" s="1">
        <f t="shared" ca="1" si="13"/>
        <v>13.815357527615381</v>
      </c>
      <c r="D277" s="1">
        <f t="shared" ca="1" si="14"/>
        <v>1.1383757406116202</v>
      </c>
      <c r="E277" s="1">
        <f ca="1">SUM($B$6:C277)/(2*A277)</f>
        <v>6.1199418862433426</v>
      </c>
      <c r="F277" s="1">
        <f ca="1">SUM($E$6:E277)/A277</f>
        <v>6.2706529562653923</v>
      </c>
    </row>
    <row r="278" spans="1:6" x14ac:dyDescent="0.25">
      <c r="A278" s="1">
        <v>273</v>
      </c>
      <c r="B278" s="1">
        <f t="shared" ca="1" si="12"/>
        <v>9.226741979786464</v>
      </c>
      <c r="C278" s="1">
        <f t="shared" ca="1" si="13"/>
        <v>6.7633162929742765</v>
      </c>
      <c r="D278" s="1">
        <f t="shared" ca="1" si="14"/>
        <v>6.7633162929742765</v>
      </c>
      <c r="E278" s="1">
        <f ca="1">SUM($B$6:C278)/(2*A278)</f>
        <v>6.1268103377090455</v>
      </c>
      <c r="F278" s="1">
        <f ca="1">SUM($E$6:E278)/A278</f>
        <v>6.2701260602267244</v>
      </c>
    </row>
    <row r="279" spans="1:6" x14ac:dyDescent="0.25">
      <c r="A279" s="1">
        <v>274</v>
      </c>
      <c r="B279" s="1">
        <f t="shared" ca="1" si="12"/>
        <v>0.61132585091549396</v>
      </c>
      <c r="C279" s="1">
        <f t="shared" ca="1" si="13"/>
        <v>6.9215742518927286</v>
      </c>
      <c r="D279" s="1">
        <f t="shared" ca="1" si="14"/>
        <v>0.61132585091549396</v>
      </c>
      <c r="E279" s="1">
        <f ca="1">SUM($B$6:C279)/(2*A279)</f>
        <v>6.118195884109392</v>
      </c>
      <c r="F279" s="1">
        <f ca="1">SUM($E$6:E279)/A279</f>
        <v>6.2695715705328654</v>
      </c>
    </row>
    <row r="280" spans="1:6" x14ac:dyDescent="0.25">
      <c r="A280" s="1">
        <v>275</v>
      </c>
      <c r="B280" s="1">
        <f t="shared" ca="1" si="12"/>
        <v>7.3186433476950228</v>
      </c>
      <c r="C280" s="1">
        <f t="shared" ca="1" si="13"/>
        <v>11.849288124993622</v>
      </c>
      <c r="D280" s="1">
        <f t="shared" ca="1" si="14"/>
        <v>7.3186433476950228</v>
      </c>
      <c r="E280" s="1">
        <f ca="1">SUM($B$6:C280)/(2*A280)</f>
        <v>6.1307986835720643</v>
      </c>
      <c r="F280" s="1">
        <f ca="1">SUM($E$6:E280)/A280</f>
        <v>6.2690669418530076</v>
      </c>
    </row>
    <row r="281" spans="1:6" x14ac:dyDescent="0.25">
      <c r="A281" s="1">
        <v>276</v>
      </c>
      <c r="B281" s="1">
        <f t="shared" ca="1" si="12"/>
        <v>7.2838480409701933</v>
      </c>
      <c r="C281" s="1">
        <f t="shared" ca="1" si="13"/>
        <v>2.7107833401519539</v>
      </c>
      <c r="D281" s="1">
        <f t="shared" ca="1" si="14"/>
        <v>2.7107833401519539</v>
      </c>
      <c r="E281" s="1">
        <f ca="1">SUM($B$6:C281)/(2*A281)</f>
        <v>6.1266918611336179</v>
      </c>
      <c r="F281" s="1">
        <f ca="1">SUM($E$6:E281)/A281</f>
        <v>6.2685510901112709</v>
      </c>
    </row>
    <row r="282" spans="1:6" x14ac:dyDescent="0.25">
      <c r="A282" s="1">
        <v>277</v>
      </c>
      <c r="B282" s="1">
        <f t="shared" ca="1" si="12"/>
        <v>7.295305820588931</v>
      </c>
      <c r="C282" s="1">
        <f t="shared" ca="1" si="13"/>
        <v>6.7952846341480537</v>
      </c>
      <c r="D282" s="1">
        <f t="shared" ca="1" si="14"/>
        <v>6.7952846341480537</v>
      </c>
      <c r="E282" s="1">
        <f ca="1">SUM($B$6:C282)/(2*A282)</f>
        <v>6.1300081187734552</v>
      </c>
      <c r="F282" s="1">
        <f ca="1">SUM($E$6:E282)/A282</f>
        <v>6.2680509349800877</v>
      </c>
    </row>
    <row r="283" spans="1:6" x14ac:dyDescent="0.25">
      <c r="A283" s="1">
        <v>278</v>
      </c>
      <c r="B283" s="1">
        <f t="shared" ca="1" si="12"/>
        <v>5.4012361863521274</v>
      </c>
      <c r="C283" s="1">
        <f t="shared" ca="1" si="13"/>
        <v>7.4428277455985521</v>
      </c>
      <c r="D283" s="1">
        <f t="shared" ca="1" si="14"/>
        <v>5.4012361863521274</v>
      </c>
      <c r="E283" s="1">
        <f ca="1">SUM($B$6:C283)/(2*A283)</f>
        <v>6.1310585642669873</v>
      </c>
      <c r="F283" s="1">
        <f ca="1">SUM($E$6:E283)/A283</f>
        <v>6.2675581566681702</v>
      </c>
    </row>
    <row r="284" spans="1:6" x14ac:dyDescent="0.25">
      <c r="A284" s="1">
        <v>279</v>
      </c>
      <c r="B284" s="1">
        <f t="shared" ca="1" si="12"/>
        <v>1.0266552774619764</v>
      </c>
      <c r="C284" s="1">
        <f t="shared" ca="1" si="13"/>
        <v>0.63748148891215217</v>
      </c>
      <c r="D284" s="1">
        <f t="shared" ca="1" si="14"/>
        <v>0.63748148891215217</v>
      </c>
      <c r="E284" s="1">
        <f ca="1">SUM($B$6:C284)/(2*A284)</f>
        <v>6.1120657679190309</v>
      </c>
      <c r="F284" s="1">
        <f ca="1">SUM($E$6:E284)/A284</f>
        <v>6.2670008362783882</v>
      </c>
    </row>
    <row r="285" spans="1:6" x14ac:dyDescent="0.25">
      <c r="A285" s="1">
        <v>280</v>
      </c>
      <c r="B285" s="1">
        <f t="shared" ca="1" si="12"/>
        <v>4.0948587222824484</v>
      </c>
      <c r="C285" s="1">
        <f t="shared" ca="1" si="13"/>
        <v>3.0986558019542549</v>
      </c>
      <c r="D285" s="1">
        <f t="shared" ca="1" si="14"/>
        <v>3.0986558019542549</v>
      </c>
      <c r="E285" s="1">
        <f ca="1">SUM($B$6:C285)/(2*A285)</f>
        <v>6.1030825232554573</v>
      </c>
      <c r="F285" s="1">
        <f ca="1">SUM($E$6:E285)/A285</f>
        <v>6.2664154137318775</v>
      </c>
    </row>
    <row r="286" spans="1:6" x14ac:dyDescent="0.25">
      <c r="A286" s="1">
        <v>281</v>
      </c>
      <c r="B286" s="1">
        <f t="shared" ca="1" si="12"/>
        <v>6.3094182110240773</v>
      </c>
      <c r="C286" s="1">
        <f t="shared" ca="1" si="13"/>
        <v>2.0749084800706412</v>
      </c>
      <c r="D286" s="1">
        <f t="shared" ca="1" si="14"/>
        <v>2.0749084800706412</v>
      </c>
      <c r="E286" s="1">
        <f ca="1">SUM($B$6:C286)/(2*A286)</f>
        <v>6.0962820991354993</v>
      </c>
      <c r="F286" s="1">
        <f ca="1">SUM($E$6:E286)/A286</f>
        <v>6.2658099570963035</v>
      </c>
    </row>
    <row r="287" spans="1:6" x14ac:dyDescent="0.25">
      <c r="A287" s="1">
        <v>282</v>
      </c>
      <c r="B287" s="1">
        <f t="shared" ca="1" si="12"/>
        <v>0.80667273942628404</v>
      </c>
      <c r="C287" s="1">
        <f t="shared" ca="1" si="13"/>
        <v>3.9803518312412454</v>
      </c>
      <c r="D287" s="1">
        <f t="shared" ca="1" si="14"/>
        <v>0.80667273942628404</v>
      </c>
      <c r="E287" s="1">
        <f ca="1">SUM($B$6:C287)/(2*A287)</f>
        <v>6.083151709724854</v>
      </c>
      <c r="F287" s="1">
        <f ca="1">SUM($E$6:E287)/A287</f>
        <v>6.265162232814844</v>
      </c>
    </row>
    <row r="288" spans="1:6" x14ac:dyDescent="0.25">
      <c r="A288" s="1">
        <v>283</v>
      </c>
      <c r="B288" s="1">
        <f t="shared" ca="1" si="12"/>
        <v>8.0874863979531408</v>
      </c>
      <c r="C288" s="1">
        <f t="shared" ca="1" si="13"/>
        <v>5.0265946640018733</v>
      </c>
      <c r="D288" s="1">
        <f t="shared" ca="1" si="14"/>
        <v>5.0265946640018733</v>
      </c>
      <c r="E288" s="1">
        <f ca="1">SUM($B$6:C288)/(2*A288)</f>
        <v>6.0848262285278665</v>
      </c>
      <c r="F288" s="1">
        <f ca="1">SUM($E$6:E288)/A288</f>
        <v>6.2645250031177167</v>
      </c>
    </row>
    <row r="289" spans="1:6" x14ac:dyDescent="0.25">
      <c r="A289" s="1">
        <v>284</v>
      </c>
      <c r="B289" s="1">
        <f t="shared" ca="1" si="12"/>
        <v>2.5410844073743846</v>
      </c>
      <c r="C289" s="1">
        <f t="shared" ca="1" si="13"/>
        <v>12.328303101551697</v>
      </c>
      <c r="D289" s="1">
        <f t="shared" ca="1" si="14"/>
        <v>2.5410844073743846</v>
      </c>
      <c r="E289" s="1">
        <f ca="1">SUM($B$6:C289)/(2*A289)</f>
        <v>6.0895792831966524</v>
      </c>
      <c r="F289" s="1">
        <f ca="1">SUM($E$6:E289)/A289</f>
        <v>6.263908997061657</v>
      </c>
    </row>
    <row r="290" spans="1:6" x14ac:dyDescent="0.25">
      <c r="A290" s="1">
        <v>285</v>
      </c>
      <c r="B290" s="1">
        <f t="shared" ca="1" si="12"/>
        <v>1.7075669026967866</v>
      </c>
      <c r="C290" s="1">
        <f t="shared" ca="1" si="13"/>
        <v>13.416441217955107</v>
      </c>
      <c r="D290" s="1">
        <f t="shared" ca="1" si="14"/>
        <v>1.7075669026967866</v>
      </c>
      <c r="E290" s="1">
        <f ca="1">SUM($B$6:C290)/(2*A290)</f>
        <v>6.0947456859234226</v>
      </c>
      <c r="F290" s="1">
        <f ca="1">SUM($E$6:E290)/A290</f>
        <v>6.2633154415839787</v>
      </c>
    </row>
    <row r="291" spans="1:6" x14ac:dyDescent="0.25">
      <c r="A291" s="1">
        <v>286</v>
      </c>
      <c r="B291" s="1">
        <f t="shared" ca="1" si="12"/>
        <v>8.2417978775058405</v>
      </c>
      <c r="C291" s="1">
        <f t="shared" ca="1" si="13"/>
        <v>10.870527333089059</v>
      </c>
      <c r="D291" s="1">
        <f t="shared" ca="1" si="14"/>
        <v>8.2417978775058405</v>
      </c>
      <c r="E291" s="1">
        <f ca="1">SUM($B$6:C291)/(2*A291)</f>
        <v>6.1068485422848697</v>
      </c>
      <c r="F291" s="1">
        <f ca="1">SUM($E$6:E291)/A291</f>
        <v>6.2627683545234927</v>
      </c>
    </row>
    <row r="292" spans="1:6" x14ac:dyDescent="0.25">
      <c r="A292" s="1">
        <v>287</v>
      </c>
      <c r="B292" s="1">
        <f t="shared" ca="1" si="12"/>
        <v>3.8787418090683676</v>
      </c>
      <c r="C292" s="1">
        <f t="shared" ca="1" si="13"/>
        <v>0.22179869565707055</v>
      </c>
      <c r="D292" s="1">
        <f t="shared" ca="1" si="14"/>
        <v>0.22179869565707055</v>
      </c>
      <c r="E292" s="1">
        <f ca="1">SUM($B$6:C292)/(2*A292)</f>
        <v>6.0927141231562212</v>
      </c>
      <c r="F292" s="1">
        <f ca="1">SUM($E$6:E292)/A292</f>
        <v>6.2621758310692517</v>
      </c>
    </row>
    <row r="293" spans="1:6" x14ac:dyDescent="0.25">
      <c r="A293" s="1">
        <v>288</v>
      </c>
      <c r="B293" s="1">
        <f t="shared" ca="1" si="12"/>
        <v>5.3562167200401332</v>
      </c>
      <c r="C293" s="1">
        <f t="shared" ca="1" si="13"/>
        <v>6.5733601582760652</v>
      </c>
      <c r="D293" s="1">
        <f t="shared" ca="1" si="14"/>
        <v>5.3562167200401332</v>
      </c>
      <c r="E293" s="1">
        <f ca="1">SUM($B$6:C293)/(2*A293)</f>
        <v>6.0922699367534499</v>
      </c>
      <c r="F293" s="1">
        <f ca="1">SUM($E$6:E293)/A293</f>
        <v>6.2615858800473214</v>
      </c>
    </row>
    <row r="294" spans="1:6" x14ac:dyDescent="0.25">
      <c r="A294" s="1">
        <v>289</v>
      </c>
      <c r="B294" s="1">
        <f t="shared" ca="1" si="12"/>
        <v>7.1304183432937807</v>
      </c>
      <c r="C294" s="1">
        <f t="shared" ca="1" si="13"/>
        <v>4.0213224520416482</v>
      </c>
      <c r="D294" s="1">
        <f t="shared" ca="1" si="14"/>
        <v>4.0213224520416482</v>
      </c>
      <c r="E294" s="1">
        <f ca="1">SUM($B$6:C294)/(2*A294)</f>
        <v>6.0904830871372369</v>
      </c>
      <c r="F294" s="1">
        <f ca="1">SUM($E$6:E294)/A294</f>
        <v>6.2609938288607809</v>
      </c>
    </row>
    <row r="295" spans="1:6" x14ac:dyDescent="0.25">
      <c r="A295" s="1">
        <v>290</v>
      </c>
      <c r="B295" s="1">
        <f t="shared" ca="1" si="12"/>
        <v>9.0883815939661545</v>
      </c>
      <c r="C295" s="1">
        <f t="shared" ca="1" si="13"/>
        <v>13.762018716589029</v>
      </c>
      <c r="D295" s="1">
        <f t="shared" ca="1" si="14"/>
        <v>9.0883815939661545</v>
      </c>
      <c r="E295" s="1">
        <f ca="1">SUM($B$6:C295)/(2*A295)</f>
        <v>6.1088786632342726</v>
      </c>
      <c r="F295" s="1">
        <f ca="1">SUM($E$6:E295)/A295</f>
        <v>6.2604692938068967</v>
      </c>
    </row>
    <row r="296" spans="1:6" x14ac:dyDescent="0.25">
      <c r="A296" s="1">
        <v>291</v>
      </c>
      <c r="B296" s="1">
        <f t="shared" ca="1" si="12"/>
        <v>3.4451401751208524</v>
      </c>
      <c r="C296" s="1">
        <f t="shared" ca="1" si="13"/>
        <v>14.229260957689419</v>
      </c>
      <c r="D296" s="1">
        <f t="shared" ca="1" si="14"/>
        <v>3.4451401751208524</v>
      </c>
      <c r="E296" s="1">
        <f ca="1">SUM($B$6:C296)/(2*A296)</f>
        <v>6.1182543398774705</v>
      </c>
      <c r="F296" s="1">
        <f ca="1">SUM($E$6:E296)/A296</f>
        <v>6.2599805826250083</v>
      </c>
    </row>
    <row r="297" spans="1:6" x14ac:dyDescent="0.25">
      <c r="A297" s="1">
        <v>292</v>
      </c>
      <c r="B297" s="1">
        <f t="shared" ca="1" si="12"/>
        <v>5.1194725682355999</v>
      </c>
      <c r="C297" s="1">
        <f t="shared" ca="1" si="13"/>
        <v>3.232324186022562</v>
      </c>
      <c r="D297" s="1">
        <f t="shared" ca="1" si="14"/>
        <v>3.232324186022562</v>
      </c>
      <c r="E297" s="1">
        <f ca="1">SUM($B$6:C297)/(2*A297)</f>
        <v>6.1116024358954562</v>
      </c>
      <c r="F297" s="1">
        <f ca="1">SUM($E$6:E297)/A297</f>
        <v>6.2594724382868936</v>
      </c>
    </row>
    <row r="298" spans="1:6" x14ac:dyDescent="0.25">
      <c r="A298" s="1">
        <v>293</v>
      </c>
      <c r="B298" s="1">
        <f t="shared" ca="1" si="12"/>
        <v>0.73377609493489482</v>
      </c>
      <c r="C298" s="1">
        <f t="shared" ca="1" si="13"/>
        <v>0.73395979585960558</v>
      </c>
      <c r="D298" s="1">
        <f t="shared" ca="1" si="14"/>
        <v>0.73377609493489482</v>
      </c>
      <c r="E298" s="1">
        <f ca="1">SUM($B$6:C298)/(2*A298)</f>
        <v>6.0932483932657693</v>
      </c>
      <c r="F298" s="1">
        <f ca="1">SUM($E$6:E298)/A298</f>
        <v>6.2589051207270954</v>
      </c>
    </row>
    <row r="299" spans="1:6" x14ac:dyDescent="0.25">
      <c r="A299" s="1">
        <v>294</v>
      </c>
      <c r="B299" s="1">
        <f t="shared" ca="1" si="12"/>
        <v>3.4325518786308562</v>
      </c>
      <c r="C299" s="1">
        <f t="shared" ca="1" si="13"/>
        <v>1.7285078266602611</v>
      </c>
      <c r="D299" s="1">
        <f t="shared" ca="1" si="14"/>
        <v>1.7285078266602611</v>
      </c>
      <c r="E299" s="1">
        <f ca="1">SUM($B$6:C299)/(2*A299)</f>
        <v>6.0813003710187621</v>
      </c>
      <c r="F299" s="1">
        <f ca="1">SUM($E$6:E299)/A299</f>
        <v>6.2583010229389719</v>
      </c>
    </row>
    <row r="300" spans="1:6" x14ac:dyDescent="0.25">
      <c r="A300" s="1">
        <v>295</v>
      </c>
      <c r="B300" s="1">
        <f t="shared" ca="1" si="12"/>
        <v>8.5467161631469484</v>
      </c>
      <c r="C300" s="1">
        <f t="shared" ca="1" si="13"/>
        <v>2.3162633518189018</v>
      </c>
      <c r="D300" s="1">
        <f t="shared" ca="1" si="14"/>
        <v>2.3162633518189018</v>
      </c>
      <c r="E300" s="1">
        <f ca="1">SUM($B$6:C300)/(2*A300)</f>
        <v>6.0790976231762679</v>
      </c>
      <c r="F300" s="1">
        <f ca="1">SUM($E$6:E300)/A300</f>
        <v>6.2576935537872345</v>
      </c>
    </row>
    <row r="301" spans="1:6" x14ac:dyDescent="0.25">
      <c r="A301" s="1">
        <v>296</v>
      </c>
      <c r="B301" s="1">
        <f t="shared" ca="1" si="12"/>
        <v>2.005140583487858</v>
      </c>
      <c r="C301" s="1">
        <f t="shared" ca="1" si="13"/>
        <v>14.900213243413678</v>
      </c>
      <c r="D301" s="1">
        <f t="shared" ca="1" si="14"/>
        <v>2.005140583487858</v>
      </c>
      <c r="E301" s="1">
        <f ca="1">SUM($B$6:C301)/(2*A301)</f>
        <v>6.0871164721298978</v>
      </c>
      <c r="F301" s="1">
        <f ca="1">SUM($E$6:E301)/A301</f>
        <v>6.2571172798627162</v>
      </c>
    </row>
    <row r="302" spans="1:6" x14ac:dyDescent="0.25">
      <c r="A302" s="1">
        <v>297</v>
      </c>
      <c r="B302" s="1">
        <f t="shared" ca="1" si="12"/>
        <v>5.0496928897192239</v>
      </c>
      <c r="C302" s="1">
        <f t="shared" ca="1" si="13"/>
        <v>10.868754055635693</v>
      </c>
      <c r="D302" s="1">
        <f t="shared" ca="1" si="14"/>
        <v>5.0496928897192239</v>
      </c>
      <c r="E302" s="1">
        <f ca="1">SUM($B$6:C302)/(2*A302)</f>
        <v>6.0934198627041321</v>
      </c>
      <c r="F302" s="1">
        <f ca="1">SUM($E$6:E302)/A302</f>
        <v>6.2565661101079737</v>
      </c>
    </row>
    <row r="303" spans="1:6" x14ac:dyDescent="0.25">
      <c r="A303" s="1">
        <v>298</v>
      </c>
      <c r="B303" s="1">
        <f t="shared" ca="1" si="12"/>
        <v>8.6833737506081139</v>
      </c>
      <c r="C303" s="1">
        <f t="shared" ca="1" si="13"/>
        <v>9.6198248901387906</v>
      </c>
      <c r="D303" s="1">
        <f t="shared" ca="1" si="14"/>
        <v>8.6833737506081139</v>
      </c>
      <c r="E303" s="1">
        <f ca="1">SUM($B$6:C303)/(2*A303)</f>
        <v>6.103682209877519</v>
      </c>
      <c r="F303" s="1">
        <f ca="1">SUM($E$6:E303)/A303</f>
        <v>6.2560530768857241</v>
      </c>
    </row>
    <row r="304" spans="1:6" x14ac:dyDescent="0.25">
      <c r="A304" s="1">
        <v>299</v>
      </c>
      <c r="B304" s="1">
        <f t="shared" ca="1" si="12"/>
        <v>1.9010666044891344</v>
      </c>
      <c r="C304" s="1">
        <f t="shared" ca="1" si="13"/>
        <v>6.5184587161601764</v>
      </c>
      <c r="D304" s="1">
        <f t="shared" ca="1" si="14"/>
        <v>1.9010666044891344</v>
      </c>
      <c r="E304" s="1">
        <f ca="1">SUM($B$6:C304)/(2*A304)</f>
        <v>6.0973480307820251</v>
      </c>
      <c r="F304" s="1">
        <f ca="1">SUM($E$6:E304)/A304</f>
        <v>6.2555222907783534</v>
      </c>
    </row>
    <row r="305" spans="1:6" x14ac:dyDescent="0.25">
      <c r="A305" s="1">
        <v>300</v>
      </c>
      <c r="B305" s="1">
        <f t="shared" ca="1" si="12"/>
        <v>7.5442379713478687</v>
      </c>
      <c r="C305" s="1">
        <f t="shared" ca="1" si="13"/>
        <v>10.677354427487048</v>
      </c>
      <c r="D305" s="1">
        <f t="shared" ca="1" si="14"/>
        <v>7.5442379713478687</v>
      </c>
      <c r="E305" s="1">
        <f ca="1">SUM($B$6:C305)/(2*A305)</f>
        <v>6.107392858010809</v>
      </c>
      <c r="F305" s="1">
        <f ca="1">SUM($E$6:E305)/A305</f>
        <v>6.2550285260024623</v>
      </c>
    </row>
    <row r="306" spans="1:6" x14ac:dyDescent="0.25">
      <c r="A306" s="1">
        <v>301</v>
      </c>
      <c r="B306" s="1">
        <f t="shared" ca="1" si="12"/>
        <v>3.4593472649154422</v>
      </c>
      <c r="C306" s="1">
        <f t="shared" ca="1" si="13"/>
        <v>8.2925033384806905</v>
      </c>
      <c r="D306" s="1">
        <f t="shared" ca="1" si="14"/>
        <v>3.4593472649154422</v>
      </c>
      <c r="E306" s="1">
        <f ca="1">SUM($B$6:C306)/(2*A306)</f>
        <v>6.1066238628071128</v>
      </c>
      <c r="F306" s="1">
        <f ca="1">SUM($E$6:E306)/A306</f>
        <v>6.2545354872543042</v>
      </c>
    </row>
    <row r="307" spans="1:6" x14ac:dyDescent="0.25">
      <c r="A307" s="1">
        <v>302</v>
      </c>
      <c r="B307" s="1">
        <f t="shared" ca="1" si="12"/>
        <v>2.712702195896747</v>
      </c>
      <c r="C307" s="1">
        <f t="shared" ca="1" si="13"/>
        <v>12.081293946130158</v>
      </c>
      <c r="D307" s="1">
        <f t="shared" ca="1" si="14"/>
        <v>2.712702195896747</v>
      </c>
      <c r="E307" s="1">
        <f ca="1">SUM($B$6:C307)/(2*A307)</f>
        <v>6.1108966250859416</v>
      </c>
      <c r="F307" s="1">
        <f ca="1">SUM($E$6:E307)/A307</f>
        <v>6.2540598618828858</v>
      </c>
    </row>
    <row r="308" spans="1:6" x14ac:dyDescent="0.25">
      <c r="A308" s="1">
        <v>303</v>
      </c>
      <c r="B308" s="1">
        <f t="shared" ca="1" si="12"/>
        <v>3.7651708061081299</v>
      </c>
      <c r="C308" s="1">
        <f t="shared" ca="1" si="13"/>
        <v>7.4974484948942095</v>
      </c>
      <c r="D308" s="1">
        <f t="shared" ca="1" si="14"/>
        <v>3.7651708061081299</v>
      </c>
      <c r="E308" s="1">
        <f ca="1">SUM($B$6:C308)/(2*A308)</f>
        <v>6.109313829790282</v>
      </c>
      <c r="F308" s="1">
        <f ca="1">SUM($E$6:E308)/A308</f>
        <v>6.2535821522060129</v>
      </c>
    </row>
    <row r="309" spans="1:6" x14ac:dyDescent="0.25">
      <c r="A309" s="1">
        <v>304</v>
      </c>
      <c r="B309" s="1">
        <f t="shared" ca="1" si="12"/>
        <v>2.5709902426832434</v>
      </c>
      <c r="C309" s="1">
        <f t="shared" ca="1" si="13"/>
        <v>6.0666790903410304</v>
      </c>
      <c r="D309" s="1">
        <f t="shared" ca="1" si="14"/>
        <v>2.5709902426832434</v>
      </c>
      <c r="E309" s="1">
        <f ca="1">SUM($B$6:C309)/(2*A309)</f>
        <v>6.1034240957005519</v>
      </c>
      <c r="F309" s="1">
        <f ca="1">SUM($E$6:E309)/A309</f>
        <v>6.2530882112306658</v>
      </c>
    </row>
    <row r="310" spans="1:6" x14ac:dyDescent="0.25">
      <c r="A310" s="1">
        <v>305</v>
      </c>
      <c r="B310" s="1">
        <f t="shared" ca="1" si="12"/>
        <v>6.0453935053114076</v>
      </c>
      <c r="C310" s="1">
        <f t="shared" ca="1" si="13"/>
        <v>2.8635088860815849</v>
      </c>
      <c r="D310" s="1">
        <f t="shared" ca="1" si="14"/>
        <v>2.8635088860815849</v>
      </c>
      <c r="E310" s="1">
        <f ca="1">SUM($B$6:C310)/(2*A310)</f>
        <v>6.0980176271759481</v>
      </c>
      <c r="F310" s="1">
        <f ca="1">SUM($E$6:E310)/A310</f>
        <v>6.2525797830862242</v>
      </c>
    </row>
    <row r="311" spans="1:6" x14ac:dyDescent="0.25">
      <c r="A311" s="1">
        <v>306</v>
      </c>
      <c r="B311" s="1">
        <f t="shared" ca="1" si="12"/>
        <v>4.1797357977870773</v>
      </c>
      <c r="C311" s="1">
        <f t="shared" ca="1" si="13"/>
        <v>13.530540434016464</v>
      </c>
      <c r="D311" s="1">
        <f t="shared" ca="1" si="14"/>
        <v>4.1797357977870773</v>
      </c>
      <c r="E311" s="1">
        <f ca="1">SUM($B$6:C311)/(2*A311)</f>
        <v>6.1070278248515226</v>
      </c>
      <c r="F311" s="1">
        <f ca="1">SUM($E$6:E311)/A311</f>
        <v>6.2521041230919927</v>
      </c>
    </row>
    <row r="312" spans="1:6" x14ac:dyDescent="0.25">
      <c r="A312" s="1">
        <v>307</v>
      </c>
      <c r="B312" s="1">
        <f t="shared" ca="1" si="12"/>
        <v>6.8319365032465758</v>
      </c>
      <c r="C312" s="1">
        <f t="shared" ca="1" si="13"/>
        <v>7.0173098052502985</v>
      </c>
      <c r="D312" s="1">
        <f t="shared" ca="1" si="14"/>
        <v>6.8319365032465758</v>
      </c>
      <c r="E312" s="1">
        <f ca="1">SUM($B$6:C312)/(2*A312)</f>
        <v>6.1096910018202424</v>
      </c>
      <c r="F312" s="1">
        <f ca="1">SUM($E$6:E312)/A312</f>
        <v>6.2516402367034853</v>
      </c>
    </row>
    <row r="313" spans="1:6" x14ac:dyDescent="0.25">
      <c r="A313" s="1">
        <v>308</v>
      </c>
      <c r="B313" s="1">
        <f t="shared" ca="1" si="12"/>
        <v>8.5618261102355291</v>
      </c>
      <c r="C313" s="1">
        <f t="shared" ca="1" si="13"/>
        <v>2.4989639958570109</v>
      </c>
      <c r="D313" s="1">
        <f t="shared" ca="1" si="14"/>
        <v>2.4989639958570109</v>
      </c>
      <c r="E313" s="1">
        <f ca="1">SUM($B$6:C313)/(2*A313)</f>
        <v>6.1078101708177295</v>
      </c>
      <c r="F313" s="1">
        <f ca="1">SUM($E$6:E313)/A313</f>
        <v>6.2511732559700901</v>
      </c>
    </row>
    <row r="314" spans="1:6" x14ac:dyDescent="0.25">
      <c r="A314" s="1">
        <v>309</v>
      </c>
      <c r="B314" s="1">
        <f t="shared" ca="1" si="12"/>
        <v>8.1563811308984242</v>
      </c>
      <c r="C314" s="1">
        <f t="shared" ca="1" si="13"/>
        <v>6.0368306315004165</v>
      </c>
      <c r="D314" s="1">
        <f t="shared" ca="1" si="14"/>
        <v>6.0368306315004165</v>
      </c>
      <c r="E314" s="1">
        <f ca="1">SUM($B$6:C314)/(2*A314)</f>
        <v>6.1110101569354693</v>
      </c>
      <c r="F314" s="1">
        <f ca="1">SUM($E$6:E314)/A314</f>
        <v>6.2507196537078418</v>
      </c>
    </row>
    <row r="315" spans="1:6" x14ac:dyDescent="0.25">
      <c r="A315" s="1">
        <v>310</v>
      </c>
      <c r="B315" s="1">
        <f t="shared" ca="1" si="12"/>
        <v>3.7336580319982193</v>
      </c>
      <c r="C315" s="1">
        <f t="shared" ca="1" si="13"/>
        <v>5.9616571261052478</v>
      </c>
      <c r="D315" s="1">
        <f t="shared" ca="1" si="14"/>
        <v>3.7336580319982193</v>
      </c>
      <c r="E315" s="1">
        <f ca="1">SUM($B$6:C315)/(2*A315)</f>
        <v>6.1069348260390708</v>
      </c>
      <c r="F315" s="1">
        <f ca="1">SUM($E$6:E315)/A315</f>
        <v>6.2502558316831038</v>
      </c>
    </row>
    <row r="316" spans="1:6" x14ac:dyDescent="0.25">
      <c r="A316" s="1">
        <v>311</v>
      </c>
      <c r="B316" s="1">
        <f t="shared" ca="1" si="12"/>
        <v>3.7414953861344555</v>
      </c>
      <c r="C316" s="1">
        <f t="shared" ca="1" si="13"/>
        <v>5.188792548710313</v>
      </c>
      <c r="D316" s="1">
        <f t="shared" ca="1" si="14"/>
        <v>3.7414953861344555</v>
      </c>
      <c r="E316" s="1">
        <f ca="1">SUM($B$6:C316)/(2*A316)</f>
        <v>6.1016557557541296</v>
      </c>
      <c r="F316" s="1">
        <f ca="1">SUM($E$6:E316)/A316</f>
        <v>6.249778017934136</v>
      </c>
    </row>
    <row r="317" spans="1:6" x14ac:dyDescent="0.25">
      <c r="A317" s="1">
        <v>312</v>
      </c>
      <c r="B317" s="1">
        <f t="shared" ca="1" si="12"/>
        <v>9.634346257188799</v>
      </c>
      <c r="C317" s="1">
        <f t="shared" ca="1" si="13"/>
        <v>10.541912177610042</v>
      </c>
      <c r="D317" s="1">
        <f t="shared" ca="1" si="14"/>
        <v>9.634346257188799</v>
      </c>
      <c r="E317" s="1">
        <f ca="1">SUM($B$6:C317)/(2*A317)</f>
        <v>6.114432914285044</v>
      </c>
      <c r="F317" s="1">
        <f ca="1">SUM($E$6:E317)/A317</f>
        <v>6.2493442195250051</v>
      </c>
    </row>
    <row r="318" spans="1:6" x14ac:dyDescent="0.25">
      <c r="A318" s="1">
        <v>313</v>
      </c>
      <c r="B318" s="1">
        <f t="shared" ca="1" si="12"/>
        <v>2.2011102698840403</v>
      </c>
      <c r="C318" s="1">
        <f t="shared" ca="1" si="13"/>
        <v>4.5173789621973413</v>
      </c>
      <c r="D318" s="1">
        <f t="shared" ca="1" si="14"/>
        <v>2.2011102698840403</v>
      </c>
      <c r="E318" s="1">
        <f ca="1">SUM($B$6:C318)/(2*A318)</f>
        <v>6.1056303957603015</v>
      </c>
      <c r="F318" s="1">
        <f ca="1">SUM($E$6:E318)/A318</f>
        <v>6.2488850699283125</v>
      </c>
    </row>
    <row r="319" spans="1:6" x14ac:dyDescent="0.25">
      <c r="A319" s="1">
        <v>314</v>
      </c>
      <c r="B319" s="1">
        <f t="shared" ca="1" si="12"/>
        <v>7.1295129757621325</v>
      </c>
      <c r="C319" s="1">
        <f t="shared" ca="1" si="13"/>
        <v>13.045383126756203</v>
      </c>
      <c r="D319" s="1">
        <f t="shared" ca="1" si="14"/>
        <v>7.1295129757621325</v>
      </c>
      <c r="E319" s="1">
        <f ca="1">SUM($B$6:C319)/(2*A319)</f>
        <v>6.1183113437077505</v>
      </c>
      <c r="F319" s="1">
        <f ca="1">SUM($E$6:E319)/A319</f>
        <v>6.2484692300358899</v>
      </c>
    </row>
    <row r="320" spans="1:6" x14ac:dyDescent="0.25">
      <c r="A320" s="1">
        <v>315</v>
      </c>
      <c r="B320" s="1">
        <f t="shared" ca="1" si="12"/>
        <v>2.3757594120307326</v>
      </c>
      <c r="C320" s="1">
        <f t="shared" ca="1" si="13"/>
        <v>0.38768188230310918</v>
      </c>
      <c r="D320" s="1">
        <f t="shared" ca="1" si="14"/>
        <v>0.38768188230310918</v>
      </c>
      <c r="E320" s="1">
        <f ca="1">SUM($B$6:C320)/(2*A320)</f>
        <v>6.1032745478457162</v>
      </c>
      <c r="F320" s="1">
        <f ca="1">SUM($E$6:E320)/A320</f>
        <v>6.2480082945368745</v>
      </c>
    </row>
    <row r="321" spans="1:6" x14ac:dyDescent="0.25">
      <c r="A321" s="1">
        <v>316</v>
      </c>
      <c r="B321" s="1">
        <f t="shared" ca="1" si="12"/>
        <v>3.3456923990174503</v>
      </c>
      <c r="C321" s="1">
        <f t="shared" ca="1" si="13"/>
        <v>8.7715985598464687</v>
      </c>
      <c r="D321" s="1">
        <f t="shared" ca="1" si="14"/>
        <v>3.3456923990174503</v>
      </c>
      <c r="E321" s="1">
        <f ca="1">SUM($B$6:C321)/(2*A321)</f>
        <v>6.1031333166165593</v>
      </c>
      <c r="F321" s="1">
        <f ca="1">SUM($E$6:E321)/A321</f>
        <v>6.2475498294168732</v>
      </c>
    </row>
    <row r="322" spans="1:6" x14ac:dyDescent="0.25">
      <c r="A322" s="1">
        <v>317</v>
      </c>
      <c r="B322" s="1">
        <f t="shared" ca="1" si="12"/>
        <v>6.6867882644415655</v>
      </c>
      <c r="C322" s="1">
        <f t="shared" ca="1" si="13"/>
        <v>3.1347877952867749</v>
      </c>
      <c r="D322" s="1">
        <f t="shared" ca="1" si="14"/>
        <v>3.1347877952867749</v>
      </c>
      <c r="E322" s="1">
        <f ca="1">SUM($B$6:C322)/(2*A322)</f>
        <v>6.0993719750179709</v>
      </c>
      <c r="F322" s="1">
        <f ca="1">SUM($E$6:E322)/A322</f>
        <v>6.2470823913903777</v>
      </c>
    </row>
    <row r="323" spans="1:6" x14ac:dyDescent="0.25">
      <c r="A323" s="1">
        <v>318</v>
      </c>
      <c r="B323" s="1">
        <f t="shared" ca="1" si="12"/>
        <v>0.99948781347602766</v>
      </c>
      <c r="C323" s="1">
        <f t="shared" ca="1" si="13"/>
        <v>12.679425738584328</v>
      </c>
      <c r="D323" s="1">
        <f t="shared" ca="1" si="14"/>
        <v>0.99948781347602766</v>
      </c>
      <c r="E323" s="1">
        <f ca="1">SUM($B$6:C323)/(2*A323)</f>
        <v>6.1016992857129786</v>
      </c>
      <c r="F323" s="1">
        <f ca="1">SUM($E$6:E323)/A323</f>
        <v>6.2466252118127761</v>
      </c>
    </row>
    <row r="324" spans="1:6" x14ac:dyDescent="0.25">
      <c r="A324" s="1">
        <v>319</v>
      </c>
      <c r="B324" s="1">
        <f t="shared" ca="1" si="12"/>
        <v>6.3348634850154841</v>
      </c>
      <c r="C324" s="1">
        <f t="shared" ca="1" si="13"/>
        <v>12.881016195130821</v>
      </c>
      <c r="D324" s="1">
        <f t="shared" ca="1" si="14"/>
        <v>6.3348634850154841</v>
      </c>
      <c r="E324" s="1">
        <f ca="1">SUM($B$6:C324)/(2*A324)</f>
        <v>6.1126906354131672</v>
      </c>
      <c r="F324" s="1">
        <f ca="1">SUM($E$6:E324)/A324</f>
        <v>6.2462053542065075</v>
      </c>
    </row>
    <row r="325" spans="1:6" x14ac:dyDescent="0.25">
      <c r="A325" s="1">
        <v>320</v>
      </c>
      <c r="B325" s="1">
        <f t="shared" ca="1" si="12"/>
        <v>7.3317824269108822</v>
      </c>
      <c r="C325" s="1">
        <f t="shared" ca="1" si="13"/>
        <v>10.964972273898136</v>
      </c>
      <c r="D325" s="1">
        <f t="shared" ca="1" si="14"/>
        <v>7.3317824269108822</v>
      </c>
      <c r="E325" s="1">
        <f ca="1">SUM($B$6:C325)/(2*A325)</f>
        <v>6.1221771563975151</v>
      </c>
      <c r="F325" s="1">
        <f ca="1">SUM($E$6:E325)/A325</f>
        <v>6.2458177660883551</v>
      </c>
    </row>
    <row r="326" spans="1:6" x14ac:dyDescent="0.25">
      <c r="A326" s="1">
        <v>321</v>
      </c>
      <c r="B326" s="1">
        <f t="shared" ca="1" si="12"/>
        <v>7.0174536757542523</v>
      </c>
      <c r="C326" s="1">
        <f t="shared" ca="1" si="13"/>
        <v>11.060792292866036</v>
      </c>
      <c r="D326" s="1">
        <f t="shared" ca="1" si="14"/>
        <v>7.0174536757542523</v>
      </c>
      <c r="E326" s="1">
        <f ca="1">SUM($B$6:C326)/(2*A326)</f>
        <v>6.1312642150514485</v>
      </c>
      <c r="F326" s="1">
        <f ca="1">SUM($E$6:E326)/A326</f>
        <v>6.24546090144338</v>
      </c>
    </row>
    <row r="327" spans="1:6" x14ac:dyDescent="0.25">
      <c r="A327" s="1">
        <v>322</v>
      </c>
      <c r="B327" s="1">
        <f t="shared" ref="B327:B370" ca="1" si="15">RAND()*$D$1</f>
        <v>4.4709622476679094</v>
      </c>
      <c r="C327" s="1">
        <f t="shared" ref="C327:C370" ca="1" si="16">RAND()*$D$2</f>
        <v>8.2506116589182348</v>
      </c>
      <c r="D327" s="1">
        <f t="shared" ref="D327:D370" ca="1" si="17">MIN(B327:C327)</f>
        <v>4.4709622476679094</v>
      </c>
      <c r="E327" s="1">
        <f ca="1">SUM($B$6:C327)/(2*A327)</f>
        <v>6.1319770185863609</v>
      </c>
      <c r="F327" s="1">
        <f ca="1">SUM($E$6:E327)/A327</f>
        <v>6.2451084670245702</v>
      </c>
    </row>
    <row r="328" spans="1:6" x14ac:dyDescent="0.25">
      <c r="A328" s="1">
        <v>323</v>
      </c>
      <c r="B328" s="1">
        <f t="shared" ca="1" si="15"/>
        <v>4.636045312339915</v>
      </c>
      <c r="C328" s="1">
        <f t="shared" ca="1" si="16"/>
        <v>14.241454594098101</v>
      </c>
      <c r="D328" s="1">
        <f t="shared" ca="1" si="17"/>
        <v>4.636045312339915</v>
      </c>
      <c r="E328" s="1">
        <f ca="1">SUM($B$6:C328)/(2*A328)</f>
        <v>6.1422147056904866</v>
      </c>
      <c r="F328" s="1">
        <f ca="1">SUM($E$6:E328)/A328</f>
        <v>6.2447899104879321</v>
      </c>
    </row>
    <row r="329" spans="1:6" x14ac:dyDescent="0.25">
      <c r="A329" s="1">
        <v>324</v>
      </c>
      <c r="B329" s="1">
        <f t="shared" ca="1" si="15"/>
        <v>1.7850302702264165</v>
      </c>
      <c r="C329" s="1">
        <f t="shared" ca="1" si="16"/>
        <v>1.7121605001854383</v>
      </c>
      <c r="D329" s="1">
        <f t="shared" ca="1" si="17"/>
        <v>1.7121605001854383</v>
      </c>
      <c r="E329" s="1">
        <f ca="1">SUM($B$6:C329)/(2*A329)</f>
        <v>6.1286541522322011</v>
      </c>
      <c r="F329" s="1">
        <f ca="1">SUM($E$6:E329)/A329</f>
        <v>6.2444314667896119</v>
      </c>
    </row>
    <row r="330" spans="1:6" x14ac:dyDescent="0.25">
      <c r="A330" s="1">
        <v>325</v>
      </c>
      <c r="B330" s="1">
        <f t="shared" ca="1" si="15"/>
        <v>8.0685297444132313</v>
      </c>
      <c r="C330" s="1">
        <f t="shared" ca="1" si="16"/>
        <v>12.635102555396164</v>
      </c>
      <c r="D330" s="1">
        <f t="shared" ca="1" si="17"/>
        <v>8.0685297444132313</v>
      </c>
      <c r="E330" s="1">
        <f ca="1">SUM($B$6:C330)/(2*A330)</f>
        <v>6.1416484968404239</v>
      </c>
      <c r="F330" s="1">
        <f ca="1">SUM($E$6:E330)/A330</f>
        <v>6.2441152114974603</v>
      </c>
    </row>
    <row r="331" spans="1:6" x14ac:dyDescent="0.25">
      <c r="A331" s="1">
        <v>326</v>
      </c>
      <c r="B331" s="1">
        <f t="shared" ca="1" si="15"/>
        <v>7.7288358868201232</v>
      </c>
      <c r="C331" s="1">
        <f t="shared" ca="1" si="16"/>
        <v>8.9258339668017435</v>
      </c>
      <c r="D331" s="1">
        <f t="shared" ca="1" si="17"/>
        <v>7.7288358868201232</v>
      </c>
      <c r="E331" s="1">
        <f ca="1">SUM($B$6:C331)/(2*A331)</f>
        <v>6.1483530564415609</v>
      </c>
      <c r="F331" s="1">
        <f ca="1">SUM($E$6:E331)/A331</f>
        <v>6.2438214625555712</v>
      </c>
    </row>
    <row r="332" spans="1:6" x14ac:dyDescent="0.25">
      <c r="A332" s="1">
        <v>327</v>
      </c>
      <c r="B332" s="1">
        <f t="shared" ca="1" si="15"/>
        <v>9.0868725702703852</v>
      </c>
      <c r="C332" s="1">
        <f t="shared" ca="1" si="16"/>
        <v>4.011624523784878</v>
      </c>
      <c r="D332" s="1">
        <f t="shared" ca="1" si="17"/>
        <v>4.011624523784878</v>
      </c>
      <c r="E332" s="1">
        <f ca="1">SUM($B$6:C332)/(2*A332)</f>
        <v>6.149579036535096</v>
      </c>
      <c r="F332" s="1">
        <f ca="1">SUM($E$6:E332)/A332</f>
        <v>6.2435332594178936</v>
      </c>
    </row>
    <row r="333" spans="1:6" x14ac:dyDescent="0.25">
      <c r="A333" s="1">
        <v>328</v>
      </c>
      <c r="B333" s="1">
        <f t="shared" ca="1" si="15"/>
        <v>9.1192527482158958</v>
      </c>
      <c r="C333" s="1">
        <f t="shared" ca="1" si="16"/>
        <v>8.0956625587510054</v>
      </c>
      <c r="D333" s="1">
        <f t="shared" ca="1" si="17"/>
        <v>8.0956625587510054</v>
      </c>
      <c r="E333" s="1">
        <f ca="1">SUM($B$6:C333)/(2*A333)</f>
        <v>6.1570725689038408</v>
      </c>
      <c r="F333" s="1">
        <f ca="1">SUM($E$6:E333)/A333</f>
        <v>6.2432696597516921</v>
      </c>
    </row>
    <row r="334" spans="1:6" x14ac:dyDescent="0.25">
      <c r="A334" s="1">
        <v>329</v>
      </c>
      <c r="B334" s="1">
        <f t="shared" ca="1" si="15"/>
        <v>3.0639766219988962</v>
      </c>
      <c r="C334" s="1">
        <f t="shared" ca="1" si="16"/>
        <v>6.2113137390702651</v>
      </c>
      <c r="D334" s="1">
        <f t="shared" ca="1" si="17"/>
        <v>3.0639766219988962</v>
      </c>
      <c r="E334" s="1">
        <f ca="1">SUM($B$6:C334)/(2*A334)</f>
        <v>6.1524542485744504</v>
      </c>
      <c r="F334" s="1">
        <f ca="1">SUM($E$6:E334)/A334</f>
        <v>6.2429936250672622</v>
      </c>
    </row>
    <row r="335" spans="1:6" x14ac:dyDescent="0.25">
      <c r="A335" s="1">
        <v>330</v>
      </c>
      <c r="B335" s="1">
        <f t="shared" ca="1" si="15"/>
        <v>9.2035409132644865</v>
      </c>
      <c r="C335" s="1">
        <f t="shared" ca="1" si="16"/>
        <v>13.436925678903465</v>
      </c>
      <c r="D335" s="1">
        <f t="shared" ca="1" si="17"/>
        <v>9.2035409132644865</v>
      </c>
      <c r="E335" s="1">
        <f ca="1">SUM($B$6:C335)/(2*A335)</f>
        <v>6.1681141850820556</v>
      </c>
      <c r="F335" s="1">
        <f ca="1">SUM($E$6:E335)/A335</f>
        <v>6.2427667176733683</v>
      </c>
    </row>
    <row r="336" spans="1:6" x14ac:dyDescent="0.25">
      <c r="A336" s="1">
        <v>331</v>
      </c>
      <c r="B336" s="1">
        <f t="shared" ca="1" si="15"/>
        <v>1.5799046383401805</v>
      </c>
      <c r="C336" s="1">
        <f t="shared" ca="1" si="16"/>
        <v>12.266640920646505</v>
      </c>
      <c r="D336" s="1">
        <f t="shared" ca="1" si="17"/>
        <v>1.5799046383401805</v>
      </c>
      <c r="E336" s="1">
        <f ca="1">SUM($B$6:C336)/(2*A336)</f>
        <v>6.1703956309866212</v>
      </c>
      <c r="F336" s="1">
        <f ca="1">SUM($E$6:E336)/A336</f>
        <v>6.242548073906943</v>
      </c>
    </row>
    <row r="337" spans="1:6" x14ac:dyDescent="0.25">
      <c r="A337" s="1">
        <v>332</v>
      </c>
      <c r="B337" s="1">
        <f t="shared" ca="1" si="15"/>
        <v>9.1399758126647086</v>
      </c>
      <c r="C337" s="1">
        <f t="shared" ca="1" si="16"/>
        <v>10.02812489662846</v>
      </c>
      <c r="D337" s="1">
        <f t="shared" ca="1" si="17"/>
        <v>9.1399758126647086</v>
      </c>
      <c r="E337" s="1">
        <f ca="1">SUM($B$6:C337)/(2*A337)</f>
        <v>6.180677723527765</v>
      </c>
      <c r="F337" s="1">
        <f ca="1">SUM($E$6:E337)/A337</f>
        <v>6.2423617174298975</v>
      </c>
    </row>
    <row r="338" spans="1:6" x14ac:dyDescent="0.25">
      <c r="A338" s="1">
        <v>333</v>
      </c>
      <c r="B338" s="1">
        <f t="shared" ca="1" si="15"/>
        <v>9.1308481672766728</v>
      </c>
      <c r="C338" s="1">
        <f t="shared" ca="1" si="16"/>
        <v>1.7370058812285309</v>
      </c>
      <c r="D338" s="1">
        <f t="shared" ca="1" si="17"/>
        <v>1.7370058812285309</v>
      </c>
      <c r="E338" s="1">
        <f ca="1">SUM($B$6:C338)/(2*A338)</f>
        <v>6.1784352289353475</v>
      </c>
      <c r="F338" s="1">
        <f ca="1">SUM($E$6:E338)/A338</f>
        <v>6.2421697459929772</v>
      </c>
    </row>
    <row r="339" spans="1:6" x14ac:dyDescent="0.25">
      <c r="A339" s="1">
        <v>334</v>
      </c>
      <c r="B339" s="1">
        <f t="shared" ca="1" si="15"/>
        <v>3.0873183971473628</v>
      </c>
      <c r="C339" s="1">
        <f t="shared" ca="1" si="16"/>
        <v>7.7119960009636763</v>
      </c>
      <c r="D339" s="1">
        <f t="shared" ca="1" si="17"/>
        <v>3.0873183971473628</v>
      </c>
      <c r="E339" s="1">
        <f ca="1">SUM($B$6:C339)/(2*A339)</f>
        <v>6.1761035581872044</v>
      </c>
      <c r="F339" s="1">
        <f ca="1">SUM($E$6:E339)/A339</f>
        <v>6.241971943035475</v>
      </c>
    </row>
    <row r="340" spans="1:6" x14ac:dyDescent="0.25">
      <c r="A340" s="1">
        <v>335</v>
      </c>
      <c r="B340" s="1">
        <f t="shared" ca="1" si="15"/>
        <v>7.2525640062222694</v>
      </c>
      <c r="C340" s="1">
        <f t="shared" ca="1" si="16"/>
        <v>6.2700146931984548</v>
      </c>
      <c r="D340" s="1">
        <f t="shared" ca="1" si="17"/>
        <v>6.2700146931984548</v>
      </c>
      <c r="E340" s="1">
        <f ca="1">SUM($B$6:C340)/(2*A340)</f>
        <v>6.1778503814454817</v>
      </c>
      <c r="F340" s="1">
        <f ca="1">SUM($E$6:E340)/A340</f>
        <v>6.2417805353889371</v>
      </c>
    </row>
    <row r="341" spans="1:6" x14ac:dyDescent="0.25">
      <c r="A341" s="1">
        <v>336</v>
      </c>
      <c r="B341" s="1">
        <f t="shared" ca="1" si="15"/>
        <v>1.5164047178334383</v>
      </c>
      <c r="C341" s="1">
        <f t="shared" ca="1" si="16"/>
        <v>7.8858081693620932</v>
      </c>
      <c r="D341" s="1">
        <f t="shared" ca="1" si="17"/>
        <v>1.5164047178334383</v>
      </c>
      <c r="E341" s="1">
        <f ca="1">SUM($B$6:C341)/(2*A341)</f>
        <v>6.1734553102018879</v>
      </c>
      <c r="F341" s="1">
        <f ca="1">SUM($E$6:E341)/A341</f>
        <v>6.2415771865044523</v>
      </c>
    </row>
    <row r="342" spans="1:6" x14ac:dyDescent="0.25">
      <c r="A342" s="1">
        <v>337</v>
      </c>
      <c r="B342" s="1">
        <f t="shared" ca="1" si="15"/>
        <v>7.9929148108345469</v>
      </c>
      <c r="C342" s="1">
        <f t="shared" ca="1" si="16"/>
        <v>5.5787952487728383</v>
      </c>
      <c r="D342" s="1">
        <f t="shared" ca="1" si="17"/>
        <v>5.5787952487728383</v>
      </c>
      <c r="E342" s="1">
        <f ca="1">SUM($B$6:C342)/(2*A342)</f>
        <v>6.1752725200523386</v>
      </c>
      <c r="F342" s="1">
        <f ca="1">SUM($E$6:E342)/A342</f>
        <v>6.241380436752368</v>
      </c>
    </row>
    <row r="343" spans="1:6" x14ac:dyDescent="0.25">
      <c r="A343" s="1">
        <v>338</v>
      </c>
      <c r="B343" s="1">
        <f t="shared" ca="1" si="15"/>
        <v>1.7021802338380265</v>
      </c>
      <c r="C343" s="1">
        <f t="shared" ca="1" si="16"/>
        <v>6.3855097340371056</v>
      </c>
      <c r="D343" s="1">
        <f t="shared" ca="1" si="17"/>
        <v>1.7021802338380265</v>
      </c>
      <c r="E343" s="1">
        <f ca="1">SUM($B$6:C343)/(2*A343)</f>
        <v>6.16896652142478</v>
      </c>
      <c r="F343" s="1">
        <f ca="1">SUM($E$6:E343)/A343</f>
        <v>6.2411661943993284</v>
      </c>
    </row>
    <row r="344" spans="1:6" x14ac:dyDescent="0.25">
      <c r="A344" s="1">
        <v>339</v>
      </c>
      <c r="B344" s="1">
        <f t="shared" ca="1" si="15"/>
        <v>3.5932263414494225</v>
      </c>
      <c r="C344" s="1">
        <f t="shared" ca="1" si="16"/>
        <v>5.2804743058389896</v>
      </c>
      <c r="D344" s="1">
        <f t="shared" ca="1" si="17"/>
        <v>3.5932263414494225</v>
      </c>
      <c r="E344" s="1">
        <f ca="1">SUM($B$6:C344)/(2*A344)</f>
        <v>6.1638570341156926</v>
      </c>
      <c r="F344" s="1">
        <f ca="1">SUM($E$6:E344)/A344</f>
        <v>6.2409381437790223</v>
      </c>
    </row>
    <row r="345" spans="1:6" x14ac:dyDescent="0.25">
      <c r="A345" s="1">
        <v>340</v>
      </c>
      <c r="B345" s="1">
        <f t="shared" ca="1" si="15"/>
        <v>6.9502548663943529</v>
      </c>
      <c r="C345" s="1">
        <f t="shared" ca="1" si="16"/>
        <v>6.4819724739427267</v>
      </c>
      <c r="D345" s="1">
        <f t="shared" ca="1" si="17"/>
        <v>6.4819724739427267</v>
      </c>
      <c r="E345" s="1">
        <f ca="1">SUM($B$6:C345)/(2*A345)</f>
        <v>6.1654813183393768</v>
      </c>
      <c r="F345" s="1">
        <f ca="1">SUM($E$6:E345)/A345</f>
        <v>6.2407162119394943</v>
      </c>
    </row>
    <row r="346" spans="1:6" x14ac:dyDescent="0.25">
      <c r="A346" s="1">
        <v>341</v>
      </c>
      <c r="B346" s="1">
        <f t="shared" ca="1" si="15"/>
        <v>8.6218288994657204</v>
      </c>
      <c r="C346" s="1">
        <f t="shared" ca="1" si="16"/>
        <v>13.125340387458742</v>
      </c>
      <c r="D346" s="1">
        <f t="shared" ca="1" si="17"/>
        <v>8.6218288994657204</v>
      </c>
      <c r="E346" s="1">
        <f ca="1">SUM($B$6:C346)/(2*A346)</f>
        <v>6.1792880729585065</v>
      </c>
      <c r="F346" s="1">
        <f ca="1">SUM($E$6:E346)/A346</f>
        <v>6.2405360707694628</v>
      </c>
    </row>
    <row r="347" spans="1:6" x14ac:dyDescent="0.25">
      <c r="A347" s="1">
        <v>342</v>
      </c>
      <c r="B347" s="1">
        <f t="shared" ca="1" si="15"/>
        <v>4.8180306309081029</v>
      </c>
      <c r="C347" s="1">
        <f t="shared" ca="1" si="16"/>
        <v>7.0655941337713104</v>
      </c>
      <c r="D347" s="1">
        <f t="shared" ca="1" si="17"/>
        <v>4.8180306309081029</v>
      </c>
      <c r="E347" s="1">
        <f ca="1">SUM($B$6:C347)/(2*A347)</f>
        <v>6.1785936995941224</v>
      </c>
      <c r="F347" s="1">
        <f ca="1">SUM($E$6:E347)/A347</f>
        <v>6.2403549527250908</v>
      </c>
    </row>
    <row r="348" spans="1:6" x14ac:dyDescent="0.25">
      <c r="A348" s="1">
        <v>343</v>
      </c>
      <c r="B348" s="1">
        <f t="shared" ca="1" si="15"/>
        <v>0.8706359154703136</v>
      </c>
      <c r="C348" s="1">
        <f t="shared" ca="1" si="16"/>
        <v>12.190510053585308</v>
      </c>
      <c r="D348" s="1">
        <f t="shared" ca="1" si="17"/>
        <v>0.8706359154703136</v>
      </c>
      <c r="E348" s="1">
        <f ca="1">SUM($B$6:C348)/(2*A348)</f>
        <v>6.1796198782673981</v>
      </c>
      <c r="F348" s="1">
        <f ca="1">SUM($E$6:E348)/A348</f>
        <v>6.240177882537167</v>
      </c>
    </row>
    <row r="349" spans="1:6" x14ac:dyDescent="0.25">
      <c r="A349" s="1">
        <v>344</v>
      </c>
      <c r="B349" s="1">
        <f t="shared" ca="1" si="15"/>
        <v>2.5463745146189787</v>
      </c>
      <c r="C349" s="1">
        <f t="shared" ca="1" si="16"/>
        <v>11.073352375856892</v>
      </c>
      <c r="D349" s="1">
        <f t="shared" ca="1" si="17"/>
        <v>2.5463745146189787</v>
      </c>
      <c r="E349" s="1">
        <f ca="1">SUM($B$6:C349)/(2*A349)</f>
        <v>6.1814519816597553</v>
      </c>
      <c r="F349" s="1">
        <f ca="1">SUM($E$6:E349)/A349</f>
        <v>6.2400071677090354</v>
      </c>
    </row>
    <row r="350" spans="1:6" x14ac:dyDescent="0.25">
      <c r="A350" s="1">
        <v>345</v>
      </c>
      <c r="B350" s="1">
        <f t="shared" ca="1" si="15"/>
        <v>7.3856848714806098</v>
      </c>
      <c r="C350" s="1">
        <f t="shared" ca="1" si="16"/>
        <v>3.6188374820339031</v>
      </c>
      <c r="D350" s="1">
        <f t="shared" ca="1" si="17"/>
        <v>3.6188374820339031</v>
      </c>
      <c r="E350" s="1">
        <f ca="1">SUM($B$6:C350)/(2*A350)</f>
        <v>6.1794833126600377</v>
      </c>
      <c r="F350" s="1">
        <f ca="1">SUM($E$6:E350)/A350</f>
        <v>6.239831736245125</v>
      </c>
    </row>
    <row r="351" spans="1:6" x14ac:dyDescent="0.25">
      <c r="A351" s="1">
        <v>346</v>
      </c>
      <c r="B351" s="1">
        <f t="shared" ca="1" si="15"/>
        <v>0.90934321535072304</v>
      </c>
      <c r="C351" s="1">
        <f t="shared" ca="1" si="16"/>
        <v>13.413935824041692</v>
      </c>
      <c r="D351" s="1">
        <f t="shared" ca="1" si="17"/>
        <v>0.90934321535072304</v>
      </c>
      <c r="E351" s="1">
        <f ca="1">SUM($B$6:C351)/(2*A351)</f>
        <v>6.1823219144144774</v>
      </c>
      <c r="F351" s="1">
        <f ca="1">SUM($E$6:E351)/A351</f>
        <v>6.2396655228872326</v>
      </c>
    </row>
    <row r="352" spans="1:6" x14ac:dyDescent="0.25">
      <c r="A352" s="1">
        <v>347</v>
      </c>
      <c r="B352" s="1">
        <f t="shared" ca="1" si="15"/>
        <v>1.8210294230237989</v>
      </c>
      <c r="C352" s="1">
        <f t="shared" ca="1" si="16"/>
        <v>8.9483263705643559</v>
      </c>
      <c r="D352" s="1">
        <f t="shared" ca="1" si="17"/>
        <v>1.8210294230237989</v>
      </c>
      <c r="E352" s="1">
        <f ca="1">SUM($B$6:C352)/(2*A352)</f>
        <v>6.1800232284847354</v>
      </c>
      <c r="F352" s="1">
        <f ca="1">SUM($E$6:E352)/A352</f>
        <v>6.2394936430762735</v>
      </c>
    </row>
    <row r="353" spans="1:6" x14ac:dyDescent="0.25">
      <c r="A353" s="1">
        <v>348</v>
      </c>
      <c r="B353" s="1">
        <f t="shared" ca="1" si="15"/>
        <v>2.7312730385681707</v>
      </c>
      <c r="C353" s="1">
        <f t="shared" ca="1" si="16"/>
        <v>13.013599435862641</v>
      </c>
      <c r="D353" s="1">
        <f t="shared" ca="1" si="17"/>
        <v>2.7312730385681707</v>
      </c>
      <c r="E353" s="1">
        <f ca="1">SUM($B$6:C353)/(2*A353)</f>
        <v>6.1848864842569498</v>
      </c>
      <c r="F353" s="1">
        <f ca="1">SUM($E$6:E353)/A353</f>
        <v>6.2393367259532297</v>
      </c>
    </row>
    <row r="354" spans="1:6" x14ac:dyDescent="0.25">
      <c r="A354" s="1">
        <v>349</v>
      </c>
      <c r="B354" s="1">
        <f t="shared" ca="1" si="15"/>
        <v>8.7425763135639052</v>
      </c>
      <c r="C354" s="1">
        <f t="shared" ca="1" si="16"/>
        <v>5.9174894413617594</v>
      </c>
      <c r="D354" s="1">
        <f t="shared" ca="1" si="17"/>
        <v>5.9174894413617594</v>
      </c>
      <c r="E354" s="1">
        <f ca="1">SUM($B$6:C354)/(2*A354)</f>
        <v>6.1881677060139877</v>
      </c>
      <c r="F354" s="1">
        <f ca="1">SUM($E$6:E354)/A354</f>
        <v>6.2391901098502522</v>
      </c>
    </row>
    <row r="355" spans="1:6" x14ac:dyDescent="0.25">
      <c r="A355" s="1">
        <v>350</v>
      </c>
      <c r="B355" s="1">
        <f t="shared" ca="1" si="15"/>
        <v>6.1113402673906521</v>
      </c>
      <c r="C355" s="1">
        <f t="shared" ca="1" si="16"/>
        <v>10.162108413618929</v>
      </c>
      <c r="D355" s="1">
        <f t="shared" ca="1" si="17"/>
        <v>6.1113402673906521</v>
      </c>
      <c r="E355" s="1">
        <f ca="1">SUM($B$6:C355)/(2*A355)</f>
        <v>6.1937350106839615</v>
      </c>
      <c r="F355" s="1">
        <f ca="1">SUM($E$6:E355)/A355</f>
        <v>6.2390602381383493</v>
      </c>
    </row>
    <row r="356" spans="1:6" x14ac:dyDescent="0.25">
      <c r="A356" s="1">
        <v>351</v>
      </c>
      <c r="B356" s="1">
        <f t="shared" ca="1" si="15"/>
        <v>8.1784282134517454</v>
      </c>
      <c r="C356" s="1">
        <f t="shared" ca="1" si="16"/>
        <v>14.122682774122095</v>
      </c>
      <c r="D356" s="1">
        <f t="shared" ca="1" si="17"/>
        <v>8.1784282134517454</v>
      </c>
      <c r="E356" s="1">
        <f ca="1">SUM($B$6:C356)/(2*A356)</f>
        <v>6.2078570063623166</v>
      </c>
      <c r="F356" s="1">
        <f ca="1">SUM($E$6:E356)/A356</f>
        <v>6.2389713400421209</v>
      </c>
    </row>
    <row r="357" spans="1:6" x14ac:dyDescent="0.25">
      <c r="A357" s="1">
        <v>352</v>
      </c>
      <c r="B357" s="1">
        <f t="shared" ca="1" si="15"/>
        <v>0.42136017036654372</v>
      </c>
      <c r="C357" s="1">
        <f t="shared" ca="1" si="16"/>
        <v>2.479649186462995</v>
      </c>
      <c r="D357" s="1">
        <f t="shared" ca="1" si="17"/>
        <v>0.42136017036654372</v>
      </c>
      <c r="E357" s="1">
        <f ca="1">SUM($B$6:C357)/(2*A357)</f>
        <v>6.1943418008851925</v>
      </c>
      <c r="F357" s="1">
        <f ca="1">SUM($E$6:E357)/A357</f>
        <v>6.2388445515786062</v>
      </c>
    </row>
    <row r="358" spans="1:6" x14ac:dyDescent="0.25">
      <c r="A358" s="1">
        <v>353</v>
      </c>
      <c r="B358" s="1">
        <f t="shared" ca="1" si="15"/>
        <v>6.2918474176352968</v>
      </c>
      <c r="C358" s="1">
        <f t="shared" ca="1" si="16"/>
        <v>3.8656984053632426</v>
      </c>
      <c r="D358" s="1">
        <f t="shared" ca="1" si="17"/>
        <v>3.8656984053632426</v>
      </c>
      <c r="E358" s="1">
        <f ca="1">SUM($B$6:C358)/(2*A358)</f>
        <v>6.1911815490739004</v>
      </c>
      <c r="F358" s="1">
        <f ca="1">SUM($E$6:E358)/A358</f>
        <v>6.238709528908621</v>
      </c>
    </row>
    <row r="359" spans="1:6" x14ac:dyDescent="0.25">
      <c r="A359" s="1">
        <v>354</v>
      </c>
      <c r="B359" s="1">
        <f t="shared" ca="1" si="15"/>
        <v>3.3076978524627143</v>
      </c>
      <c r="C359" s="1">
        <f t="shared" ca="1" si="16"/>
        <v>10.375021565299987</v>
      </c>
      <c r="D359" s="1">
        <f t="shared" ca="1" si="17"/>
        <v>3.3076978524627143</v>
      </c>
      <c r="E359" s="1">
        <f ca="1">SUM($B$6:C359)/(2*A359)</f>
        <v>6.1930182105422826</v>
      </c>
      <c r="F359" s="1">
        <f ca="1">SUM($E$6:E359)/A359</f>
        <v>6.2385804573878127</v>
      </c>
    </row>
    <row r="360" spans="1:6" x14ac:dyDescent="0.25">
      <c r="A360" s="1">
        <v>355</v>
      </c>
      <c r="B360" s="1">
        <f t="shared" ca="1" si="15"/>
        <v>8.2642254253066127</v>
      </c>
      <c r="C360" s="1">
        <f t="shared" ca="1" si="16"/>
        <v>14.100470787242863</v>
      </c>
      <c r="D360" s="1">
        <f t="shared" ca="1" si="17"/>
        <v>8.2642254253066127</v>
      </c>
      <c r="E360" s="1">
        <f ca="1">SUM($B$6:C360)/(2*A360)</f>
        <v>6.2070726609527966</v>
      </c>
      <c r="F360" s="1">
        <f ca="1">SUM($E$6:E360)/A360</f>
        <v>6.2384917030316576</v>
      </c>
    </row>
    <row r="361" spans="1:6" x14ac:dyDescent="0.25">
      <c r="A361" s="1">
        <v>356</v>
      </c>
      <c r="B361" s="1">
        <f t="shared" ca="1" si="15"/>
        <v>9.6405563859489209</v>
      </c>
      <c r="C361" s="1">
        <f t="shared" ca="1" si="16"/>
        <v>13.292059667195662</v>
      </c>
      <c r="D361" s="1">
        <f t="shared" ca="1" si="17"/>
        <v>9.6405563859489209</v>
      </c>
      <c r="E361" s="1">
        <f ca="1">SUM($B$6:C361)/(2*A361)</f>
        <v>6.2218457940022889</v>
      </c>
      <c r="F361" s="1">
        <f ca="1">SUM($E$6:E361)/A361</f>
        <v>6.2384449448602268</v>
      </c>
    </row>
    <row r="362" spans="1:6" x14ac:dyDescent="0.25">
      <c r="A362" s="1">
        <v>357</v>
      </c>
      <c r="B362" s="1">
        <f t="shared" ca="1" si="15"/>
        <v>6.4453908587427611</v>
      </c>
      <c r="C362" s="1">
        <f t="shared" ca="1" si="16"/>
        <v>2.4943858295782082</v>
      </c>
      <c r="D362" s="1">
        <f t="shared" ca="1" si="17"/>
        <v>2.4943858295782082</v>
      </c>
      <c r="E362" s="1">
        <f ca="1">SUM($B$6:C362)/(2*A362)</f>
        <v>6.216938350165198</v>
      </c>
      <c r="F362" s="1">
        <f ca="1">SUM($E$6:E362)/A362</f>
        <v>6.2383847022980552</v>
      </c>
    </row>
    <row r="363" spans="1:6" x14ac:dyDescent="0.25">
      <c r="A363" s="1">
        <v>358</v>
      </c>
      <c r="B363" s="1">
        <f t="shared" ca="1" si="15"/>
        <v>3.2935446988867447</v>
      </c>
      <c r="C363" s="1">
        <f t="shared" ca="1" si="16"/>
        <v>9.76411295603749</v>
      </c>
      <c r="D363" s="1">
        <f t="shared" ca="1" si="17"/>
        <v>3.2935446988867447</v>
      </c>
      <c r="E363" s="1">
        <f ca="1">SUM($B$6:C363)/(2*A363)</f>
        <v>6.2178095526157486</v>
      </c>
      <c r="F363" s="1">
        <f ca="1">SUM($E$6:E363)/A363</f>
        <v>6.2383272298129082</v>
      </c>
    </row>
    <row r="364" spans="1:6" x14ac:dyDescent="0.25">
      <c r="A364" s="1">
        <v>359</v>
      </c>
      <c r="B364" s="1">
        <f t="shared" ca="1" si="15"/>
        <v>5.3096930202161694</v>
      </c>
      <c r="C364" s="1">
        <f t="shared" ca="1" si="16"/>
        <v>1.5123096937836027</v>
      </c>
      <c r="D364" s="1">
        <f t="shared" ca="1" si="17"/>
        <v>1.5123096937836027</v>
      </c>
      <c r="E364" s="1">
        <f ca="1">SUM($B$6:C364)/(2*A364)</f>
        <v>6.2099911453856205</v>
      </c>
      <c r="F364" s="1">
        <f ca="1">SUM($E$6:E364)/A364</f>
        <v>6.2382482992156181</v>
      </c>
    </row>
    <row r="365" spans="1:6" x14ac:dyDescent="0.25">
      <c r="A365" s="1">
        <v>360</v>
      </c>
      <c r="B365" s="1">
        <f t="shared" ca="1" si="15"/>
        <v>9.4472671552524261</v>
      </c>
      <c r="C365" s="1">
        <f t="shared" ca="1" si="16"/>
        <v>1.8017465789651244</v>
      </c>
      <c r="D365" s="1">
        <f t="shared" ca="1" si="17"/>
        <v>1.8017465789651244</v>
      </c>
      <c r="E365" s="1">
        <f ca="1">SUM($B$6:C365)/(2*A365)</f>
        <v>6.2083648001681846</v>
      </c>
      <c r="F365" s="1">
        <f ca="1">SUM($E$6:E365)/A365</f>
        <v>6.2381652894960418</v>
      </c>
    </row>
    <row r="366" spans="1:6" x14ac:dyDescent="0.25">
      <c r="A366" s="1">
        <v>361</v>
      </c>
      <c r="B366" s="1">
        <f t="shared" ca="1" si="15"/>
        <v>9.6886144037445714</v>
      </c>
      <c r="C366" s="1">
        <f t="shared" ca="1" si="16"/>
        <v>10.298296087417974</v>
      </c>
      <c r="D366" s="1">
        <f t="shared" ca="1" si="17"/>
        <v>9.6886144037445714</v>
      </c>
      <c r="E366" s="1">
        <f ca="1">SUM($B$6:C366)/(2*A366)</f>
        <v>6.2188498152524314</v>
      </c>
      <c r="F366" s="1">
        <f ca="1">SUM($E$6:E366)/A366</f>
        <v>6.2381117840272218</v>
      </c>
    </row>
    <row r="367" spans="1:6" x14ac:dyDescent="0.25">
      <c r="A367" s="1">
        <v>362</v>
      </c>
      <c r="B367" s="1">
        <f t="shared" ca="1" si="15"/>
        <v>7.7390345471520678</v>
      </c>
      <c r="C367" s="1">
        <f t="shared" ca="1" si="16"/>
        <v>4.0592812177839352</v>
      </c>
      <c r="D367" s="1">
        <f t="shared" ca="1" si="17"/>
        <v>4.0592812177839352</v>
      </c>
      <c r="E367" s="1">
        <f ca="1">SUM($B$6:C367)/(2*A367)</f>
        <v>6.2179666883662863</v>
      </c>
      <c r="F367" s="1">
        <f ca="1">SUM($E$6:E367)/A367</f>
        <v>6.2380561345916945</v>
      </c>
    </row>
    <row r="368" spans="1:6" x14ac:dyDescent="0.25">
      <c r="A368" s="1">
        <v>363</v>
      </c>
      <c r="B368" s="1">
        <f t="shared" ca="1" si="15"/>
        <v>0.69356805579197545</v>
      </c>
      <c r="C368" s="1">
        <f t="shared" ca="1" si="16"/>
        <v>10.524682640684988</v>
      </c>
      <c r="D368" s="1">
        <f t="shared" ca="1" si="17"/>
        <v>0.69356805579197545</v>
      </c>
      <c r="E368" s="1">
        <f ca="1">SUM($B$6:C368)/(2*A368)</f>
        <v>6.2162894394954096</v>
      </c>
      <c r="F368" s="1">
        <f ca="1">SUM($E$6:E368)/A368</f>
        <v>6.2379961712443217</v>
      </c>
    </row>
    <row r="369" spans="1:6" x14ac:dyDescent="0.25">
      <c r="A369" s="1">
        <v>364</v>
      </c>
      <c r="B369" s="1">
        <f t="shared" ca="1" si="15"/>
        <v>3.2990120856088687</v>
      </c>
      <c r="C369" s="1">
        <f t="shared" ca="1" si="16"/>
        <v>8.7506188544750945</v>
      </c>
      <c r="D369" s="1">
        <f t="shared" ca="1" si="17"/>
        <v>3.2990120856088687</v>
      </c>
      <c r="E369" s="1">
        <f ca="1">SUM($B$6:C369)/(2*A369)</f>
        <v>6.2157634121068019</v>
      </c>
      <c r="F369" s="1">
        <f ca="1">SUM($E$6:E369)/A369</f>
        <v>6.2379350922357029</v>
      </c>
    </row>
    <row r="370" spans="1:6" x14ac:dyDescent="0.25">
      <c r="A370" s="1">
        <v>365</v>
      </c>
      <c r="B370" s="1">
        <f t="shared" ca="1" si="15"/>
        <v>9.3610840386640266</v>
      </c>
      <c r="C370" s="1">
        <f t="shared" ca="1" si="16"/>
        <v>3.2943602723660903</v>
      </c>
      <c r="D370" s="1">
        <f t="shared" ca="1" si="17"/>
        <v>3.2943602723660903</v>
      </c>
      <c r="E370" s="1">
        <f ca="1">SUM($B$6:C370)/(2*A370)</f>
        <v>6.216070148390112</v>
      </c>
      <c r="F370" s="1">
        <f ca="1">SUM($E$6:E370)/A370</f>
        <v>6.2378751882799603</v>
      </c>
    </row>
  </sheetData>
  <mergeCells count="2">
    <mergeCell ref="A1:A2"/>
    <mergeCell ref="A3:B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CE9FF-1A6F-4C67-A836-5596C355CC39}">
  <dimension ref="A1"/>
  <sheetViews>
    <sheetView workbookViewId="0">
      <selection activeCell="F35" sqref="F35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74CDF-B7C0-490F-95B4-6BDEA7F609EE}">
  <dimension ref="A1:I29"/>
  <sheetViews>
    <sheetView workbookViewId="0">
      <selection activeCell="I17" sqref="I17"/>
    </sheetView>
  </sheetViews>
  <sheetFormatPr defaultRowHeight="15" x14ac:dyDescent="0.25"/>
  <cols>
    <col min="1" max="1" width="19.140625" bestFit="1" customWidth="1"/>
    <col min="2" max="2" width="11.5703125" bestFit="1" customWidth="1"/>
    <col min="3" max="3" width="9.5703125" bestFit="1" customWidth="1"/>
    <col min="4" max="4" width="10.5703125" bestFit="1" customWidth="1"/>
    <col min="7" max="7" width="9.5703125" bestFit="1" customWidth="1"/>
    <col min="8" max="8" width="34.42578125" bestFit="1" customWidth="1"/>
    <col min="9" max="9" width="10" bestFit="1" customWidth="1"/>
  </cols>
  <sheetData>
    <row r="1" spans="1:9" x14ac:dyDescent="0.25">
      <c r="A1" s="6" t="s">
        <v>13</v>
      </c>
      <c r="B1" s="6"/>
      <c r="C1" s="6"/>
      <c r="D1" s="6"/>
    </row>
    <row r="3" spans="1:9" x14ac:dyDescent="0.25">
      <c r="A3" s="7" t="s">
        <v>14</v>
      </c>
    </row>
    <row r="4" spans="1:9" x14ac:dyDescent="0.25">
      <c r="A4" s="1" t="s">
        <v>15</v>
      </c>
      <c r="B4" s="1">
        <v>10</v>
      </c>
      <c r="C4" s="1" t="s">
        <v>18</v>
      </c>
      <c r="D4" s="1">
        <v>10</v>
      </c>
    </row>
    <row r="5" spans="1:9" x14ac:dyDescent="0.25">
      <c r="A5" s="7" t="s">
        <v>16</v>
      </c>
      <c r="F5" s="6" t="s">
        <v>26</v>
      </c>
      <c r="G5" s="6"/>
      <c r="H5" s="6"/>
      <c r="I5" s="6"/>
    </row>
    <row r="6" spans="1:9" x14ac:dyDescent="0.25">
      <c r="A6" s="1" t="s">
        <v>17</v>
      </c>
      <c r="B6" s="1" t="s">
        <v>19</v>
      </c>
      <c r="C6" s="1" t="s">
        <v>20</v>
      </c>
      <c r="D6" s="1" t="s">
        <v>21</v>
      </c>
      <c r="F6" s="1" t="s">
        <v>22</v>
      </c>
      <c r="G6" s="1" t="s">
        <v>23</v>
      </c>
      <c r="H6" s="1" t="s">
        <v>24</v>
      </c>
      <c r="I6" s="1" t="s">
        <v>25</v>
      </c>
    </row>
    <row r="7" spans="1:9" x14ac:dyDescent="0.25">
      <c r="A7" s="1">
        <f ca="1">IF(RAND()&lt;0.5,1,0)</f>
        <v>1</v>
      </c>
      <c r="B7" s="1">
        <f ca="1">IF(A7=1, $B$4+$D$4,$B$4-$D$4)</f>
        <v>20</v>
      </c>
      <c r="C7" s="1" t="str">
        <f ca="1">IF(B7&lt;2*$B$4,"-","банк")</f>
        <v>банк</v>
      </c>
      <c r="D7" s="1" t="str">
        <f ca="1">IF(B7&gt;0, "-","банкрот")</f>
        <v>-</v>
      </c>
      <c r="F7" s="1">
        <v>1</v>
      </c>
      <c r="G7" s="1">
        <v>1</v>
      </c>
      <c r="H7" s="1">
        <v>14</v>
      </c>
      <c r="I7" s="1" t="s">
        <v>28</v>
      </c>
    </row>
    <row r="8" spans="1:9" x14ac:dyDescent="0.25">
      <c r="A8" s="1">
        <f t="shared" ref="A8:A29" ca="1" si="0">IF(RAND()&lt;0.5,1,0)</f>
        <v>0</v>
      </c>
      <c r="B8" s="1">
        <f ca="1">IF(A8=1, B7+$D$4,B7-$D$4)</f>
        <v>10</v>
      </c>
      <c r="C8" s="1" t="str">
        <f t="shared" ref="C8:C29" ca="1" si="1">IF(B8&lt;2*$B$4,"-","банк")</f>
        <v>-</v>
      </c>
      <c r="D8" s="1" t="str">
        <f t="shared" ref="D8:D15" ca="1" si="2">IF(B8&gt;0, "-","банкрот")</f>
        <v>-</v>
      </c>
      <c r="F8" s="1">
        <v>2</v>
      </c>
      <c r="G8" s="1">
        <v>2</v>
      </c>
      <c r="H8" s="1">
        <v>11</v>
      </c>
      <c r="I8" s="1" t="s">
        <v>27</v>
      </c>
    </row>
    <row r="9" spans="1:9" x14ac:dyDescent="0.25">
      <c r="A9" s="1">
        <f t="shared" ca="1" si="0"/>
        <v>0</v>
      </c>
      <c r="B9" s="1">
        <f t="shared" ref="B9:B29" ca="1" si="3">IF(A9=1, B8+$D$4,B8-$D$4)</f>
        <v>0</v>
      </c>
      <c r="C9" s="1" t="str">
        <f t="shared" ca="1" si="1"/>
        <v>-</v>
      </c>
      <c r="D9" s="1" t="str">
        <f t="shared" ref="D9:D29" ca="1" si="4">IF(B9&gt;0, "-","банкрот")</f>
        <v>банкрот</v>
      </c>
      <c r="F9" s="1">
        <v>3</v>
      </c>
      <c r="G9" s="1">
        <v>3</v>
      </c>
      <c r="H9" s="1">
        <v>8</v>
      </c>
      <c r="I9" s="1" t="s">
        <v>27</v>
      </c>
    </row>
    <row r="10" spans="1:9" x14ac:dyDescent="0.25">
      <c r="A10" s="1">
        <f t="shared" ca="1" si="0"/>
        <v>0</v>
      </c>
      <c r="B10" s="1">
        <f t="shared" ca="1" si="3"/>
        <v>-10</v>
      </c>
      <c r="C10" s="1" t="str">
        <f t="shared" ca="1" si="1"/>
        <v>-</v>
      </c>
      <c r="D10" s="1" t="str">
        <f t="shared" ca="1" si="4"/>
        <v>банкрот</v>
      </c>
      <c r="F10" s="1">
        <v>4</v>
      </c>
      <c r="G10" s="1">
        <v>4</v>
      </c>
      <c r="H10" s="1">
        <v>13</v>
      </c>
      <c r="I10" s="1" t="s">
        <v>28</v>
      </c>
    </row>
    <row r="11" spans="1:9" x14ac:dyDescent="0.25">
      <c r="A11" s="1">
        <f t="shared" ca="1" si="0"/>
        <v>1</v>
      </c>
      <c r="B11" s="1">
        <f t="shared" ca="1" si="3"/>
        <v>0</v>
      </c>
      <c r="C11" s="1" t="str">
        <f t="shared" ca="1" si="1"/>
        <v>-</v>
      </c>
      <c r="D11" s="1" t="str">
        <f t="shared" ca="1" si="4"/>
        <v>банкрот</v>
      </c>
      <c r="F11" s="1">
        <v>5</v>
      </c>
      <c r="G11" s="1">
        <v>5</v>
      </c>
      <c r="H11" s="1">
        <v>8</v>
      </c>
      <c r="I11" s="1" t="s">
        <v>28</v>
      </c>
    </row>
    <row r="12" spans="1:9" x14ac:dyDescent="0.25">
      <c r="A12" s="1">
        <f t="shared" ca="1" si="0"/>
        <v>1</v>
      </c>
      <c r="B12" s="1">
        <f t="shared" ca="1" si="3"/>
        <v>10</v>
      </c>
      <c r="C12" s="1" t="str">
        <f t="shared" ca="1" si="1"/>
        <v>-</v>
      </c>
      <c r="D12" s="1" t="str">
        <f t="shared" ca="1" si="4"/>
        <v>-</v>
      </c>
      <c r="F12" s="1">
        <v>6</v>
      </c>
      <c r="G12" s="1">
        <v>6</v>
      </c>
      <c r="H12" s="1">
        <v>2</v>
      </c>
      <c r="I12" s="1" t="s">
        <v>27</v>
      </c>
    </row>
    <row r="13" spans="1:9" x14ac:dyDescent="0.25">
      <c r="A13" s="1">
        <f t="shared" ca="1" si="0"/>
        <v>0</v>
      </c>
      <c r="B13" s="1">
        <f t="shared" ca="1" si="3"/>
        <v>0</v>
      </c>
      <c r="C13" s="1" t="str">
        <f t="shared" ca="1" si="1"/>
        <v>-</v>
      </c>
      <c r="D13" s="1" t="str">
        <f t="shared" ca="1" si="4"/>
        <v>банкрот</v>
      </c>
      <c r="F13" s="1">
        <v>7</v>
      </c>
      <c r="G13" s="1">
        <v>7</v>
      </c>
      <c r="H13" s="1">
        <v>14</v>
      </c>
      <c r="I13" s="1" t="s">
        <v>28</v>
      </c>
    </row>
    <row r="14" spans="1:9" x14ac:dyDescent="0.25">
      <c r="A14" s="1">
        <f t="shared" ca="1" si="0"/>
        <v>1</v>
      </c>
      <c r="B14" s="1">
        <f t="shared" ca="1" si="3"/>
        <v>10</v>
      </c>
      <c r="C14" s="1" t="str">
        <f t="shared" ca="1" si="1"/>
        <v>-</v>
      </c>
      <c r="D14" s="1" t="str">
        <f t="shared" ca="1" si="4"/>
        <v>-</v>
      </c>
      <c r="F14" s="1">
        <v>8</v>
      </c>
      <c r="G14" s="1">
        <v>8</v>
      </c>
      <c r="H14" s="1">
        <v>2</v>
      </c>
      <c r="I14" s="1" t="s">
        <v>27</v>
      </c>
    </row>
    <row r="15" spans="1:9" x14ac:dyDescent="0.25">
      <c r="A15" s="1">
        <f t="shared" ca="1" si="0"/>
        <v>1</v>
      </c>
      <c r="B15" s="1">
        <f t="shared" ca="1" si="3"/>
        <v>20</v>
      </c>
      <c r="C15" s="1" t="str">
        <f t="shared" ca="1" si="1"/>
        <v>банк</v>
      </c>
      <c r="D15" s="1" t="str">
        <f t="shared" ca="1" si="4"/>
        <v>-</v>
      </c>
      <c r="F15" s="1">
        <v>9</v>
      </c>
      <c r="G15" s="1">
        <v>9</v>
      </c>
      <c r="H15" s="1">
        <v>6</v>
      </c>
      <c r="I15" s="1" t="s">
        <v>27</v>
      </c>
    </row>
    <row r="16" spans="1:9" x14ac:dyDescent="0.25">
      <c r="A16" s="1">
        <f t="shared" ca="1" si="0"/>
        <v>0</v>
      </c>
      <c r="B16" s="1">
        <f t="shared" ca="1" si="3"/>
        <v>10</v>
      </c>
      <c r="C16" s="1" t="str">
        <f t="shared" ca="1" si="1"/>
        <v>-</v>
      </c>
      <c r="D16" s="1" t="str">
        <f t="shared" ca="1" si="4"/>
        <v>-</v>
      </c>
      <c r="F16" s="1">
        <v>10</v>
      </c>
      <c r="G16" s="1">
        <v>10</v>
      </c>
      <c r="H16" s="1">
        <v>1</v>
      </c>
      <c r="I16" s="1" t="s">
        <v>27</v>
      </c>
    </row>
    <row r="17" spans="1:4" x14ac:dyDescent="0.25">
      <c r="A17" s="1">
        <f t="shared" ca="1" si="0"/>
        <v>1</v>
      </c>
      <c r="B17" s="1">
        <f t="shared" ca="1" si="3"/>
        <v>20</v>
      </c>
      <c r="C17" s="1" t="str">
        <f t="shared" ca="1" si="1"/>
        <v>банк</v>
      </c>
      <c r="D17" s="1" t="str">
        <f t="shared" ca="1" si="4"/>
        <v>-</v>
      </c>
    </row>
    <row r="18" spans="1:4" x14ac:dyDescent="0.25">
      <c r="A18" s="1">
        <f t="shared" ca="1" si="0"/>
        <v>0</v>
      </c>
      <c r="B18" s="1">
        <f t="shared" ca="1" si="3"/>
        <v>10</v>
      </c>
      <c r="C18" s="1" t="str">
        <f t="shared" ca="1" si="1"/>
        <v>-</v>
      </c>
      <c r="D18" s="1" t="str">
        <f t="shared" ca="1" si="4"/>
        <v>-</v>
      </c>
    </row>
    <row r="19" spans="1:4" x14ac:dyDescent="0.25">
      <c r="A19" s="1">
        <f t="shared" ca="1" si="0"/>
        <v>0</v>
      </c>
      <c r="B19" s="1">
        <f t="shared" ca="1" si="3"/>
        <v>0</v>
      </c>
      <c r="C19" s="1" t="str">
        <f t="shared" ca="1" si="1"/>
        <v>-</v>
      </c>
      <c r="D19" s="1" t="str">
        <f t="shared" ca="1" si="4"/>
        <v>банкрот</v>
      </c>
    </row>
    <row r="20" spans="1:4" x14ac:dyDescent="0.25">
      <c r="A20" s="1">
        <f t="shared" ca="1" si="0"/>
        <v>1</v>
      </c>
      <c r="B20" s="1">
        <f t="shared" ca="1" si="3"/>
        <v>10</v>
      </c>
      <c r="C20" s="1" t="str">
        <f t="shared" ca="1" si="1"/>
        <v>-</v>
      </c>
      <c r="D20" s="1" t="str">
        <f t="shared" ca="1" si="4"/>
        <v>-</v>
      </c>
    </row>
    <row r="21" spans="1:4" x14ac:dyDescent="0.25">
      <c r="A21" s="1">
        <f t="shared" ca="1" si="0"/>
        <v>0</v>
      </c>
      <c r="B21" s="1">
        <f t="shared" ca="1" si="3"/>
        <v>0</v>
      </c>
      <c r="C21" s="1" t="str">
        <f t="shared" ca="1" si="1"/>
        <v>-</v>
      </c>
      <c r="D21" s="1" t="str">
        <f t="shared" ca="1" si="4"/>
        <v>банкрот</v>
      </c>
    </row>
    <row r="22" spans="1:4" x14ac:dyDescent="0.25">
      <c r="A22" s="1">
        <f t="shared" ca="1" si="0"/>
        <v>1</v>
      </c>
      <c r="B22" s="1">
        <f t="shared" ca="1" si="3"/>
        <v>10</v>
      </c>
      <c r="C22" s="1" t="str">
        <f t="shared" ca="1" si="1"/>
        <v>-</v>
      </c>
      <c r="D22" s="1" t="str">
        <f t="shared" ca="1" si="4"/>
        <v>-</v>
      </c>
    </row>
    <row r="23" spans="1:4" x14ac:dyDescent="0.25">
      <c r="A23" s="1">
        <f t="shared" ca="1" si="0"/>
        <v>1</v>
      </c>
      <c r="B23" s="1">
        <f t="shared" ca="1" si="3"/>
        <v>20</v>
      </c>
      <c r="C23" s="1" t="str">
        <f t="shared" ca="1" si="1"/>
        <v>банк</v>
      </c>
      <c r="D23" s="1" t="str">
        <f t="shared" ca="1" si="4"/>
        <v>-</v>
      </c>
    </row>
    <row r="24" spans="1:4" x14ac:dyDescent="0.25">
      <c r="A24" s="1">
        <f t="shared" ca="1" si="0"/>
        <v>0</v>
      </c>
      <c r="B24" s="1">
        <f t="shared" ca="1" si="3"/>
        <v>10</v>
      </c>
      <c r="C24" s="1" t="str">
        <f t="shared" ca="1" si="1"/>
        <v>-</v>
      </c>
      <c r="D24" s="1" t="str">
        <f t="shared" ca="1" si="4"/>
        <v>-</v>
      </c>
    </row>
    <row r="25" spans="1:4" x14ac:dyDescent="0.25">
      <c r="A25" s="1">
        <f t="shared" ca="1" si="0"/>
        <v>1</v>
      </c>
      <c r="B25" s="1">
        <f t="shared" ca="1" si="3"/>
        <v>20</v>
      </c>
      <c r="C25" s="1" t="str">
        <f t="shared" ca="1" si="1"/>
        <v>банк</v>
      </c>
      <c r="D25" s="1" t="str">
        <f t="shared" ca="1" si="4"/>
        <v>-</v>
      </c>
    </row>
    <row r="26" spans="1:4" x14ac:dyDescent="0.25">
      <c r="A26" s="1">
        <f t="shared" ca="1" si="0"/>
        <v>0</v>
      </c>
      <c r="B26" s="1">
        <f t="shared" ca="1" si="3"/>
        <v>10</v>
      </c>
      <c r="C26" s="1" t="str">
        <f t="shared" ca="1" si="1"/>
        <v>-</v>
      </c>
      <c r="D26" s="1" t="str">
        <f t="shared" ca="1" si="4"/>
        <v>-</v>
      </c>
    </row>
    <row r="27" spans="1:4" x14ac:dyDescent="0.25">
      <c r="A27" s="1">
        <f t="shared" ca="1" si="0"/>
        <v>0</v>
      </c>
      <c r="B27" s="1">
        <f t="shared" ca="1" si="3"/>
        <v>0</v>
      </c>
      <c r="C27" s="1" t="str">
        <f t="shared" ca="1" si="1"/>
        <v>-</v>
      </c>
      <c r="D27" s="1" t="str">
        <f t="shared" ca="1" si="4"/>
        <v>банкрот</v>
      </c>
    </row>
    <row r="28" spans="1:4" x14ac:dyDescent="0.25">
      <c r="A28" s="1">
        <f t="shared" ca="1" si="0"/>
        <v>1</v>
      </c>
      <c r="B28" s="1">
        <f t="shared" ca="1" si="3"/>
        <v>10</v>
      </c>
      <c r="C28" s="1" t="str">
        <f t="shared" ca="1" si="1"/>
        <v>-</v>
      </c>
      <c r="D28" s="1" t="str">
        <f t="shared" ca="1" si="4"/>
        <v>-</v>
      </c>
    </row>
    <row r="29" spans="1:4" x14ac:dyDescent="0.25">
      <c r="A29" s="1">
        <f t="shared" ca="1" si="0"/>
        <v>1</v>
      </c>
      <c r="B29" s="1">
        <f t="shared" ca="1" si="3"/>
        <v>20</v>
      </c>
      <c r="C29" s="1" t="str">
        <f t="shared" ca="1" si="1"/>
        <v>банк</v>
      </c>
      <c r="D29" s="1" t="str">
        <f t="shared" ca="1" si="4"/>
        <v>-</v>
      </c>
    </row>
  </sheetData>
  <mergeCells count="2">
    <mergeCell ref="A1:D1"/>
    <mergeCell ref="F5:I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67A3B-EECB-4044-AFAA-C1AE6F5A9B93}">
  <dimension ref="A1:E34"/>
  <sheetViews>
    <sheetView tabSelected="1" workbookViewId="0">
      <selection activeCell="C4" sqref="C4"/>
    </sheetView>
  </sheetViews>
  <sheetFormatPr defaultRowHeight="15" x14ac:dyDescent="0.25"/>
  <cols>
    <col min="1" max="1" width="18.5703125" customWidth="1"/>
    <col min="2" max="2" width="17.7109375" customWidth="1"/>
    <col min="3" max="3" width="10.7109375" customWidth="1"/>
    <col min="4" max="4" width="11.5703125" customWidth="1"/>
    <col min="5" max="5" width="11.42578125" bestFit="1" customWidth="1"/>
  </cols>
  <sheetData>
    <row r="1" spans="1:5" x14ac:dyDescent="0.25">
      <c r="A1" s="6" t="s">
        <v>33</v>
      </c>
      <c r="B1" s="6"/>
      <c r="C1" s="6"/>
      <c r="D1" s="6"/>
      <c r="E1" s="6"/>
    </row>
    <row r="3" spans="1:5" ht="47.25" customHeight="1" x14ac:dyDescent="0.25">
      <c r="A3" s="2" t="s">
        <v>29</v>
      </c>
      <c r="B3" s="2" t="s">
        <v>30</v>
      </c>
      <c r="C3" s="2" t="s">
        <v>31</v>
      </c>
      <c r="D3" s="2" t="s">
        <v>32</v>
      </c>
      <c r="E3" s="2" t="s">
        <v>25</v>
      </c>
    </row>
    <row r="4" spans="1:5" x14ac:dyDescent="0.25">
      <c r="A4" s="1">
        <f ca="1">INT(1+6*RAND())</f>
        <v>1</v>
      </c>
      <c r="B4" s="1">
        <f ca="1">INT(1+6*RAND())</f>
        <v>5</v>
      </c>
      <c r="C4" s="1">
        <f ca="1">SUM(A:A)</f>
        <v>101</v>
      </c>
      <c r="D4" s="1">
        <f ca="1">SUM(B:B)</f>
        <v>110</v>
      </c>
      <c r="E4" s="1" t="str">
        <f ca="1">IF(OR(C4&gt;101, D4&gt;101), "конец игры", "-")</f>
        <v>конец игры</v>
      </c>
    </row>
    <row r="5" spans="1:5" x14ac:dyDescent="0.25">
      <c r="A5" s="1">
        <f t="shared" ref="A5:B20" ca="1" si="0">INT(1+6*RAND())</f>
        <v>3</v>
      </c>
      <c r="B5" s="1">
        <f t="shared" ca="1" si="0"/>
        <v>1</v>
      </c>
      <c r="C5" s="1">
        <f t="shared" ref="C5:C13" ca="1" si="1">SUM(A:A)</f>
        <v>101</v>
      </c>
      <c r="D5" s="1">
        <f t="shared" ref="D5:D13" ca="1" si="2">SUM(B:B)</f>
        <v>110</v>
      </c>
      <c r="E5" s="1" t="str">
        <f t="shared" ref="E5:E13" ca="1" si="3">IF(OR(C5&gt;101, D5&gt;101), "конец игры", "-")</f>
        <v>конец игры</v>
      </c>
    </row>
    <row r="6" spans="1:5" x14ac:dyDescent="0.25">
      <c r="A6" s="1">
        <f t="shared" ca="1" si="0"/>
        <v>2</v>
      </c>
      <c r="B6" s="1">
        <f t="shared" ca="1" si="0"/>
        <v>2</v>
      </c>
      <c r="C6" s="1">
        <f t="shared" ca="1" si="1"/>
        <v>101</v>
      </c>
      <c r="D6" s="1">
        <f t="shared" ca="1" si="2"/>
        <v>110</v>
      </c>
      <c r="E6" s="1" t="str">
        <f t="shared" ca="1" si="3"/>
        <v>конец игры</v>
      </c>
    </row>
    <row r="7" spans="1:5" x14ac:dyDescent="0.25">
      <c r="A7" s="1">
        <f t="shared" ca="1" si="0"/>
        <v>4</v>
      </c>
      <c r="B7" s="1">
        <f t="shared" ca="1" si="0"/>
        <v>1</v>
      </c>
      <c r="C7" s="1">
        <f t="shared" ca="1" si="1"/>
        <v>101</v>
      </c>
      <c r="D7" s="1">
        <f t="shared" ca="1" si="2"/>
        <v>110</v>
      </c>
      <c r="E7" s="1" t="str">
        <f t="shared" ca="1" si="3"/>
        <v>конец игры</v>
      </c>
    </row>
    <row r="8" spans="1:5" x14ac:dyDescent="0.25">
      <c r="A8" s="1">
        <f t="shared" ca="1" si="0"/>
        <v>6</v>
      </c>
      <c r="B8" s="1">
        <f t="shared" ca="1" si="0"/>
        <v>3</v>
      </c>
      <c r="C8" s="1">
        <f t="shared" ca="1" si="1"/>
        <v>101</v>
      </c>
      <c r="D8" s="1">
        <f t="shared" ca="1" si="2"/>
        <v>110</v>
      </c>
      <c r="E8" s="1" t="str">
        <f t="shared" ca="1" si="3"/>
        <v>конец игры</v>
      </c>
    </row>
    <row r="9" spans="1:5" x14ac:dyDescent="0.25">
      <c r="A9" s="1">
        <f t="shared" ca="1" si="0"/>
        <v>1</v>
      </c>
      <c r="B9" s="1">
        <f t="shared" ca="1" si="0"/>
        <v>2</v>
      </c>
      <c r="C9" s="1">
        <f t="shared" ca="1" si="1"/>
        <v>101</v>
      </c>
      <c r="D9" s="1">
        <f t="shared" ca="1" si="2"/>
        <v>110</v>
      </c>
      <c r="E9" s="1" t="str">
        <f t="shared" ca="1" si="3"/>
        <v>конец игры</v>
      </c>
    </row>
    <row r="10" spans="1:5" x14ac:dyDescent="0.25">
      <c r="A10" s="1">
        <f t="shared" ca="1" si="0"/>
        <v>2</v>
      </c>
      <c r="B10" s="1">
        <f t="shared" ca="1" si="0"/>
        <v>6</v>
      </c>
      <c r="C10" s="1">
        <f t="shared" ca="1" si="1"/>
        <v>101</v>
      </c>
      <c r="D10" s="1">
        <f t="shared" ca="1" si="2"/>
        <v>110</v>
      </c>
      <c r="E10" s="1" t="str">
        <f t="shared" ca="1" si="3"/>
        <v>конец игры</v>
      </c>
    </row>
    <row r="11" spans="1:5" x14ac:dyDescent="0.25">
      <c r="A11" s="1">
        <f t="shared" ca="1" si="0"/>
        <v>2</v>
      </c>
      <c r="B11" s="1">
        <f t="shared" ca="1" si="0"/>
        <v>2</v>
      </c>
      <c r="C11" s="1">
        <f t="shared" ca="1" si="1"/>
        <v>101</v>
      </c>
      <c r="D11" s="1">
        <f t="shared" ca="1" si="2"/>
        <v>110</v>
      </c>
      <c r="E11" s="1" t="str">
        <f t="shared" ca="1" si="3"/>
        <v>конец игры</v>
      </c>
    </row>
    <row r="12" spans="1:5" x14ac:dyDescent="0.25">
      <c r="A12" s="1">
        <f t="shared" ca="1" si="0"/>
        <v>6</v>
      </c>
      <c r="B12" s="1">
        <f t="shared" ca="1" si="0"/>
        <v>4</v>
      </c>
      <c r="C12" s="1">
        <f t="shared" ca="1" si="1"/>
        <v>101</v>
      </c>
      <c r="D12" s="1">
        <f t="shared" ca="1" si="2"/>
        <v>110</v>
      </c>
      <c r="E12" s="1" t="str">
        <f t="shared" ca="1" si="3"/>
        <v>конец игры</v>
      </c>
    </row>
    <row r="13" spans="1:5" x14ac:dyDescent="0.25">
      <c r="A13" s="1">
        <f t="shared" ca="1" si="0"/>
        <v>1</v>
      </c>
      <c r="B13" s="1">
        <f t="shared" ca="1" si="0"/>
        <v>6</v>
      </c>
      <c r="C13" s="1">
        <f t="shared" ca="1" si="1"/>
        <v>101</v>
      </c>
      <c r="D13" s="1">
        <f t="shared" ca="1" si="2"/>
        <v>110</v>
      </c>
      <c r="E13" s="1" t="str">
        <f t="shared" ca="1" si="3"/>
        <v>конец игры</v>
      </c>
    </row>
    <row r="14" spans="1:5" x14ac:dyDescent="0.25">
      <c r="A14" s="1">
        <f t="shared" ca="1" si="0"/>
        <v>4</v>
      </c>
      <c r="B14" s="1">
        <f t="shared" ca="1" si="0"/>
        <v>4</v>
      </c>
      <c r="C14" s="1">
        <f t="shared" ref="C14:C28" ca="1" si="4">SUM(A:A)</f>
        <v>101</v>
      </c>
      <c r="D14" s="1">
        <f t="shared" ref="D14:D28" ca="1" si="5">SUM(B:B)</f>
        <v>110</v>
      </c>
      <c r="E14" s="1" t="str">
        <f t="shared" ref="E14:E28" ca="1" si="6">IF(OR(C14&gt;101, D14&gt;101), "конец игры", "-")</f>
        <v>конец игры</v>
      </c>
    </row>
    <row r="15" spans="1:5" x14ac:dyDescent="0.25">
      <c r="A15" s="1">
        <f t="shared" ca="1" si="0"/>
        <v>5</v>
      </c>
      <c r="B15" s="1">
        <f t="shared" ca="1" si="0"/>
        <v>5</v>
      </c>
      <c r="C15" s="1">
        <f t="shared" ca="1" si="4"/>
        <v>101</v>
      </c>
      <c r="D15" s="1">
        <f t="shared" ca="1" si="5"/>
        <v>110</v>
      </c>
      <c r="E15" s="1" t="str">
        <f t="shared" ca="1" si="6"/>
        <v>конец игры</v>
      </c>
    </row>
    <row r="16" spans="1:5" x14ac:dyDescent="0.25">
      <c r="A16" s="1">
        <f t="shared" ca="1" si="0"/>
        <v>2</v>
      </c>
      <c r="B16" s="1">
        <f t="shared" ca="1" si="0"/>
        <v>3</v>
      </c>
      <c r="C16" s="1">
        <f t="shared" ca="1" si="4"/>
        <v>101</v>
      </c>
      <c r="D16" s="1">
        <f t="shared" ca="1" si="5"/>
        <v>110</v>
      </c>
      <c r="E16" s="1" t="str">
        <f t="shared" ca="1" si="6"/>
        <v>конец игры</v>
      </c>
    </row>
    <row r="17" spans="1:5" x14ac:dyDescent="0.25">
      <c r="A17" s="1">
        <f t="shared" ca="1" si="0"/>
        <v>1</v>
      </c>
      <c r="B17" s="1">
        <f t="shared" ca="1" si="0"/>
        <v>4</v>
      </c>
      <c r="C17" s="1">
        <f t="shared" ca="1" si="4"/>
        <v>101</v>
      </c>
      <c r="D17" s="1">
        <f t="shared" ca="1" si="5"/>
        <v>110</v>
      </c>
      <c r="E17" s="1" t="str">
        <f t="shared" ca="1" si="6"/>
        <v>конец игры</v>
      </c>
    </row>
    <row r="18" spans="1:5" x14ac:dyDescent="0.25">
      <c r="A18" s="1">
        <f t="shared" ca="1" si="0"/>
        <v>6</v>
      </c>
      <c r="B18" s="1">
        <f t="shared" ca="1" si="0"/>
        <v>6</v>
      </c>
      <c r="C18" s="1">
        <f t="shared" ca="1" si="4"/>
        <v>101</v>
      </c>
      <c r="D18" s="1">
        <f t="shared" ca="1" si="5"/>
        <v>110</v>
      </c>
      <c r="E18" s="1" t="str">
        <f t="shared" ca="1" si="6"/>
        <v>конец игры</v>
      </c>
    </row>
    <row r="19" spans="1:5" x14ac:dyDescent="0.25">
      <c r="A19" s="1">
        <f t="shared" ca="1" si="0"/>
        <v>4</v>
      </c>
      <c r="B19" s="1">
        <f t="shared" ca="1" si="0"/>
        <v>3</v>
      </c>
      <c r="C19" s="1">
        <f t="shared" ca="1" si="4"/>
        <v>101</v>
      </c>
      <c r="D19" s="1">
        <f t="shared" ca="1" si="5"/>
        <v>110</v>
      </c>
      <c r="E19" s="1" t="str">
        <f t="shared" ca="1" si="6"/>
        <v>конец игры</v>
      </c>
    </row>
    <row r="20" spans="1:5" x14ac:dyDescent="0.25">
      <c r="A20" s="1">
        <f t="shared" ca="1" si="0"/>
        <v>5</v>
      </c>
      <c r="B20" s="1">
        <f t="shared" ca="1" si="0"/>
        <v>2</v>
      </c>
      <c r="C20" s="1">
        <f t="shared" ca="1" si="4"/>
        <v>101</v>
      </c>
      <c r="D20" s="1">
        <f t="shared" ca="1" si="5"/>
        <v>110</v>
      </c>
      <c r="E20" s="1" t="str">
        <f t="shared" ca="1" si="6"/>
        <v>конец игры</v>
      </c>
    </row>
    <row r="21" spans="1:5" x14ac:dyDescent="0.25">
      <c r="A21" s="1">
        <f t="shared" ref="A21:B28" ca="1" si="7">INT(1+6*RAND())</f>
        <v>2</v>
      </c>
      <c r="B21" s="1">
        <f t="shared" ca="1" si="7"/>
        <v>5</v>
      </c>
      <c r="C21" s="1">
        <f t="shared" ca="1" si="4"/>
        <v>101</v>
      </c>
      <c r="D21" s="1">
        <f t="shared" ca="1" si="5"/>
        <v>110</v>
      </c>
      <c r="E21" s="1" t="str">
        <f t="shared" ca="1" si="6"/>
        <v>конец игры</v>
      </c>
    </row>
    <row r="22" spans="1:5" x14ac:dyDescent="0.25">
      <c r="A22" s="1">
        <f t="shared" ca="1" si="7"/>
        <v>4</v>
      </c>
      <c r="B22" s="1">
        <f t="shared" ca="1" si="7"/>
        <v>1</v>
      </c>
      <c r="C22" s="1">
        <f t="shared" ca="1" si="4"/>
        <v>101</v>
      </c>
      <c r="D22" s="1">
        <f t="shared" ca="1" si="5"/>
        <v>110</v>
      </c>
      <c r="E22" s="1" t="str">
        <f t="shared" ca="1" si="6"/>
        <v>конец игры</v>
      </c>
    </row>
    <row r="23" spans="1:5" x14ac:dyDescent="0.25">
      <c r="A23" s="1">
        <f t="shared" ca="1" si="7"/>
        <v>1</v>
      </c>
      <c r="B23" s="1">
        <f t="shared" ca="1" si="7"/>
        <v>2</v>
      </c>
      <c r="C23" s="1">
        <f t="shared" ca="1" si="4"/>
        <v>101</v>
      </c>
      <c r="D23" s="1">
        <f t="shared" ca="1" si="5"/>
        <v>110</v>
      </c>
      <c r="E23" s="1" t="str">
        <f t="shared" ca="1" si="6"/>
        <v>конец игры</v>
      </c>
    </row>
    <row r="24" spans="1:5" x14ac:dyDescent="0.25">
      <c r="A24" s="1">
        <f t="shared" ca="1" si="7"/>
        <v>5</v>
      </c>
      <c r="B24" s="1">
        <f t="shared" ca="1" si="7"/>
        <v>2</v>
      </c>
      <c r="C24" s="1">
        <f t="shared" ca="1" si="4"/>
        <v>101</v>
      </c>
      <c r="D24" s="1">
        <f t="shared" ca="1" si="5"/>
        <v>110</v>
      </c>
      <c r="E24" s="1" t="str">
        <f t="shared" ca="1" si="6"/>
        <v>конец игры</v>
      </c>
    </row>
    <row r="25" spans="1:5" x14ac:dyDescent="0.25">
      <c r="A25" s="1">
        <f t="shared" ca="1" si="7"/>
        <v>3</v>
      </c>
      <c r="B25" s="1">
        <f t="shared" ca="1" si="7"/>
        <v>6</v>
      </c>
      <c r="C25" s="1">
        <f t="shared" ca="1" si="4"/>
        <v>101</v>
      </c>
      <c r="D25" s="1">
        <f t="shared" ca="1" si="5"/>
        <v>110</v>
      </c>
      <c r="E25" s="1" t="str">
        <f t="shared" ca="1" si="6"/>
        <v>конец игры</v>
      </c>
    </row>
    <row r="26" spans="1:5" x14ac:dyDescent="0.25">
      <c r="A26" s="1">
        <f t="shared" ca="1" si="7"/>
        <v>1</v>
      </c>
      <c r="B26" s="1">
        <f t="shared" ca="1" si="7"/>
        <v>4</v>
      </c>
      <c r="C26" s="1">
        <f t="shared" ca="1" si="4"/>
        <v>101</v>
      </c>
      <c r="D26" s="1">
        <f t="shared" ca="1" si="5"/>
        <v>110</v>
      </c>
      <c r="E26" s="1" t="str">
        <f t="shared" ca="1" si="6"/>
        <v>конец игры</v>
      </c>
    </row>
    <row r="27" spans="1:5" x14ac:dyDescent="0.25">
      <c r="A27" s="1">
        <f t="shared" ca="1" si="7"/>
        <v>4</v>
      </c>
      <c r="B27" s="1">
        <f t="shared" ca="1" si="7"/>
        <v>3</v>
      </c>
      <c r="C27" s="1">
        <f t="shared" ca="1" si="4"/>
        <v>101</v>
      </c>
      <c r="D27" s="1">
        <f t="shared" ca="1" si="5"/>
        <v>110</v>
      </c>
      <c r="E27" s="1" t="str">
        <f t="shared" ca="1" si="6"/>
        <v>конец игры</v>
      </c>
    </row>
    <row r="28" spans="1:5" x14ac:dyDescent="0.25">
      <c r="A28" s="1">
        <f t="shared" ca="1" si="7"/>
        <v>3</v>
      </c>
      <c r="B28" s="1">
        <f t="shared" ca="1" si="7"/>
        <v>5</v>
      </c>
      <c r="C28" s="1">
        <f t="shared" ca="1" si="4"/>
        <v>101</v>
      </c>
      <c r="D28" s="1">
        <f t="shared" ca="1" si="5"/>
        <v>110</v>
      </c>
      <c r="E28" s="1" t="str">
        <f t="shared" ca="1" si="6"/>
        <v>конец игры</v>
      </c>
    </row>
    <row r="29" spans="1:5" x14ac:dyDescent="0.25">
      <c r="A29" s="1">
        <f ca="1">INT(1+6*RAND())</f>
        <v>5</v>
      </c>
      <c r="B29" s="1">
        <f ca="1">INT(1+6*RAND())</f>
        <v>5</v>
      </c>
      <c r="C29" s="1">
        <f ca="1">SUM(A:A)</f>
        <v>101</v>
      </c>
      <c r="D29" s="1">
        <f ca="1">SUM(B:B)</f>
        <v>110</v>
      </c>
      <c r="E29" s="1" t="str">
        <f ca="1">IF(OR(C29&gt;101, D29&gt;101), "конец игры", "-")</f>
        <v>конец игры</v>
      </c>
    </row>
    <row r="30" spans="1:5" x14ac:dyDescent="0.25">
      <c r="A30" s="1">
        <f t="shared" ref="A30:B34" ca="1" si="8">INT(1+6*RAND())</f>
        <v>6</v>
      </c>
      <c r="B30" s="1">
        <f t="shared" ca="1" si="8"/>
        <v>3</v>
      </c>
      <c r="C30" s="1">
        <f t="shared" ref="C30:C34" ca="1" si="9">SUM(A:A)</f>
        <v>101</v>
      </c>
      <c r="D30" s="1">
        <f t="shared" ref="D30:D34" ca="1" si="10">SUM(B:B)</f>
        <v>110</v>
      </c>
      <c r="E30" s="1" t="str">
        <f t="shared" ref="E30:E34" ca="1" si="11">IF(OR(C30&gt;101, D30&gt;101), "конец игры", "-")</f>
        <v>конец игры</v>
      </c>
    </row>
    <row r="31" spans="1:5" x14ac:dyDescent="0.25">
      <c r="A31" s="1">
        <f t="shared" ca="1" si="8"/>
        <v>4</v>
      </c>
      <c r="B31" s="1">
        <f t="shared" ca="1" si="8"/>
        <v>2</v>
      </c>
      <c r="C31" s="1">
        <f t="shared" ca="1" si="9"/>
        <v>101</v>
      </c>
      <c r="D31" s="1">
        <f t="shared" ca="1" si="10"/>
        <v>110</v>
      </c>
      <c r="E31" s="1" t="str">
        <f t="shared" ca="1" si="11"/>
        <v>конец игры</v>
      </c>
    </row>
    <row r="32" spans="1:5" x14ac:dyDescent="0.25">
      <c r="A32" s="1">
        <f t="shared" ca="1" si="8"/>
        <v>1</v>
      </c>
      <c r="B32" s="1">
        <f t="shared" ca="1" si="8"/>
        <v>5</v>
      </c>
      <c r="C32" s="1">
        <f t="shared" ca="1" si="9"/>
        <v>101</v>
      </c>
      <c r="D32" s="1">
        <f t="shared" ca="1" si="10"/>
        <v>110</v>
      </c>
      <c r="E32" s="1" t="str">
        <f t="shared" ca="1" si="11"/>
        <v>конец игры</v>
      </c>
    </row>
    <row r="33" spans="1:5" x14ac:dyDescent="0.25">
      <c r="A33" s="1">
        <f t="shared" ca="1" si="8"/>
        <v>2</v>
      </c>
      <c r="B33" s="1">
        <f t="shared" ca="1" si="8"/>
        <v>3</v>
      </c>
      <c r="C33" s="1">
        <f t="shared" ca="1" si="9"/>
        <v>101</v>
      </c>
      <c r="D33" s="1">
        <f t="shared" ca="1" si="10"/>
        <v>110</v>
      </c>
      <c r="E33" s="1" t="str">
        <f t="shared" ca="1" si="11"/>
        <v>конец игры</v>
      </c>
    </row>
    <row r="34" spans="1:5" x14ac:dyDescent="0.25">
      <c r="A34" s="1">
        <f t="shared" ca="1" si="8"/>
        <v>5</v>
      </c>
      <c r="B34" s="1">
        <f t="shared" ca="1" si="8"/>
        <v>5</v>
      </c>
      <c r="C34" s="1">
        <f t="shared" ca="1" si="9"/>
        <v>101</v>
      </c>
      <c r="D34" s="1">
        <f t="shared" ca="1" si="10"/>
        <v>110</v>
      </c>
      <c r="E34" s="1" t="str">
        <f t="shared" ca="1" si="11"/>
        <v>конец игры</v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Задание 1</vt:lpstr>
      <vt:lpstr>Задание 1 (график)</vt:lpstr>
      <vt:lpstr>Задание 3</vt:lpstr>
      <vt:lpstr>Задание 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Vlad G</dc:creator>
  <cp:lastModifiedBy>Vlad G</cp:lastModifiedBy>
  <dcterms:created xsi:type="dcterms:W3CDTF">2025-10-06T12:47:51Z</dcterms:created>
  <dcterms:modified xsi:type="dcterms:W3CDTF">2025-10-06T15:12:42Z</dcterms:modified>
</cp:coreProperties>
</file>