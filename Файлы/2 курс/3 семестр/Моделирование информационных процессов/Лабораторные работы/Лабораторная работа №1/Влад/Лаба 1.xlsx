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space\Файлы\2 курс\3 семестр\Моделирование информационных процессов\Лабораторные работы\Лабораторная работа №1\Влад\"/>
    </mc:Choice>
  </mc:AlternateContent>
  <xr:revisionPtr revIDLastSave="0" documentId="13_ncr:1_{17BA6E81-69CB-4D4C-AB5A-DD128FFB4E64}" xr6:coauthVersionLast="47" xr6:coauthVersionMax="47" xr10:uidLastSave="{00000000-0000-0000-0000-000000000000}"/>
  <bookViews>
    <workbookView xWindow="14400" yWindow="450" windowWidth="14400" windowHeight="15750" firstSheet="1" activeTab="3" xr2:uid="{97B3B689-7A48-46E9-85B4-2B85A19FB769}"/>
  </bookViews>
  <sheets>
    <sheet name="Задание 1" sheetId="1" r:id="rId1"/>
    <sheet name="Задание 1 (график)" sheetId="2" r:id="rId2"/>
    <sheet name="Задание 3" sheetId="4" r:id="rId3"/>
    <sheet name="Задание 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5" l="1"/>
  <c r="A22" i="5"/>
  <c r="A21" i="5"/>
  <c r="A20" i="5"/>
  <c r="A19" i="5"/>
  <c r="A18" i="5"/>
  <c r="A17" i="5"/>
  <c r="A15" i="5"/>
  <c r="A14" i="5"/>
  <c r="A13" i="5"/>
  <c r="A12" i="5"/>
  <c r="A11" i="5"/>
  <c r="A10" i="5"/>
  <c r="A9" i="5"/>
  <c r="A8" i="5"/>
  <c r="A7" i="5"/>
  <c r="A6" i="5"/>
  <c r="A5" i="5"/>
  <c r="A4" i="5"/>
  <c r="B13" i="5"/>
  <c r="C13" i="5"/>
  <c r="D13" i="5"/>
  <c r="B14" i="5"/>
  <c r="C14" i="5"/>
  <c r="D14" i="5"/>
  <c r="B15" i="5"/>
  <c r="C15" i="5"/>
  <c r="D15" i="5"/>
  <c r="A16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A24" i="5"/>
  <c r="B24" i="5"/>
  <c r="C24" i="5"/>
  <c r="D24" i="5"/>
  <c r="A25" i="5"/>
  <c r="B25" i="5"/>
  <c r="C25" i="5"/>
  <c r="D25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B5" i="5"/>
  <c r="B6" i="5"/>
  <c r="B7" i="5"/>
  <c r="B8" i="5"/>
  <c r="B9" i="5"/>
  <c r="B10" i="5"/>
  <c r="B11" i="5"/>
  <c r="B12" i="5"/>
  <c r="B4" i="5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8" i="4"/>
  <c r="A7" i="4"/>
  <c r="B7" i="4" s="1"/>
  <c r="C7" i="4" s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6" i="1"/>
  <c r="C6" i="1"/>
  <c r="F4" i="5" l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E4" i="5"/>
  <c r="E5" i="5" s="1"/>
  <c r="E6" i="5" s="1"/>
  <c r="E7" i="5" s="1"/>
  <c r="E8" i="5" s="1"/>
  <c r="E9" i="5" s="1"/>
  <c r="E10" i="5" s="1"/>
  <c r="E11" i="5" s="1"/>
  <c r="E12" i="5" s="1"/>
  <c r="E13" i="5" s="1"/>
  <c r="B8" i="4"/>
  <c r="B9" i="4" s="1"/>
  <c r="D7" i="4"/>
  <c r="D205" i="1"/>
  <c r="D35" i="1"/>
  <c r="D240" i="1"/>
  <c r="D231" i="1"/>
  <c r="D225" i="1"/>
  <c r="D135" i="1"/>
  <c r="D132" i="1"/>
  <c r="D51" i="1"/>
  <c r="D48" i="1"/>
  <c r="D228" i="1"/>
  <c r="D222" i="1"/>
  <c r="D138" i="1"/>
  <c r="D329" i="1"/>
  <c r="D317" i="1"/>
  <c r="D209" i="1"/>
  <c r="D236" i="1"/>
  <c r="D232" i="1"/>
  <c r="D211" i="1"/>
  <c r="D330" i="1"/>
  <c r="D145" i="1"/>
  <c r="D121" i="1"/>
  <c r="D118" i="1"/>
  <c r="D115" i="1"/>
  <c r="D34" i="1"/>
  <c r="D31" i="1"/>
  <c r="D28" i="1"/>
  <c r="D25" i="1"/>
  <c r="D159" i="1"/>
  <c r="D343" i="1"/>
  <c r="D349" i="1"/>
  <c r="D351" i="1"/>
  <c r="D316" i="1"/>
  <c r="D307" i="1"/>
  <c r="D250" i="1"/>
  <c r="D173" i="1"/>
  <c r="D125" i="1"/>
  <c r="D363" i="1"/>
  <c r="D340" i="1"/>
  <c r="D325" i="1"/>
  <c r="D304" i="1"/>
  <c r="D253" i="1"/>
  <c r="D155" i="1"/>
  <c r="D368" i="1"/>
  <c r="D336" i="1"/>
  <c r="D300" i="1"/>
  <c r="D288" i="1"/>
  <c r="D273" i="1"/>
  <c r="D264" i="1"/>
  <c r="D261" i="1"/>
  <c r="D199" i="1"/>
  <c r="D196" i="1"/>
  <c r="D190" i="1"/>
  <c r="D178" i="1"/>
  <c r="D169" i="1"/>
  <c r="D157" i="1"/>
  <c r="D151" i="1"/>
  <c r="D17" i="1"/>
  <c r="D11" i="1"/>
  <c r="D8" i="1"/>
  <c r="D366" i="1"/>
  <c r="D337" i="1"/>
  <c r="D322" i="1"/>
  <c r="D289" i="1"/>
  <c r="D271" i="1"/>
  <c r="D152" i="1"/>
  <c r="D353" i="1"/>
  <c r="D347" i="1"/>
  <c r="D344" i="1"/>
  <c r="D213" i="1"/>
  <c r="D210" i="1"/>
  <c r="D207" i="1"/>
  <c r="D64" i="1"/>
  <c r="D328" i="1"/>
  <c r="D313" i="1"/>
  <c r="D283" i="1"/>
  <c r="D259" i="1"/>
  <c r="D161" i="1"/>
  <c r="D362" i="1"/>
  <c r="D245" i="1"/>
  <c r="D186" i="1"/>
  <c r="D183" i="1"/>
  <c r="D180" i="1"/>
  <c r="D302" i="1"/>
  <c r="D293" i="1"/>
  <c r="D281" i="1"/>
  <c r="D258" i="1"/>
  <c r="D249" i="1"/>
  <c r="D226" i="1"/>
  <c r="D217" i="1"/>
  <c r="D177" i="1"/>
  <c r="D122" i="1"/>
  <c r="D65" i="1"/>
  <c r="D33" i="1"/>
  <c r="D30" i="1"/>
  <c r="D21" i="1"/>
  <c r="D18" i="1"/>
  <c r="D335" i="1"/>
  <c r="D299" i="1"/>
  <c r="D284" i="1"/>
  <c r="D275" i="1"/>
  <c r="D255" i="1"/>
  <c r="D252" i="1"/>
  <c r="D223" i="1"/>
  <c r="D214" i="1"/>
  <c r="D191" i="1"/>
  <c r="D369" i="1"/>
  <c r="D354" i="1"/>
  <c r="D269" i="1"/>
  <c r="D263" i="1"/>
  <c r="D237" i="1"/>
  <c r="D234" i="1"/>
  <c r="D182" i="1"/>
  <c r="D171" i="1"/>
  <c r="D153" i="1"/>
  <c r="D62" i="1"/>
  <c r="D53" i="1"/>
  <c r="D348" i="1"/>
  <c r="D265" i="1"/>
  <c r="D187" i="1"/>
  <c r="D184" i="1"/>
  <c r="D112" i="1"/>
  <c r="D61" i="1"/>
  <c r="E317" i="1"/>
  <c r="D324" i="1"/>
  <c r="D309" i="1"/>
  <c r="D306" i="1"/>
  <c r="D294" i="1"/>
  <c r="D285" i="1"/>
  <c r="D282" i="1"/>
  <c r="D244" i="1"/>
  <c r="D241" i="1"/>
  <c r="D238" i="1"/>
  <c r="D218" i="1"/>
  <c r="D204" i="1"/>
  <c r="D201" i="1"/>
  <c r="D198" i="1"/>
  <c r="D195" i="1"/>
  <c r="D172" i="1"/>
  <c r="D154" i="1"/>
  <c r="D301" i="1"/>
  <c r="D295" i="1"/>
  <c r="D243" i="1"/>
  <c r="D227" i="1"/>
  <c r="D219" i="1"/>
  <c r="D208" i="1"/>
  <c r="D200" i="1"/>
  <c r="D192" i="1"/>
  <c r="D181" i="1"/>
  <c r="D162" i="1"/>
  <c r="D143" i="1"/>
  <c r="D137" i="1"/>
  <c r="D123" i="1"/>
  <c r="D120" i="1"/>
  <c r="D117" i="1"/>
  <c r="D47" i="1"/>
  <c r="D44" i="1"/>
  <c r="D41" i="1"/>
  <c r="D15" i="1"/>
  <c r="D12" i="1"/>
  <c r="D341" i="1"/>
  <c r="D298" i="1"/>
  <c r="D290" i="1"/>
  <c r="D262" i="1"/>
  <c r="D254" i="1"/>
  <c r="D246" i="1"/>
  <c r="D235" i="1"/>
  <c r="D216" i="1"/>
  <c r="D189" i="1"/>
  <c r="D165" i="1"/>
  <c r="D360" i="1"/>
  <c r="D357" i="1"/>
  <c r="D321" i="1"/>
  <c r="D315" i="1"/>
  <c r="D297" i="1"/>
  <c r="E294" i="1"/>
  <c r="D256" i="1"/>
  <c r="D229" i="1"/>
  <c r="D202" i="1"/>
  <c r="D167" i="1"/>
  <c r="D139" i="1"/>
  <c r="D136" i="1"/>
  <c r="D131" i="1"/>
  <c r="D128" i="1"/>
  <c r="D52" i="1"/>
  <c r="D49" i="1"/>
  <c r="D32" i="1"/>
  <c r="D29" i="1"/>
  <c r="D26" i="1"/>
  <c r="D23" i="1"/>
  <c r="D359" i="1"/>
  <c r="D356" i="1"/>
  <c r="D345" i="1"/>
  <c r="D342" i="1"/>
  <c r="D323" i="1"/>
  <c r="D320" i="1"/>
  <c r="D305" i="1"/>
  <c r="D277" i="1"/>
  <c r="D247" i="1"/>
  <c r="D220" i="1"/>
  <c r="D193" i="1"/>
  <c r="D158" i="1"/>
  <c r="D147" i="1"/>
  <c r="D133" i="1"/>
  <c r="D127" i="1"/>
  <c r="D124" i="1"/>
  <c r="D113" i="1"/>
  <c r="D57" i="1"/>
  <c r="D54" i="1"/>
  <c r="D16" i="1"/>
  <c r="D13" i="1"/>
  <c r="D160" i="1"/>
  <c r="D149" i="1"/>
  <c r="D59" i="1"/>
  <c r="D370" i="1"/>
  <c r="D358" i="1"/>
  <c r="E340" i="1"/>
  <c r="D334" i="1"/>
  <c r="D326" i="1"/>
  <c r="D314" i="1"/>
  <c r="D287" i="1"/>
  <c r="D267" i="1"/>
  <c r="D144" i="1"/>
  <c r="D134" i="1"/>
  <c r="D129" i="1"/>
  <c r="D119" i="1"/>
  <c r="D114" i="1"/>
  <c r="D56" i="1"/>
  <c r="D45" i="1"/>
  <c r="D42" i="1"/>
  <c r="D20" i="1"/>
  <c r="D9" i="1"/>
  <c r="D361" i="1"/>
  <c r="D331" i="1"/>
  <c r="D319" i="1"/>
  <c r="D292" i="1"/>
  <c r="D272" i="1"/>
  <c r="E369" i="1"/>
  <c r="D365" i="1"/>
  <c r="D355" i="1"/>
  <c r="D350" i="1"/>
  <c r="D338" i="1"/>
  <c r="D333" i="1"/>
  <c r="E330" i="1"/>
  <c r="D318" i="1"/>
  <c r="D311" i="1"/>
  <c r="E286" i="1"/>
  <c r="D276" i="1"/>
  <c r="D274" i="1"/>
  <c r="E266" i="1"/>
  <c r="D260" i="1"/>
  <c r="D251" i="1"/>
  <c r="D242" i="1"/>
  <c r="D233" i="1"/>
  <c r="D224" i="1"/>
  <c r="D215" i="1"/>
  <c r="D206" i="1"/>
  <c r="D197" i="1"/>
  <c r="D188" i="1"/>
  <c r="D179" i="1"/>
  <c r="D174" i="1"/>
  <c r="D166" i="1"/>
  <c r="D163" i="1"/>
  <c r="D156" i="1"/>
  <c r="D148" i="1"/>
  <c r="D146" i="1"/>
  <c r="D141" i="1"/>
  <c r="D126" i="1"/>
  <c r="D116" i="1"/>
  <c r="D111" i="1"/>
  <c r="D108" i="1"/>
  <c r="D105" i="1"/>
  <c r="D102" i="1"/>
  <c r="D99" i="1"/>
  <c r="D96" i="1"/>
  <c r="D93" i="1"/>
  <c r="D90" i="1"/>
  <c r="D87" i="1"/>
  <c r="D84" i="1"/>
  <c r="D81" i="1"/>
  <c r="D78" i="1"/>
  <c r="D75" i="1"/>
  <c r="D72" i="1"/>
  <c r="D69" i="1"/>
  <c r="D66" i="1"/>
  <c r="D58" i="1"/>
  <c r="D55" i="1"/>
  <c r="D50" i="1"/>
  <c r="D39" i="1"/>
  <c r="D36" i="1"/>
  <c r="D22" i="1"/>
  <c r="D19" i="1"/>
  <c r="D14" i="1"/>
  <c r="E268" i="1"/>
  <c r="E276" i="1"/>
  <c r="D367" i="1"/>
  <c r="D364" i="1"/>
  <c r="D352" i="1"/>
  <c r="E346" i="1"/>
  <c r="E322" i="1"/>
  <c r="D310" i="1"/>
  <c r="D286" i="1"/>
  <c r="D278" i="1"/>
  <c r="D270" i="1"/>
  <c r="D266" i="1"/>
  <c r="D257" i="1"/>
  <c r="D248" i="1"/>
  <c r="D239" i="1"/>
  <c r="D230" i="1"/>
  <c r="D221" i="1"/>
  <c r="D212" i="1"/>
  <c r="D203" i="1"/>
  <c r="D194" i="1"/>
  <c r="D185" i="1"/>
  <c r="D176" i="1"/>
  <c r="D168" i="1"/>
  <c r="D150" i="1"/>
  <c r="D140" i="1"/>
  <c r="D130" i="1"/>
  <c r="D110" i="1"/>
  <c r="D107" i="1"/>
  <c r="D104" i="1"/>
  <c r="D101" i="1"/>
  <c r="D98" i="1"/>
  <c r="D95" i="1"/>
  <c r="D92" i="1"/>
  <c r="D89" i="1"/>
  <c r="D86" i="1"/>
  <c r="D83" i="1"/>
  <c r="D80" i="1"/>
  <c r="D77" i="1"/>
  <c r="D74" i="1"/>
  <c r="D71" i="1"/>
  <c r="D68" i="1"/>
  <c r="D63" i="1"/>
  <c r="D60" i="1"/>
  <c r="D46" i="1"/>
  <c r="D43" i="1"/>
  <c r="D38" i="1"/>
  <c r="D27" i="1"/>
  <c r="D24" i="1"/>
  <c r="D10" i="1"/>
  <c r="D7" i="1"/>
  <c r="E117" i="1"/>
  <c r="E363" i="1"/>
  <c r="E353" i="1"/>
  <c r="D312" i="1"/>
  <c r="E304" i="1"/>
  <c r="D175" i="1"/>
  <c r="D142" i="1"/>
  <c r="D109" i="1"/>
  <c r="D106" i="1"/>
  <c r="D103" i="1"/>
  <c r="D100" i="1"/>
  <c r="D97" i="1"/>
  <c r="D94" i="1"/>
  <c r="D91" i="1"/>
  <c r="D88" i="1"/>
  <c r="D85" i="1"/>
  <c r="D82" i="1"/>
  <c r="D79" i="1"/>
  <c r="D76" i="1"/>
  <c r="D73" i="1"/>
  <c r="D70" i="1"/>
  <c r="D67" i="1"/>
  <c r="D40" i="1"/>
  <c r="D37" i="1"/>
  <c r="E364" i="1"/>
  <c r="E358" i="1"/>
  <c r="E350" i="1"/>
  <c r="E325" i="1"/>
  <c r="E289" i="1"/>
  <c r="D279" i="1"/>
  <c r="E111" i="1"/>
  <c r="E84" i="1"/>
  <c r="E42" i="1"/>
  <c r="E365" i="1"/>
  <c r="E359" i="1"/>
  <c r="E355" i="1"/>
  <c r="E347" i="1"/>
  <c r="D346" i="1"/>
  <c r="E344" i="1"/>
  <c r="E341" i="1"/>
  <c r="E328" i="1"/>
  <c r="E318" i="1"/>
  <c r="E310" i="1"/>
  <c r="E305" i="1"/>
  <c r="E292" i="1"/>
  <c r="E282" i="1"/>
  <c r="E269" i="1"/>
  <c r="D268" i="1"/>
  <c r="E164" i="1"/>
  <c r="E370" i="1"/>
  <c r="E354" i="1"/>
  <c r="E338" i="1"/>
  <c r="D332" i="1"/>
  <c r="D327" i="1"/>
  <c r="E320" i="1"/>
  <c r="E312" i="1"/>
  <c r="E302" i="1"/>
  <c r="D296" i="1"/>
  <c r="D291" i="1"/>
  <c r="E284" i="1"/>
  <c r="E366" i="1"/>
  <c r="E360" i="1"/>
  <c r="E336" i="1"/>
  <c r="E326" i="1"/>
  <c r="E313" i="1"/>
  <c r="E308" i="1"/>
  <c r="E300" i="1"/>
  <c r="E290" i="1"/>
  <c r="E280" i="1"/>
  <c r="E278" i="1"/>
  <c r="E168" i="1"/>
  <c r="E152" i="1"/>
  <c r="E102" i="1"/>
  <c r="E75" i="1"/>
  <c r="E54" i="1"/>
  <c r="E18" i="1"/>
  <c r="E367" i="1"/>
  <c r="E361" i="1"/>
  <c r="E356" i="1"/>
  <c r="E348" i="1"/>
  <c r="E342" i="1"/>
  <c r="E334" i="1"/>
  <c r="E329" i="1"/>
  <c r="E298" i="1"/>
  <c r="E293" i="1"/>
  <c r="E274" i="1"/>
  <c r="E272" i="1"/>
  <c r="E140" i="1"/>
  <c r="E352" i="1"/>
  <c r="E316" i="1"/>
  <c r="E306" i="1"/>
  <c r="E10" i="1"/>
  <c r="E16" i="1"/>
  <c r="E22" i="1"/>
  <c r="E28" i="1"/>
  <c r="E34" i="1"/>
  <c r="E40" i="1"/>
  <c r="E46" i="1"/>
  <c r="E52" i="1"/>
  <c r="E58" i="1"/>
  <c r="E64" i="1"/>
  <c r="E70" i="1"/>
  <c r="E76" i="1"/>
  <c r="E82" i="1"/>
  <c r="E88" i="1"/>
  <c r="E94" i="1"/>
  <c r="E100" i="1"/>
  <c r="E106" i="1"/>
  <c r="E112" i="1"/>
  <c r="E118" i="1"/>
  <c r="E9" i="1"/>
  <c r="E15" i="1"/>
  <c r="E21" i="1"/>
  <c r="E27" i="1"/>
  <c r="E33" i="1"/>
  <c r="E39" i="1"/>
  <c r="E45" i="1"/>
  <c r="E51" i="1"/>
  <c r="E57" i="1"/>
  <c r="E8" i="1"/>
  <c r="E14" i="1"/>
  <c r="E20" i="1"/>
  <c r="E26" i="1"/>
  <c r="E32" i="1"/>
  <c r="E38" i="1"/>
  <c r="E44" i="1"/>
  <c r="E50" i="1"/>
  <c r="E56" i="1"/>
  <c r="E62" i="1"/>
  <c r="E68" i="1"/>
  <c r="E7" i="1"/>
  <c r="E13" i="1"/>
  <c r="E19" i="1"/>
  <c r="E25" i="1"/>
  <c r="E31" i="1"/>
  <c r="E37" i="1"/>
  <c r="E43" i="1"/>
  <c r="E49" i="1"/>
  <c r="E55" i="1"/>
  <c r="E61" i="1"/>
  <c r="E67" i="1"/>
  <c r="E73" i="1"/>
  <c r="E79" i="1"/>
  <c r="E85" i="1"/>
  <c r="E91" i="1"/>
  <c r="E97" i="1"/>
  <c r="E103" i="1"/>
  <c r="E109" i="1"/>
  <c r="E115" i="1"/>
  <c r="E121" i="1"/>
  <c r="E127" i="1"/>
  <c r="E133" i="1"/>
  <c r="E139" i="1"/>
  <c r="E145" i="1"/>
  <c r="E151" i="1"/>
  <c r="E157" i="1"/>
  <c r="E163" i="1"/>
  <c r="E169" i="1"/>
  <c r="E175" i="1"/>
  <c r="E66" i="1"/>
  <c r="E131" i="1"/>
  <c r="E143" i="1"/>
  <c r="E155" i="1"/>
  <c r="E167" i="1"/>
  <c r="E180" i="1"/>
  <c r="E186" i="1"/>
  <c r="E192" i="1"/>
  <c r="E198" i="1"/>
  <c r="E204" i="1"/>
  <c r="E210" i="1"/>
  <c r="E216" i="1"/>
  <c r="E222" i="1"/>
  <c r="E228" i="1"/>
  <c r="E234" i="1"/>
  <c r="E240" i="1"/>
  <c r="E246" i="1"/>
  <c r="E252" i="1"/>
  <c r="E258" i="1"/>
  <c r="E264" i="1"/>
  <c r="E11" i="1"/>
  <c r="E17" i="1"/>
  <c r="E23" i="1"/>
  <c r="E29" i="1"/>
  <c r="E35" i="1"/>
  <c r="E41" i="1"/>
  <c r="E47" i="1"/>
  <c r="E53" i="1"/>
  <c r="E59" i="1"/>
  <c r="E63" i="1"/>
  <c r="E71" i="1"/>
  <c r="E74" i="1"/>
  <c r="E77" i="1"/>
  <c r="E80" i="1"/>
  <c r="E83" i="1"/>
  <c r="E86" i="1"/>
  <c r="E89" i="1"/>
  <c r="E92" i="1"/>
  <c r="E95" i="1"/>
  <c r="E98" i="1"/>
  <c r="E101" i="1"/>
  <c r="E104" i="1"/>
  <c r="E107" i="1"/>
  <c r="E110" i="1"/>
  <c r="E113" i="1"/>
  <c r="E116" i="1"/>
  <c r="E119" i="1"/>
  <c r="E122" i="1"/>
  <c r="E126" i="1"/>
  <c r="E130" i="1"/>
  <c r="E134" i="1"/>
  <c r="E138" i="1"/>
  <c r="E142" i="1"/>
  <c r="E146" i="1"/>
  <c r="E150" i="1"/>
  <c r="E154" i="1"/>
  <c r="E158" i="1"/>
  <c r="E162" i="1"/>
  <c r="E166" i="1"/>
  <c r="E170" i="1"/>
  <c r="E129" i="1"/>
  <c r="E141" i="1"/>
  <c r="E153" i="1"/>
  <c r="E65" i="1"/>
  <c r="E125" i="1"/>
  <c r="E137" i="1"/>
  <c r="E149" i="1"/>
  <c r="E161" i="1"/>
  <c r="E173" i="1"/>
  <c r="E177" i="1"/>
  <c r="E183" i="1"/>
  <c r="E189" i="1"/>
  <c r="E195" i="1"/>
  <c r="E201" i="1"/>
  <c r="E207" i="1"/>
  <c r="E213" i="1"/>
  <c r="E219" i="1"/>
  <c r="E225" i="1"/>
  <c r="E231" i="1"/>
  <c r="E237" i="1"/>
  <c r="E243" i="1"/>
  <c r="E249" i="1"/>
  <c r="E255" i="1"/>
  <c r="E261" i="1"/>
  <c r="E267" i="1"/>
  <c r="E273" i="1"/>
  <c r="E279" i="1"/>
  <c r="E285" i="1"/>
  <c r="E291" i="1"/>
  <c r="E297" i="1"/>
  <c r="E303" i="1"/>
  <c r="E309" i="1"/>
  <c r="E315" i="1"/>
  <c r="E321" i="1"/>
  <c r="E327" i="1"/>
  <c r="E333" i="1"/>
  <c r="E339" i="1"/>
  <c r="E345" i="1"/>
  <c r="E351" i="1"/>
  <c r="E357" i="1"/>
  <c r="E123" i="1"/>
  <c r="E135" i="1"/>
  <c r="E147" i="1"/>
  <c r="E159" i="1"/>
  <c r="E172" i="1"/>
  <c r="E178" i="1"/>
  <c r="E181" i="1"/>
  <c r="E184" i="1"/>
  <c r="E187" i="1"/>
  <c r="E190" i="1"/>
  <c r="E193" i="1"/>
  <c r="E196" i="1"/>
  <c r="E199" i="1"/>
  <c r="E202" i="1"/>
  <c r="E205" i="1"/>
  <c r="E208" i="1"/>
  <c r="E211" i="1"/>
  <c r="E214" i="1"/>
  <c r="E217" i="1"/>
  <c r="E220" i="1"/>
  <c r="E223" i="1"/>
  <c r="E226" i="1"/>
  <c r="E229" i="1"/>
  <c r="E232" i="1"/>
  <c r="E235" i="1"/>
  <c r="E238" i="1"/>
  <c r="E241" i="1"/>
  <c r="E244" i="1"/>
  <c r="E247" i="1"/>
  <c r="E250" i="1"/>
  <c r="E253" i="1"/>
  <c r="E256" i="1"/>
  <c r="E259" i="1"/>
  <c r="E262" i="1"/>
  <c r="E265" i="1"/>
  <c r="E277" i="1"/>
  <c r="E12" i="1"/>
  <c r="E24" i="1"/>
  <c r="E36" i="1"/>
  <c r="E48" i="1"/>
  <c r="E60" i="1"/>
  <c r="E69" i="1"/>
  <c r="E78" i="1"/>
  <c r="E87" i="1"/>
  <c r="E96" i="1"/>
  <c r="E105" i="1"/>
  <c r="E114" i="1"/>
  <c r="E120" i="1"/>
  <c r="E132" i="1"/>
  <c r="E144" i="1"/>
  <c r="E156" i="1"/>
  <c r="E165" i="1"/>
  <c r="E174" i="1"/>
  <c r="E275" i="1"/>
  <c r="E287" i="1"/>
  <c r="E299" i="1"/>
  <c r="E311" i="1"/>
  <c r="E323" i="1"/>
  <c r="E335" i="1"/>
  <c r="E72" i="1"/>
  <c r="E81" i="1"/>
  <c r="E90" i="1"/>
  <c r="E99" i="1"/>
  <c r="E108" i="1"/>
  <c r="E124" i="1"/>
  <c r="E136" i="1"/>
  <c r="E148" i="1"/>
  <c r="E160" i="1"/>
  <c r="E171" i="1"/>
  <c r="E176" i="1"/>
  <c r="E179" i="1"/>
  <c r="E182" i="1"/>
  <c r="E185" i="1"/>
  <c r="E188" i="1"/>
  <c r="E191" i="1"/>
  <c r="E194" i="1"/>
  <c r="E197" i="1"/>
  <c r="E200" i="1"/>
  <c r="E203" i="1"/>
  <c r="E206" i="1"/>
  <c r="E209" i="1"/>
  <c r="E212" i="1"/>
  <c r="E215" i="1"/>
  <c r="E218" i="1"/>
  <c r="E221" i="1"/>
  <c r="E224" i="1"/>
  <c r="E227" i="1"/>
  <c r="E230" i="1"/>
  <c r="E233" i="1"/>
  <c r="E236" i="1"/>
  <c r="E239" i="1"/>
  <c r="E242" i="1"/>
  <c r="E245" i="1"/>
  <c r="E248" i="1"/>
  <c r="E251" i="1"/>
  <c r="E254" i="1"/>
  <c r="E257" i="1"/>
  <c r="E260" i="1"/>
  <c r="E263" i="1"/>
  <c r="E271" i="1"/>
  <c r="E283" i="1"/>
  <c r="E295" i="1"/>
  <c r="E307" i="1"/>
  <c r="E319" i="1"/>
  <c r="E331" i="1"/>
  <c r="E343" i="1"/>
  <c r="E368" i="1"/>
  <c r="E362" i="1"/>
  <c r="E349" i="1"/>
  <c r="D339" i="1"/>
  <c r="E337" i="1"/>
  <c r="E332" i="1"/>
  <c r="E324" i="1"/>
  <c r="E314" i="1"/>
  <c r="D308" i="1"/>
  <c r="D303" i="1"/>
  <c r="E301" i="1"/>
  <c r="E296" i="1"/>
  <c r="E288" i="1"/>
  <c r="E281" i="1"/>
  <c r="D280" i="1"/>
  <c r="E270" i="1"/>
  <c r="D170" i="1"/>
  <c r="E128" i="1"/>
  <c r="E93" i="1"/>
  <c r="E30" i="1"/>
  <c r="D164" i="1"/>
  <c r="E6" i="1"/>
  <c r="D6" i="1"/>
  <c r="G13" i="5" l="1"/>
  <c r="E14" i="5"/>
  <c r="G8" i="5"/>
  <c r="G4" i="5"/>
  <c r="G6" i="5"/>
  <c r="G12" i="5"/>
  <c r="G10" i="5"/>
  <c r="G7" i="5"/>
  <c r="G9" i="5"/>
  <c r="G11" i="5"/>
  <c r="G5" i="5"/>
  <c r="C9" i="4"/>
  <c r="D9" i="4"/>
  <c r="B10" i="4"/>
  <c r="C8" i="4"/>
  <c r="D8" i="4"/>
  <c r="F11" i="1"/>
  <c r="F17" i="1"/>
  <c r="F23" i="1"/>
  <c r="F29" i="1"/>
  <c r="F35" i="1"/>
  <c r="F41" i="1"/>
  <c r="F47" i="1"/>
  <c r="F53" i="1"/>
  <c r="F59" i="1"/>
  <c r="F65" i="1"/>
  <c r="F71" i="1"/>
  <c r="F77" i="1"/>
  <c r="F83" i="1"/>
  <c r="F89" i="1"/>
  <c r="F95" i="1"/>
  <c r="F101" i="1"/>
  <c r="F107" i="1"/>
  <c r="F113" i="1"/>
  <c r="F119" i="1"/>
  <c r="F10" i="1"/>
  <c r="F16" i="1"/>
  <c r="F22" i="1"/>
  <c r="F28" i="1"/>
  <c r="F34" i="1"/>
  <c r="F40" i="1"/>
  <c r="F46" i="1"/>
  <c r="F52" i="1"/>
  <c r="F58" i="1"/>
  <c r="F9" i="1"/>
  <c r="F15" i="1"/>
  <c r="F21" i="1"/>
  <c r="F27" i="1"/>
  <c r="F33" i="1"/>
  <c r="F39" i="1"/>
  <c r="F45" i="1"/>
  <c r="F51" i="1"/>
  <c r="F57" i="1"/>
  <c r="F63" i="1"/>
  <c r="F8" i="1"/>
  <c r="F14" i="1"/>
  <c r="F20" i="1"/>
  <c r="F26" i="1"/>
  <c r="F32" i="1"/>
  <c r="F38" i="1"/>
  <c r="F44" i="1"/>
  <c r="F50" i="1"/>
  <c r="F56" i="1"/>
  <c r="F62" i="1"/>
  <c r="F68" i="1"/>
  <c r="F74" i="1"/>
  <c r="F80" i="1"/>
  <c r="F86" i="1"/>
  <c r="F92" i="1"/>
  <c r="F98" i="1"/>
  <c r="F104" i="1"/>
  <c r="F110" i="1"/>
  <c r="F116" i="1"/>
  <c r="F122" i="1"/>
  <c r="F128" i="1"/>
  <c r="F134" i="1"/>
  <c r="F140" i="1"/>
  <c r="F146" i="1"/>
  <c r="F152" i="1"/>
  <c r="F158" i="1"/>
  <c r="F164" i="1"/>
  <c r="F170" i="1"/>
  <c r="F123" i="1"/>
  <c r="F127" i="1"/>
  <c r="F135" i="1"/>
  <c r="F139" i="1"/>
  <c r="F147" i="1"/>
  <c r="F151" i="1"/>
  <c r="F159" i="1"/>
  <c r="F163" i="1"/>
  <c r="F171" i="1"/>
  <c r="F175" i="1"/>
  <c r="F181" i="1"/>
  <c r="F187" i="1"/>
  <c r="F193" i="1"/>
  <c r="F199" i="1"/>
  <c r="F205" i="1"/>
  <c r="F211" i="1"/>
  <c r="F217" i="1"/>
  <c r="F223" i="1"/>
  <c r="F229" i="1"/>
  <c r="F235" i="1"/>
  <c r="F241" i="1"/>
  <c r="F247" i="1"/>
  <c r="F253" i="1"/>
  <c r="F259" i="1"/>
  <c r="F66" i="1"/>
  <c r="F131" i="1"/>
  <c r="F143" i="1"/>
  <c r="F155" i="1"/>
  <c r="F167" i="1"/>
  <c r="F7" i="1"/>
  <c r="F13" i="1"/>
  <c r="F19" i="1"/>
  <c r="F25" i="1"/>
  <c r="F31" i="1"/>
  <c r="F37" i="1"/>
  <c r="F43" i="1"/>
  <c r="F49" i="1"/>
  <c r="F55" i="1"/>
  <c r="F61" i="1"/>
  <c r="F126" i="1"/>
  <c r="F130" i="1"/>
  <c r="F138" i="1"/>
  <c r="F142" i="1"/>
  <c r="F150" i="1"/>
  <c r="F154" i="1"/>
  <c r="F70" i="1"/>
  <c r="F73" i="1"/>
  <c r="F76" i="1"/>
  <c r="F79" i="1"/>
  <c r="F82" i="1"/>
  <c r="F85" i="1"/>
  <c r="F88" i="1"/>
  <c r="F91" i="1"/>
  <c r="F94" i="1"/>
  <c r="F97" i="1"/>
  <c r="F100" i="1"/>
  <c r="F103" i="1"/>
  <c r="F106" i="1"/>
  <c r="F109" i="1"/>
  <c r="F112" i="1"/>
  <c r="F115" i="1"/>
  <c r="F118" i="1"/>
  <c r="F121" i="1"/>
  <c r="F129" i="1"/>
  <c r="F133" i="1"/>
  <c r="F141" i="1"/>
  <c r="F145" i="1"/>
  <c r="F153" i="1"/>
  <c r="F157" i="1"/>
  <c r="F165" i="1"/>
  <c r="F169" i="1"/>
  <c r="F178" i="1"/>
  <c r="F184" i="1"/>
  <c r="F190" i="1"/>
  <c r="F196" i="1"/>
  <c r="F202" i="1"/>
  <c r="F208" i="1"/>
  <c r="F214" i="1"/>
  <c r="F220" i="1"/>
  <c r="F226" i="1"/>
  <c r="F232" i="1"/>
  <c r="F238" i="1"/>
  <c r="F244" i="1"/>
  <c r="F250" i="1"/>
  <c r="F256" i="1"/>
  <c r="F262" i="1"/>
  <c r="F268" i="1"/>
  <c r="F274" i="1"/>
  <c r="F280" i="1"/>
  <c r="F286" i="1"/>
  <c r="F292" i="1"/>
  <c r="F298" i="1"/>
  <c r="F304" i="1"/>
  <c r="F310" i="1"/>
  <c r="F316" i="1"/>
  <c r="F322" i="1"/>
  <c r="F328" i="1"/>
  <c r="F334" i="1"/>
  <c r="F340" i="1"/>
  <c r="F346" i="1"/>
  <c r="F352" i="1"/>
  <c r="F64" i="1"/>
  <c r="F75" i="1"/>
  <c r="F84" i="1"/>
  <c r="F93" i="1"/>
  <c r="F102" i="1"/>
  <c r="F111" i="1"/>
  <c r="F117" i="1"/>
  <c r="F168" i="1"/>
  <c r="F269" i="1"/>
  <c r="F273" i="1"/>
  <c r="F281" i="1"/>
  <c r="F172" i="1"/>
  <c r="F12" i="1"/>
  <c r="F24" i="1"/>
  <c r="F36" i="1"/>
  <c r="F48" i="1"/>
  <c r="F60" i="1"/>
  <c r="F67" i="1"/>
  <c r="F69" i="1"/>
  <c r="F78" i="1"/>
  <c r="F87" i="1"/>
  <c r="F96" i="1"/>
  <c r="F105" i="1"/>
  <c r="F125" i="1"/>
  <c r="F137" i="1"/>
  <c r="F149" i="1"/>
  <c r="F161" i="1"/>
  <c r="F177" i="1"/>
  <c r="F180" i="1"/>
  <c r="F183" i="1"/>
  <c r="F186" i="1"/>
  <c r="F189" i="1"/>
  <c r="F192" i="1"/>
  <c r="F195" i="1"/>
  <c r="F198" i="1"/>
  <c r="F201" i="1"/>
  <c r="F204" i="1"/>
  <c r="F207" i="1"/>
  <c r="F210" i="1"/>
  <c r="F213" i="1"/>
  <c r="F216" i="1"/>
  <c r="F219" i="1"/>
  <c r="F222" i="1"/>
  <c r="F225" i="1"/>
  <c r="F228" i="1"/>
  <c r="F231" i="1"/>
  <c r="F234" i="1"/>
  <c r="F237" i="1"/>
  <c r="F240" i="1"/>
  <c r="F243" i="1"/>
  <c r="F246" i="1"/>
  <c r="F249" i="1"/>
  <c r="F252" i="1"/>
  <c r="F255" i="1"/>
  <c r="F258" i="1"/>
  <c r="F261" i="1"/>
  <c r="F264" i="1"/>
  <c r="F272" i="1"/>
  <c r="F276" i="1"/>
  <c r="F284" i="1"/>
  <c r="F288" i="1"/>
  <c r="F296" i="1"/>
  <c r="F300" i="1"/>
  <c r="F308" i="1"/>
  <c r="F312" i="1"/>
  <c r="F320" i="1"/>
  <c r="F324" i="1"/>
  <c r="F332" i="1"/>
  <c r="F336" i="1"/>
  <c r="F114" i="1"/>
  <c r="F120" i="1"/>
  <c r="F132" i="1"/>
  <c r="F144" i="1"/>
  <c r="F156" i="1"/>
  <c r="F174" i="1"/>
  <c r="F267" i="1"/>
  <c r="F275" i="1"/>
  <c r="F279" i="1"/>
  <c r="F287" i="1"/>
  <c r="F291" i="1"/>
  <c r="F299" i="1"/>
  <c r="F303" i="1"/>
  <c r="F311" i="1"/>
  <c r="F315" i="1"/>
  <c r="F323" i="1"/>
  <c r="F327" i="1"/>
  <c r="F335" i="1"/>
  <c r="F339" i="1"/>
  <c r="F347" i="1"/>
  <c r="F266" i="1"/>
  <c r="F294" i="1"/>
  <c r="F309" i="1"/>
  <c r="F317" i="1"/>
  <c r="F330" i="1"/>
  <c r="F343" i="1"/>
  <c r="F353" i="1"/>
  <c r="F357" i="1"/>
  <c r="F363" i="1"/>
  <c r="F369" i="1"/>
  <c r="F239" i="1"/>
  <c r="F349" i="1"/>
  <c r="F362" i="1"/>
  <c r="F368" i="1"/>
  <c r="F350" i="1"/>
  <c r="F354" i="1"/>
  <c r="F358" i="1"/>
  <c r="F30" i="1"/>
  <c r="F72" i="1"/>
  <c r="F99" i="1"/>
  <c r="F124" i="1"/>
  <c r="F179" i="1"/>
  <c r="F185" i="1"/>
  <c r="F191" i="1"/>
  <c r="F197" i="1"/>
  <c r="F203" i="1"/>
  <c r="F209" i="1"/>
  <c r="F215" i="1"/>
  <c r="F221" i="1"/>
  <c r="F227" i="1"/>
  <c r="F233" i="1"/>
  <c r="F245" i="1"/>
  <c r="F251" i="1"/>
  <c r="F257" i="1"/>
  <c r="F263" i="1"/>
  <c r="F270" i="1"/>
  <c r="F283" i="1"/>
  <c r="F301" i="1"/>
  <c r="F314" i="1"/>
  <c r="F319" i="1"/>
  <c r="F337" i="1"/>
  <c r="F277" i="1"/>
  <c r="F289" i="1"/>
  <c r="F325" i="1"/>
  <c r="F136" i="1"/>
  <c r="F166" i="1"/>
  <c r="F265" i="1"/>
  <c r="F285" i="1"/>
  <c r="F293" i="1"/>
  <c r="F306" i="1"/>
  <c r="F321" i="1"/>
  <c r="F329" i="1"/>
  <c r="F342" i="1"/>
  <c r="F345" i="1"/>
  <c r="F348" i="1"/>
  <c r="F356" i="1"/>
  <c r="F361" i="1"/>
  <c r="F367" i="1"/>
  <c r="F182" i="1"/>
  <c r="F206" i="1"/>
  <c r="F218" i="1"/>
  <c r="F230" i="1"/>
  <c r="F236" i="1"/>
  <c r="F242" i="1"/>
  <c r="F254" i="1"/>
  <c r="F305" i="1"/>
  <c r="F341" i="1"/>
  <c r="F359" i="1"/>
  <c r="F365" i="1"/>
  <c r="F90" i="1"/>
  <c r="F338" i="1"/>
  <c r="F18" i="1"/>
  <c r="F54" i="1"/>
  <c r="F81" i="1"/>
  <c r="F108" i="1"/>
  <c r="F148" i="1"/>
  <c r="F173" i="1"/>
  <c r="F278" i="1"/>
  <c r="F290" i="1"/>
  <c r="F295" i="1"/>
  <c r="F313" i="1"/>
  <c r="F326" i="1"/>
  <c r="F331" i="1"/>
  <c r="F351" i="1"/>
  <c r="F360" i="1"/>
  <c r="F366" i="1"/>
  <c r="F160" i="1"/>
  <c r="F162" i="1"/>
  <c r="F176" i="1"/>
  <c r="F188" i="1"/>
  <c r="F194" i="1"/>
  <c r="F200" i="1"/>
  <c r="F212" i="1"/>
  <c r="F224" i="1"/>
  <c r="F248" i="1"/>
  <c r="F260" i="1"/>
  <c r="F271" i="1"/>
  <c r="F282" i="1"/>
  <c r="F297" i="1"/>
  <c r="F318" i="1"/>
  <c r="F333" i="1"/>
  <c r="F344" i="1"/>
  <c r="F355" i="1"/>
  <c r="F42" i="1"/>
  <c r="F302" i="1"/>
  <c r="F307" i="1"/>
  <c r="F364" i="1"/>
  <c r="F370" i="1"/>
  <c r="F6" i="1"/>
  <c r="E15" i="5" l="1"/>
  <c r="G14" i="5"/>
  <c r="C10" i="4"/>
  <c r="D10" i="4"/>
  <c r="B11" i="4"/>
  <c r="E16" i="5" l="1"/>
  <c r="G15" i="5"/>
  <c r="C11" i="4"/>
  <c r="D11" i="4"/>
  <c r="B12" i="4"/>
  <c r="E17" i="5" l="1"/>
  <c r="G16" i="5"/>
  <c r="C12" i="4"/>
  <c r="B13" i="4"/>
  <c r="D12" i="4"/>
  <c r="E18" i="5" l="1"/>
  <c r="G17" i="5"/>
  <c r="C13" i="4"/>
  <c r="D13" i="4"/>
  <c r="B14" i="4"/>
  <c r="E19" i="5" l="1"/>
  <c r="G18" i="5"/>
  <c r="D14" i="4"/>
  <c r="C14" i="4"/>
  <c r="B15" i="4"/>
  <c r="G19" i="5" l="1"/>
  <c r="E20" i="5"/>
  <c r="B16" i="4"/>
  <c r="C15" i="4"/>
  <c r="D15" i="4"/>
  <c r="E21" i="5" l="1"/>
  <c r="G20" i="5"/>
  <c r="C16" i="4"/>
  <c r="D16" i="4"/>
  <c r="B17" i="4"/>
  <c r="E22" i="5" l="1"/>
  <c r="G21" i="5"/>
  <c r="C17" i="4"/>
  <c r="D17" i="4"/>
  <c r="B18" i="4"/>
  <c r="E23" i="5" l="1"/>
  <c r="G22" i="5"/>
  <c r="C18" i="4"/>
  <c r="D18" i="4"/>
  <c r="B19" i="4"/>
  <c r="E24" i="5" l="1"/>
  <c r="G23" i="5"/>
  <c r="C19" i="4"/>
  <c r="D19" i="4"/>
  <c r="B20" i="4"/>
  <c r="E25" i="5" l="1"/>
  <c r="G25" i="5" s="1"/>
  <c r="G24" i="5"/>
  <c r="C20" i="4"/>
  <c r="D20" i="4"/>
  <c r="B21" i="4"/>
  <c r="C21" i="4" l="1"/>
  <c r="D21" i="4"/>
  <c r="B22" i="4"/>
  <c r="C22" i="4" l="1"/>
  <c r="D22" i="4"/>
  <c r="B23" i="4"/>
  <c r="C23" i="4" l="1"/>
  <c r="D23" i="4"/>
  <c r="B24" i="4"/>
  <c r="C24" i="4" l="1"/>
  <c r="D24" i="4"/>
  <c r="B25" i="4"/>
  <c r="C25" i="4" l="1"/>
  <c r="D25" i="4"/>
  <c r="B26" i="4"/>
  <c r="D26" i="4" l="1"/>
  <c r="C26" i="4"/>
  <c r="B27" i="4"/>
  <c r="C27" i="4" l="1"/>
  <c r="D27" i="4"/>
  <c r="B28" i="4"/>
  <c r="C28" i="4" l="1"/>
  <c r="D28" i="4"/>
  <c r="B29" i="4"/>
  <c r="C29" i="4" l="1"/>
  <c r="D29" i="4"/>
</calcChain>
</file>

<file path=xl/sharedStrings.xml><?xml version="1.0" encoding="utf-8"?>
<sst xmlns="http://schemas.openxmlformats.org/spreadsheetml/2006/main" count="45" uniqueCount="36">
  <si>
    <t>Интервал ожидания</t>
  </si>
  <si>
    <t>1 автобус</t>
  </si>
  <si>
    <t>2 автобус</t>
  </si>
  <si>
    <t>Период расчёта</t>
  </si>
  <si>
    <t>№ дня</t>
  </si>
  <si>
    <t>Ожидание 1 автобуса w1</t>
  </si>
  <si>
    <t>Ожидание 2 автобуса w2</t>
  </si>
  <si>
    <t>Ожидание автобуса x</t>
  </si>
  <si>
    <t>Среднее время ожидания на текущий день t'ср</t>
  </si>
  <si>
    <t>Среднее время ожидания на за год t ср</t>
  </si>
  <si>
    <t>a=</t>
  </si>
  <si>
    <t>b=</t>
  </si>
  <si>
    <t>d=</t>
  </si>
  <si>
    <t>Бросание монеты</t>
  </si>
  <si>
    <t>Исходные данные</t>
  </si>
  <si>
    <t>Начальный капитал</t>
  </si>
  <si>
    <t>Результаты</t>
  </si>
  <si>
    <t>Бросок</t>
  </si>
  <si>
    <t>ставка</t>
  </si>
  <si>
    <t>Наличность</t>
  </si>
  <si>
    <t>Выигрыш</t>
  </si>
  <si>
    <t>Проигрыш</t>
  </si>
  <si>
    <t>Ставка</t>
  </si>
  <si>
    <t>№ сеанса</t>
  </si>
  <si>
    <t>Количество бросков для результата</t>
  </si>
  <si>
    <t>Результат</t>
  </si>
  <si>
    <t>Статистика по экспериментам</t>
  </si>
  <si>
    <t>банк</t>
  </si>
  <si>
    <t>банкрот</t>
  </si>
  <si>
    <t>Сумма первого</t>
  </si>
  <si>
    <t>Сумма второго</t>
  </si>
  <si>
    <t>Моделирование игры в кости</t>
  </si>
  <si>
    <t>Выпадение костей К1 (1 игрок)</t>
  </si>
  <si>
    <t>Выпадение костей К2 (2 игрок)</t>
  </si>
  <si>
    <t>Выпадение костей К2 (1 игрок)</t>
  </si>
  <si>
    <t>Выпадение костей К1 (2 игрок)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</si>
</sst>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'Задание 1'!$D$5</c:f>
              <c:strCache>
                <c:ptCount val="1"/>
                <c:pt idx="0">
                  <c:v>Ожидание автобуса 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'Задание 1'!$D$6:$D$370</c:f>
              <c:numCache>
                <c:formatCode>General</c:formatCode>
                <c:ptCount val="365"/>
                <c:pt idx="0">
                  <c:v>7.1679057735351668</c:v>
                </c:pt>
                <c:pt idx="1">
                  <c:v>6.0257570624184496</c:v>
                </c:pt>
                <c:pt idx="2">
                  <c:v>4.2861333470887146</c:v>
                </c:pt>
                <c:pt idx="3">
                  <c:v>0.80171322685845814</c:v>
                </c:pt>
                <c:pt idx="4">
                  <c:v>5.9637156117329573</c:v>
                </c:pt>
                <c:pt idx="5">
                  <c:v>7.4273763439108444</c:v>
                </c:pt>
                <c:pt idx="6">
                  <c:v>1.7031937834990414</c:v>
                </c:pt>
                <c:pt idx="7">
                  <c:v>1.6557202977639773</c:v>
                </c:pt>
                <c:pt idx="8">
                  <c:v>1.0682148702770982</c:v>
                </c:pt>
                <c:pt idx="9">
                  <c:v>5.4104199687114827</c:v>
                </c:pt>
                <c:pt idx="10">
                  <c:v>1.4406235578755966</c:v>
                </c:pt>
                <c:pt idx="11">
                  <c:v>2.9442677413441434</c:v>
                </c:pt>
                <c:pt idx="12">
                  <c:v>0.4412813685869954</c:v>
                </c:pt>
                <c:pt idx="13">
                  <c:v>3.0069074843136634</c:v>
                </c:pt>
                <c:pt idx="14">
                  <c:v>8.3065456487452103</c:v>
                </c:pt>
                <c:pt idx="15">
                  <c:v>5.640974804532811</c:v>
                </c:pt>
                <c:pt idx="16">
                  <c:v>1.5010399165570254</c:v>
                </c:pt>
                <c:pt idx="17">
                  <c:v>7.8392304070839547</c:v>
                </c:pt>
                <c:pt idx="18">
                  <c:v>1.285232882943308</c:v>
                </c:pt>
                <c:pt idx="19">
                  <c:v>1.9613547889476213</c:v>
                </c:pt>
                <c:pt idx="20">
                  <c:v>4.2672283639573125</c:v>
                </c:pt>
                <c:pt idx="21">
                  <c:v>6.6693825995826543</c:v>
                </c:pt>
                <c:pt idx="22">
                  <c:v>0.44772729487332519</c:v>
                </c:pt>
                <c:pt idx="23">
                  <c:v>5.4867041161461936</c:v>
                </c:pt>
                <c:pt idx="24">
                  <c:v>5.6037169292927693</c:v>
                </c:pt>
                <c:pt idx="25">
                  <c:v>0.27821416614045913</c:v>
                </c:pt>
                <c:pt idx="26">
                  <c:v>0.1574895373321239</c:v>
                </c:pt>
                <c:pt idx="27">
                  <c:v>3.8973583186307028</c:v>
                </c:pt>
                <c:pt idx="28">
                  <c:v>6.3748414226941481</c:v>
                </c:pt>
                <c:pt idx="29">
                  <c:v>1.9240379595821766</c:v>
                </c:pt>
                <c:pt idx="30">
                  <c:v>4.5281769205674891</c:v>
                </c:pt>
                <c:pt idx="31">
                  <c:v>6.4290733316821367</c:v>
                </c:pt>
                <c:pt idx="32">
                  <c:v>0.31279014366582203</c:v>
                </c:pt>
                <c:pt idx="33">
                  <c:v>1.6355502986517778</c:v>
                </c:pt>
                <c:pt idx="34">
                  <c:v>1.425346062484415</c:v>
                </c:pt>
                <c:pt idx="35">
                  <c:v>3.5884338743892288</c:v>
                </c:pt>
                <c:pt idx="36">
                  <c:v>2.2642494276282554</c:v>
                </c:pt>
                <c:pt idx="37">
                  <c:v>5.7668236383786553</c:v>
                </c:pt>
                <c:pt idx="38">
                  <c:v>3.1366934745566999</c:v>
                </c:pt>
                <c:pt idx="39">
                  <c:v>5.8952471697316779</c:v>
                </c:pt>
                <c:pt idx="40">
                  <c:v>9.4669944830043171</c:v>
                </c:pt>
                <c:pt idx="41">
                  <c:v>0.17546972594272958</c:v>
                </c:pt>
                <c:pt idx="42">
                  <c:v>2.3448909774583022</c:v>
                </c:pt>
                <c:pt idx="43">
                  <c:v>1.5025262431405684</c:v>
                </c:pt>
                <c:pt idx="44">
                  <c:v>4.3912619301529663</c:v>
                </c:pt>
                <c:pt idx="45">
                  <c:v>3.8670874403704536</c:v>
                </c:pt>
                <c:pt idx="46">
                  <c:v>0.50606445573889214</c:v>
                </c:pt>
                <c:pt idx="47">
                  <c:v>5.0037715484890075</c:v>
                </c:pt>
                <c:pt idx="48">
                  <c:v>7.6328720233894618</c:v>
                </c:pt>
                <c:pt idx="49">
                  <c:v>2.3495981758094855</c:v>
                </c:pt>
                <c:pt idx="50">
                  <c:v>6.694308035694406</c:v>
                </c:pt>
                <c:pt idx="51">
                  <c:v>2.4360817139742719</c:v>
                </c:pt>
                <c:pt idx="52">
                  <c:v>3.982627339303483</c:v>
                </c:pt>
                <c:pt idx="53">
                  <c:v>3.938774792529224</c:v>
                </c:pt>
                <c:pt idx="54">
                  <c:v>2.4512918511144219</c:v>
                </c:pt>
                <c:pt idx="55">
                  <c:v>3.1608373204428695</c:v>
                </c:pt>
                <c:pt idx="56">
                  <c:v>2.9269178186343114</c:v>
                </c:pt>
                <c:pt idx="57">
                  <c:v>7.0781450095503393</c:v>
                </c:pt>
                <c:pt idx="58">
                  <c:v>7.1636233479390112</c:v>
                </c:pt>
                <c:pt idx="59">
                  <c:v>4.5539394153175872</c:v>
                </c:pt>
                <c:pt idx="60">
                  <c:v>4.5715857827487287</c:v>
                </c:pt>
                <c:pt idx="61">
                  <c:v>2.161766715189541</c:v>
                </c:pt>
                <c:pt idx="62">
                  <c:v>1.7656752139573251</c:v>
                </c:pt>
                <c:pt idx="63">
                  <c:v>7.3918482954793481</c:v>
                </c:pt>
                <c:pt idx="64">
                  <c:v>8.2867095626033311</c:v>
                </c:pt>
                <c:pt idx="65">
                  <c:v>3.7570872455705642</c:v>
                </c:pt>
                <c:pt idx="66">
                  <c:v>2.0059889326525537</c:v>
                </c:pt>
                <c:pt idx="67">
                  <c:v>2.125231401987957</c:v>
                </c:pt>
                <c:pt idx="68">
                  <c:v>3.1592950506198347</c:v>
                </c:pt>
                <c:pt idx="69">
                  <c:v>1.4583608164237682</c:v>
                </c:pt>
                <c:pt idx="70">
                  <c:v>5.325413183007317</c:v>
                </c:pt>
                <c:pt idx="71">
                  <c:v>6.3896016212761877</c:v>
                </c:pt>
                <c:pt idx="72">
                  <c:v>4.2617410381528211</c:v>
                </c:pt>
                <c:pt idx="73">
                  <c:v>3.0020073259201876</c:v>
                </c:pt>
                <c:pt idx="74">
                  <c:v>1.4809461628187193</c:v>
                </c:pt>
                <c:pt idx="75">
                  <c:v>3.8704632043582898</c:v>
                </c:pt>
                <c:pt idx="76">
                  <c:v>3.3959899209779842</c:v>
                </c:pt>
                <c:pt idx="77">
                  <c:v>6.6575550942469235</c:v>
                </c:pt>
                <c:pt idx="78">
                  <c:v>4.7944828305630267</c:v>
                </c:pt>
                <c:pt idx="79">
                  <c:v>8.2508564011292354</c:v>
                </c:pt>
                <c:pt idx="80">
                  <c:v>0.62031775509341247</c:v>
                </c:pt>
                <c:pt idx="81">
                  <c:v>2.2966821950994394</c:v>
                </c:pt>
                <c:pt idx="82">
                  <c:v>9.5088390962788161</c:v>
                </c:pt>
                <c:pt idx="83">
                  <c:v>0.68683226494282046</c:v>
                </c:pt>
                <c:pt idx="84">
                  <c:v>3.7328555038532341</c:v>
                </c:pt>
                <c:pt idx="85">
                  <c:v>1.2590797511428387</c:v>
                </c:pt>
                <c:pt idx="86">
                  <c:v>3.6056691306409867</c:v>
                </c:pt>
                <c:pt idx="87">
                  <c:v>3.4467294117284357</c:v>
                </c:pt>
                <c:pt idx="88">
                  <c:v>5.1650077539310093</c:v>
                </c:pt>
                <c:pt idx="89">
                  <c:v>2.7334417777229825</c:v>
                </c:pt>
                <c:pt idx="90">
                  <c:v>4.3437029066787716</c:v>
                </c:pt>
                <c:pt idx="91">
                  <c:v>0.25655438829280564</c:v>
                </c:pt>
                <c:pt idx="92">
                  <c:v>6.1428193962643629</c:v>
                </c:pt>
                <c:pt idx="93">
                  <c:v>5.9631134266595796</c:v>
                </c:pt>
                <c:pt idx="94">
                  <c:v>0.86395283427563863</c:v>
                </c:pt>
                <c:pt idx="95">
                  <c:v>7.6266633417307341</c:v>
                </c:pt>
                <c:pt idx="96">
                  <c:v>0.12077787158037312</c:v>
                </c:pt>
                <c:pt idx="97">
                  <c:v>0.32277166783261091</c:v>
                </c:pt>
                <c:pt idx="98">
                  <c:v>9.3658860285151029</c:v>
                </c:pt>
                <c:pt idx="99">
                  <c:v>5.1831944134485148</c:v>
                </c:pt>
                <c:pt idx="100">
                  <c:v>5.9589235840777031</c:v>
                </c:pt>
                <c:pt idx="101">
                  <c:v>6.7644929756721552</c:v>
                </c:pt>
                <c:pt idx="102">
                  <c:v>6.3035980641656861</c:v>
                </c:pt>
                <c:pt idx="103">
                  <c:v>7.0714721983739981</c:v>
                </c:pt>
                <c:pt idx="104">
                  <c:v>7.6494279752250236</c:v>
                </c:pt>
                <c:pt idx="105">
                  <c:v>1.1035005712843882</c:v>
                </c:pt>
                <c:pt idx="106">
                  <c:v>3.4494436196555824</c:v>
                </c:pt>
                <c:pt idx="107">
                  <c:v>7.8459721748230535</c:v>
                </c:pt>
                <c:pt idx="108">
                  <c:v>3.9900590698841509</c:v>
                </c:pt>
                <c:pt idx="109">
                  <c:v>9.8476334800620666</c:v>
                </c:pt>
                <c:pt idx="110">
                  <c:v>0.14548678906452062</c:v>
                </c:pt>
                <c:pt idx="111">
                  <c:v>1.4592737770339426</c:v>
                </c:pt>
                <c:pt idx="112">
                  <c:v>4.9831911500566477</c:v>
                </c:pt>
                <c:pt idx="113">
                  <c:v>2.7433408134484227</c:v>
                </c:pt>
                <c:pt idx="114">
                  <c:v>4.1401867107112524</c:v>
                </c:pt>
                <c:pt idx="115">
                  <c:v>0.92268916053399319</c:v>
                </c:pt>
                <c:pt idx="116">
                  <c:v>1.1278589105944592</c:v>
                </c:pt>
                <c:pt idx="117">
                  <c:v>3.0915658865485245</c:v>
                </c:pt>
                <c:pt idx="118">
                  <c:v>4.5433570260326004</c:v>
                </c:pt>
                <c:pt idx="119">
                  <c:v>7.3197091782743318</c:v>
                </c:pt>
                <c:pt idx="120">
                  <c:v>4.8421580207157122</c:v>
                </c:pt>
                <c:pt idx="121">
                  <c:v>7.2234612768237643</c:v>
                </c:pt>
                <c:pt idx="122">
                  <c:v>3.0495740879611248</c:v>
                </c:pt>
                <c:pt idx="123">
                  <c:v>0.1309576214373348</c:v>
                </c:pt>
                <c:pt idx="124">
                  <c:v>5.90907160998505</c:v>
                </c:pt>
                <c:pt idx="125">
                  <c:v>1.5682806765168056</c:v>
                </c:pt>
                <c:pt idx="126">
                  <c:v>0.21688133427552936</c:v>
                </c:pt>
                <c:pt idx="127">
                  <c:v>5.4877591734815763</c:v>
                </c:pt>
                <c:pt idx="128">
                  <c:v>0.14674400948969102</c:v>
                </c:pt>
                <c:pt idx="129">
                  <c:v>0.39290590269886017</c:v>
                </c:pt>
                <c:pt idx="130">
                  <c:v>6.3479121383313899</c:v>
                </c:pt>
                <c:pt idx="131">
                  <c:v>8.3494687286117966</c:v>
                </c:pt>
                <c:pt idx="132">
                  <c:v>1.2038011023868578</c:v>
                </c:pt>
                <c:pt idx="133">
                  <c:v>7.0775290577987651</c:v>
                </c:pt>
                <c:pt idx="134">
                  <c:v>1.6503457712828384</c:v>
                </c:pt>
                <c:pt idx="135">
                  <c:v>2.7550516432414951</c:v>
                </c:pt>
                <c:pt idx="136">
                  <c:v>2.0576791756476656</c:v>
                </c:pt>
                <c:pt idx="137">
                  <c:v>9.0313089460504203E-2</c:v>
                </c:pt>
                <c:pt idx="138">
                  <c:v>6.0317658866083823</c:v>
                </c:pt>
                <c:pt idx="139">
                  <c:v>2.0822589048356832</c:v>
                </c:pt>
                <c:pt idx="140">
                  <c:v>1.6976057525645198</c:v>
                </c:pt>
                <c:pt idx="141">
                  <c:v>3.6203796305011657</c:v>
                </c:pt>
                <c:pt idx="142">
                  <c:v>9.2510768786926008</c:v>
                </c:pt>
                <c:pt idx="143">
                  <c:v>0.76046736623060385</c:v>
                </c:pt>
                <c:pt idx="144">
                  <c:v>3.4975793812202798</c:v>
                </c:pt>
                <c:pt idx="145">
                  <c:v>0.49141812368761917</c:v>
                </c:pt>
                <c:pt idx="146">
                  <c:v>1.627633895266255</c:v>
                </c:pt>
                <c:pt idx="147">
                  <c:v>5.2843025990842332</c:v>
                </c:pt>
                <c:pt idx="148">
                  <c:v>3.9709833725999744</c:v>
                </c:pt>
                <c:pt idx="149">
                  <c:v>3.8530376549661249</c:v>
                </c:pt>
                <c:pt idx="150">
                  <c:v>0.60980478730276455</c:v>
                </c:pt>
                <c:pt idx="151">
                  <c:v>1.5614067845833868</c:v>
                </c:pt>
                <c:pt idx="152">
                  <c:v>6.3608927008017115</c:v>
                </c:pt>
                <c:pt idx="153">
                  <c:v>8.4360460828246602</c:v>
                </c:pt>
                <c:pt idx="154">
                  <c:v>1.3759022838347974</c:v>
                </c:pt>
                <c:pt idx="155">
                  <c:v>4.94328048871912</c:v>
                </c:pt>
                <c:pt idx="156">
                  <c:v>1.2935047871201844</c:v>
                </c:pt>
                <c:pt idx="157">
                  <c:v>3.3795557447458346</c:v>
                </c:pt>
                <c:pt idx="158">
                  <c:v>3.2120675906786977</c:v>
                </c:pt>
                <c:pt idx="159">
                  <c:v>1.6761521678842695</c:v>
                </c:pt>
                <c:pt idx="160">
                  <c:v>6.6477507768305255</c:v>
                </c:pt>
                <c:pt idx="161">
                  <c:v>8.8462817529588023</c:v>
                </c:pt>
                <c:pt idx="162">
                  <c:v>4.434454088897132</c:v>
                </c:pt>
                <c:pt idx="163">
                  <c:v>6.4505122702281303</c:v>
                </c:pt>
                <c:pt idx="164">
                  <c:v>8.0992279624661041</c:v>
                </c:pt>
                <c:pt idx="165">
                  <c:v>3.0977671640877147</c:v>
                </c:pt>
                <c:pt idx="166">
                  <c:v>1.0886345052842283</c:v>
                </c:pt>
                <c:pt idx="167">
                  <c:v>6.1330368121466599</c:v>
                </c:pt>
                <c:pt idx="168">
                  <c:v>7.6593425743104575</c:v>
                </c:pt>
                <c:pt idx="169">
                  <c:v>1.3850932622386392</c:v>
                </c:pt>
                <c:pt idx="170">
                  <c:v>9.1131629729679222</c:v>
                </c:pt>
                <c:pt idx="171">
                  <c:v>3.4640297089353944</c:v>
                </c:pt>
                <c:pt idx="172">
                  <c:v>2.0747708068081705</c:v>
                </c:pt>
                <c:pt idx="173">
                  <c:v>0.12575136674915721</c:v>
                </c:pt>
                <c:pt idx="174">
                  <c:v>8.5186066000052509</c:v>
                </c:pt>
                <c:pt idx="175">
                  <c:v>7.2649045110188384</c:v>
                </c:pt>
                <c:pt idx="176">
                  <c:v>4.8925904348272162</c:v>
                </c:pt>
                <c:pt idx="177">
                  <c:v>2.6306296609297797</c:v>
                </c:pt>
                <c:pt idx="178">
                  <c:v>1.7485326744148411</c:v>
                </c:pt>
                <c:pt idx="179">
                  <c:v>5.5681419026756949</c:v>
                </c:pt>
                <c:pt idx="180">
                  <c:v>1.0092737577908961</c:v>
                </c:pt>
                <c:pt idx="181">
                  <c:v>8.4350602372749997</c:v>
                </c:pt>
                <c:pt idx="182">
                  <c:v>5.008563496984114</c:v>
                </c:pt>
                <c:pt idx="183">
                  <c:v>0.31543879094669269</c:v>
                </c:pt>
                <c:pt idx="184">
                  <c:v>0.84283698154413167</c:v>
                </c:pt>
                <c:pt idx="185">
                  <c:v>2.6620618410807206</c:v>
                </c:pt>
                <c:pt idx="186">
                  <c:v>2.2574510512775037</c:v>
                </c:pt>
                <c:pt idx="187">
                  <c:v>0.81837283748605549</c:v>
                </c:pt>
                <c:pt idx="188">
                  <c:v>0.16626121335802102</c:v>
                </c:pt>
                <c:pt idx="189">
                  <c:v>6.1930385499447986</c:v>
                </c:pt>
                <c:pt idx="190">
                  <c:v>1.7667633287306861</c:v>
                </c:pt>
                <c:pt idx="191">
                  <c:v>3.3435906575675975</c:v>
                </c:pt>
                <c:pt idx="192">
                  <c:v>2.0292099976061007</c:v>
                </c:pt>
                <c:pt idx="193">
                  <c:v>2.4813865182322772</c:v>
                </c:pt>
                <c:pt idx="194">
                  <c:v>8.8103159894077017</c:v>
                </c:pt>
                <c:pt idx="195">
                  <c:v>8.6796192223216568</c:v>
                </c:pt>
                <c:pt idx="196">
                  <c:v>7.0169516298214347</c:v>
                </c:pt>
                <c:pt idx="197">
                  <c:v>2.3172715679642044</c:v>
                </c:pt>
                <c:pt idx="198">
                  <c:v>1.6085584606147474</c:v>
                </c:pt>
                <c:pt idx="199">
                  <c:v>9.78175464572662</c:v>
                </c:pt>
                <c:pt idx="200">
                  <c:v>4.4928951987862158</c:v>
                </c:pt>
                <c:pt idx="201">
                  <c:v>1.09549563068292</c:v>
                </c:pt>
                <c:pt idx="202">
                  <c:v>6.9284900806345417</c:v>
                </c:pt>
                <c:pt idx="203">
                  <c:v>3.7890731144640153</c:v>
                </c:pt>
                <c:pt idx="204">
                  <c:v>5.8698649532051315</c:v>
                </c:pt>
                <c:pt idx="205">
                  <c:v>2.9049830494363404</c:v>
                </c:pt>
                <c:pt idx="206">
                  <c:v>2.7811937903576442</c:v>
                </c:pt>
                <c:pt idx="207">
                  <c:v>0.22192026856428515</c:v>
                </c:pt>
                <c:pt idx="208">
                  <c:v>5.0833621368433768</c:v>
                </c:pt>
                <c:pt idx="209">
                  <c:v>4.0821832688056414</c:v>
                </c:pt>
                <c:pt idx="210">
                  <c:v>3.964724694709878</c:v>
                </c:pt>
                <c:pt idx="211">
                  <c:v>2.7971090375674619</c:v>
                </c:pt>
                <c:pt idx="212">
                  <c:v>2.1285733387516248</c:v>
                </c:pt>
                <c:pt idx="213">
                  <c:v>4.0040010449941787</c:v>
                </c:pt>
                <c:pt idx="214">
                  <c:v>3.0956176515957097</c:v>
                </c:pt>
                <c:pt idx="215">
                  <c:v>6.9527887560931054</c:v>
                </c:pt>
                <c:pt idx="216">
                  <c:v>0.20037816800888231</c:v>
                </c:pt>
                <c:pt idx="217">
                  <c:v>3.5885683437831837</c:v>
                </c:pt>
                <c:pt idx="218">
                  <c:v>3.9744337381432304</c:v>
                </c:pt>
                <c:pt idx="219">
                  <c:v>4.728651766798972</c:v>
                </c:pt>
                <c:pt idx="220">
                  <c:v>8.4294540703853116E-2</c:v>
                </c:pt>
                <c:pt idx="221">
                  <c:v>5.8390120664311906</c:v>
                </c:pt>
                <c:pt idx="222">
                  <c:v>4.8030849152551305</c:v>
                </c:pt>
                <c:pt idx="223">
                  <c:v>7.7242193187282382</c:v>
                </c:pt>
                <c:pt idx="224">
                  <c:v>4.5356198177518383</c:v>
                </c:pt>
                <c:pt idx="225">
                  <c:v>6.6018544978369276</c:v>
                </c:pt>
                <c:pt idx="226">
                  <c:v>3.4658451008388869</c:v>
                </c:pt>
                <c:pt idx="227">
                  <c:v>6.9855024100871379</c:v>
                </c:pt>
                <c:pt idx="228">
                  <c:v>4.1526027204876499</c:v>
                </c:pt>
                <c:pt idx="229">
                  <c:v>4.3682770715653643</c:v>
                </c:pt>
                <c:pt idx="230">
                  <c:v>3.8544305452850969</c:v>
                </c:pt>
                <c:pt idx="231">
                  <c:v>7.5256535800295863</c:v>
                </c:pt>
                <c:pt idx="232">
                  <c:v>1.6248329337215117</c:v>
                </c:pt>
                <c:pt idx="233">
                  <c:v>9.8597863278610589</c:v>
                </c:pt>
                <c:pt idx="234">
                  <c:v>8.6001492594700419</c:v>
                </c:pt>
                <c:pt idx="235">
                  <c:v>4.5758193933153049</c:v>
                </c:pt>
                <c:pt idx="236">
                  <c:v>1.0000793106361894</c:v>
                </c:pt>
                <c:pt idx="237">
                  <c:v>4.3017165350988904</c:v>
                </c:pt>
                <c:pt idx="238">
                  <c:v>0.24158717116045558</c:v>
                </c:pt>
                <c:pt idx="239">
                  <c:v>4.7489145184380641</c:v>
                </c:pt>
                <c:pt idx="240">
                  <c:v>6.399184285979139</c:v>
                </c:pt>
                <c:pt idx="241">
                  <c:v>9.1052540177720012</c:v>
                </c:pt>
                <c:pt idx="242">
                  <c:v>2.5046564445089023</c:v>
                </c:pt>
                <c:pt idx="243">
                  <c:v>0.4841552773235458</c:v>
                </c:pt>
                <c:pt idx="244">
                  <c:v>3.1449294082045398</c:v>
                </c:pt>
                <c:pt idx="245">
                  <c:v>0.98027728176473317</c:v>
                </c:pt>
                <c:pt idx="246">
                  <c:v>7.8292958934641774</c:v>
                </c:pt>
                <c:pt idx="247">
                  <c:v>0.54749259339122336</c:v>
                </c:pt>
                <c:pt idx="248">
                  <c:v>8.0791631212399277</c:v>
                </c:pt>
                <c:pt idx="249">
                  <c:v>3.1068897580061057</c:v>
                </c:pt>
                <c:pt idx="250">
                  <c:v>2.7381642608806667</c:v>
                </c:pt>
                <c:pt idx="251">
                  <c:v>7.1952324208220384</c:v>
                </c:pt>
                <c:pt idx="252">
                  <c:v>1.3281342031671746</c:v>
                </c:pt>
                <c:pt idx="253">
                  <c:v>5.5613189881540279</c:v>
                </c:pt>
                <c:pt idx="254">
                  <c:v>5.3331592711918461</c:v>
                </c:pt>
                <c:pt idx="255">
                  <c:v>3.7028083217034737</c:v>
                </c:pt>
                <c:pt idx="256">
                  <c:v>3.3095847375771581</c:v>
                </c:pt>
                <c:pt idx="257">
                  <c:v>2.878741475371267</c:v>
                </c:pt>
                <c:pt idx="258">
                  <c:v>4.2475325731461169</c:v>
                </c:pt>
                <c:pt idx="259">
                  <c:v>2.51978314503567</c:v>
                </c:pt>
                <c:pt idx="260">
                  <c:v>6.4154390309045493</c:v>
                </c:pt>
                <c:pt idx="261">
                  <c:v>6.4007359397666539</c:v>
                </c:pt>
                <c:pt idx="262">
                  <c:v>3.3239519508460158</c:v>
                </c:pt>
                <c:pt idx="263">
                  <c:v>4.209022339725391</c:v>
                </c:pt>
                <c:pt idx="264">
                  <c:v>6.1209381336551685</c:v>
                </c:pt>
                <c:pt idx="265">
                  <c:v>5.1129814157810616</c:v>
                </c:pt>
                <c:pt idx="266">
                  <c:v>4.1155927707596884</c:v>
                </c:pt>
                <c:pt idx="267">
                  <c:v>1.3726946593396478</c:v>
                </c:pt>
                <c:pt idx="268">
                  <c:v>3.5933388479295791</c:v>
                </c:pt>
                <c:pt idx="269">
                  <c:v>2.174239478622471</c:v>
                </c:pt>
                <c:pt idx="270">
                  <c:v>4.2744718708673286</c:v>
                </c:pt>
                <c:pt idx="271">
                  <c:v>5.3279845584765511</c:v>
                </c:pt>
                <c:pt idx="272">
                  <c:v>0.51586285742246107</c:v>
                </c:pt>
                <c:pt idx="273">
                  <c:v>4.3710335399247926</c:v>
                </c:pt>
                <c:pt idx="274">
                  <c:v>7.984471875773151</c:v>
                </c:pt>
                <c:pt idx="275">
                  <c:v>8.9585330468261173</c:v>
                </c:pt>
                <c:pt idx="276">
                  <c:v>1.5791605957174193</c:v>
                </c:pt>
                <c:pt idx="277">
                  <c:v>6.3295876046969788</c:v>
                </c:pt>
                <c:pt idx="278">
                  <c:v>0.12217252177794902</c:v>
                </c:pt>
                <c:pt idx="279">
                  <c:v>0.68594592983069413</c:v>
                </c:pt>
                <c:pt idx="280">
                  <c:v>7.0529461784128555</c:v>
                </c:pt>
                <c:pt idx="281">
                  <c:v>0.52996182179275486</c:v>
                </c:pt>
                <c:pt idx="282">
                  <c:v>0.88034482537069858</c:v>
                </c:pt>
                <c:pt idx="283">
                  <c:v>4.2663727175687081</c:v>
                </c:pt>
                <c:pt idx="284">
                  <c:v>8.2217047030800163</c:v>
                </c:pt>
                <c:pt idx="285">
                  <c:v>4.8315208110696091</c:v>
                </c:pt>
                <c:pt idx="286">
                  <c:v>3.2500082283063083</c:v>
                </c:pt>
                <c:pt idx="287">
                  <c:v>3.7292471108523007</c:v>
                </c:pt>
                <c:pt idx="288">
                  <c:v>3.5960832518196635</c:v>
                </c:pt>
                <c:pt idx="289">
                  <c:v>8.0650276256160129</c:v>
                </c:pt>
                <c:pt idx="290">
                  <c:v>3.3749168868359893</c:v>
                </c:pt>
                <c:pt idx="291">
                  <c:v>4.4742036470805395</c:v>
                </c:pt>
                <c:pt idx="292">
                  <c:v>3.7953632361375886</c:v>
                </c:pt>
                <c:pt idx="293">
                  <c:v>5.0895411335142828</c:v>
                </c:pt>
                <c:pt idx="294">
                  <c:v>1.1574211933116418</c:v>
                </c:pt>
                <c:pt idx="295">
                  <c:v>9.1919357129960186</c:v>
                </c:pt>
                <c:pt idx="296">
                  <c:v>3.2791021243497811</c:v>
                </c:pt>
                <c:pt idx="297">
                  <c:v>2.0193297595316553</c:v>
                </c:pt>
                <c:pt idx="298">
                  <c:v>0.79488194792956657</c:v>
                </c:pt>
                <c:pt idx="299">
                  <c:v>3.3861820002696854</c:v>
                </c:pt>
                <c:pt idx="300">
                  <c:v>2.9624806563981423</c:v>
                </c:pt>
                <c:pt idx="301">
                  <c:v>5.207822059766027</c:v>
                </c:pt>
                <c:pt idx="302">
                  <c:v>5.8230671559673404</c:v>
                </c:pt>
                <c:pt idx="303">
                  <c:v>0.93780535099789508</c:v>
                </c:pt>
                <c:pt idx="304">
                  <c:v>3.4526086885266274</c:v>
                </c:pt>
                <c:pt idx="305">
                  <c:v>5.6895145388326007</c:v>
                </c:pt>
                <c:pt idx="306">
                  <c:v>0.57564358506174362</c:v>
                </c:pt>
                <c:pt idx="307">
                  <c:v>2.2939765552400635</c:v>
                </c:pt>
                <c:pt idx="308">
                  <c:v>2.1388771442797427</c:v>
                </c:pt>
                <c:pt idx="309">
                  <c:v>5.6134853313141164E-2</c:v>
                </c:pt>
                <c:pt idx="310">
                  <c:v>1.615645797453487</c:v>
                </c:pt>
                <c:pt idx="311">
                  <c:v>3.083135404949966</c:v>
                </c:pt>
                <c:pt idx="312">
                  <c:v>4.3313264507862526</c:v>
                </c:pt>
                <c:pt idx="313">
                  <c:v>1.7704859416350627</c:v>
                </c:pt>
                <c:pt idx="314">
                  <c:v>0.43005002552822247</c:v>
                </c:pt>
                <c:pt idx="315">
                  <c:v>4.6042906921642155</c:v>
                </c:pt>
                <c:pt idx="316">
                  <c:v>0.17974663545637815</c:v>
                </c:pt>
                <c:pt idx="317">
                  <c:v>3.0383977181271558</c:v>
                </c:pt>
                <c:pt idx="318">
                  <c:v>9.6561590113382625</c:v>
                </c:pt>
                <c:pt idx="319">
                  <c:v>8.8147220981998835</c:v>
                </c:pt>
                <c:pt idx="320">
                  <c:v>6.2229323008323867</c:v>
                </c:pt>
                <c:pt idx="321">
                  <c:v>5.4209041488348113</c:v>
                </c:pt>
                <c:pt idx="322">
                  <c:v>5.5155795997024768</c:v>
                </c:pt>
                <c:pt idx="323">
                  <c:v>7.3689706597039271</c:v>
                </c:pt>
                <c:pt idx="324">
                  <c:v>8.2578316447961537</c:v>
                </c:pt>
                <c:pt idx="325">
                  <c:v>3.2267235284817075</c:v>
                </c:pt>
                <c:pt idx="326">
                  <c:v>0.37058491517688474</c:v>
                </c:pt>
                <c:pt idx="327">
                  <c:v>2.489013156011386</c:v>
                </c:pt>
                <c:pt idx="328">
                  <c:v>2.7732447626253984</c:v>
                </c:pt>
                <c:pt idx="329">
                  <c:v>3.3960133571425093</c:v>
                </c:pt>
                <c:pt idx="330">
                  <c:v>0.50635273216004473</c:v>
                </c:pt>
                <c:pt idx="331">
                  <c:v>5.8760072670300456</c:v>
                </c:pt>
                <c:pt idx="332">
                  <c:v>0.33639764958699025</c:v>
                </c:pt>
                <c:pt idx="333">
                  <c:v>8.8756172073465738</c:v>
                </c:pt>
                <c:pt idx="334">
                  <c:v>5.2496182182652671</c:v>
                </c:pt>
                <c:pt idx="335">
                  <c:v>9.8217400018486458</c:v>
                </c:pt>
                <c:pt idx="336">
                  <c:v>7.188821514679967</c:v>
                </c:pt>
                <c:pt idx="337">
                  <c:v>5.7418662344213551</c:v>
                </c:pt>
                <c:pt idx="338">
                  <c:v>3.085697673566016</c:v>
                </c:pt>
                <c:pt idx="339">
                  <c:v>6.6578304258834624</c:v>
                </c:pt>
                <c:pt idx="340">
                  <c:v>9.8456193428172138</c:v>
                </c:pt>
                <c:pt idx="341">
                  <c:v>5.1486603080372078</c:v>
                </c:pt>
                <c:pt idx="342">
                  <c:v>1.8364220022443019</c:v>
                </c:pt>
                <c:pt idx="343">
                  <c:v>1.7212628152818377</c:v>
                </c:pt>
                <c:pt idx="344">
                  <c:v>7.8354505773338579</c:v>
                </c:pt>
                <c:pt idx="345">
                  <c:v>5.6161171886561521</c:v>
                </c:pt>
                <c:pt idx="346">
                  <c:v>0.2875860669434116</c:v>
                </c:pt>
                <c:pt idx="347">
                  <c:v>0.45843987405800868</c:v>
                </c:pt>
                <c:pt idx="348">
                  <c:v>6.6674038583811059</c:v>
                </c:pt>
                <c:pt idx="349">
                  <c:v>1.4722956713173829</c:v>
                </c:pt>
                <c:pt idx="350">
                  <c:v>7.1601946559198071</c:v>
                </c:pt>
                <c:pt idx="351">
                  <c:v>1.9586199589787689</c:v>
                </c:pt>
                <c:pt idx="352">
                  <c:v>1.241378590744131</c:v>
                </c:pt>
                <c:pt idx="353">
                  <c:v>3.7405835569387702</c:v>
                </c:pt>
                <c:pt idx="354">
                  <c:v>6.040469884449732</c:v>
                </c:pt>
                <c:pt idx="355">
                  <c:v>3.925532277512743</c:v>
                </c:pt>
                <c:pt idx="356">
                  <c:v>9.2706914138283771</c:v>
                </c:pt>
                <c:pt idx="357">
                  <c:v>6.9262895848540307</c:v>
                </c:pt>
                <c:pt idx="358">
                  <c:v>8.2540364821941488</c:v>
                </c:pt>
                <c:pt idx="359">
                  <c:v>7.3835742123927108</c:v>
                </c:pt>
                <c:pt idx="360">
                  <c:v>3.0112871652460287</c:v>
                </c:pt>
                <c:pt idx="361">
                  <c:v>4.9460470579331295</c:v>
                </c:pt>
                <c:pt idx="362">
                  <c:v>1.0585458540723003</c:v>
                </c:pt>
                <c:pt idx="363">
                  <c:v>2.433879471612781</c:v>
                </c:pt>
                <c:pt idx="364">
                  <c:v>0.68819786388820692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9-4768-9757-9E82E1188EC2}"/>
            </c:ext>
          </c:extLst>
        </c:ser>
        <c:ser>
          <c:idx val="4"/>
          <c:order val="1"/>
          <c:tx>
            <c:strRef>
              <c:f>'Задание 1'!$E$5</c:f>
              <c:strCache>
                <c:ptCount val="1"/>
                <c:pt idx="0">
                  <c:v>Среднее время ожидания на текущий день t'ср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'Задание 1'!$E$6:$E$370</c:f>
              <c:numCache>
                <c:formatCode>General</c:formatCode>
                <c:ptCount val="365"/>
                <c:pt idx="0">
                  <c:v>9.9300519592874466</c:v>
                </c:pt>
                <c:pt idx="1">
                  <c:v>8.5299227956752066</c:v>
                </c:pt>
                <c:pt idx="2">
                  <c:v>7.2477360002803302</c:v>
                </c:pt>
                <c:pt idx="3">
                  <c:v>7.1697573393513681</c:v>
                </c:pt>
                <c:pt idx="4">
                  <c:v>7.4692352227088916</c:v>
                </c:pt>
                <c:pt idx="5">
                  <c:v>7.6445862430002522</c:v>
                </c:pt>
                <c:pt idx="6">
                  <c:v>7.2468799958149566</c:v>
                </c:pt>
                <c:pt idx="7">
                  <c:v>7.0100658886633607</c:v>
                </c:pt>
                <c:pt idx="8">
                  <c:v>6.6821546305195074</c:v>
                </c:pt>
                <c:pt idx="9">
                  <c:v>6.8177731858163195</c:v>
                </c:pt>
                <c:pt idx="10">
                  <c:v>6.8729015162635987</c:v>
                </c:pt>
                <c:pt idx="11">
                  <c:v>6.6642764524609595</c:v>
                </c:pt>
                <c:pt idx="12">
                  <c:v>6.5375325155498212</c:v>
                </c:pt>
                <c:pt idx="13">
                  <c:v>6.6653060958360655</c:v>
                </c:pt>
                <c:pt idx="14">
                  <c:v>6.8108493648406014</c:v>
                </c:pt>
                <c:pt idx="15">
                  <c:v>6.872580524510119</c:v>
                </c:pt>
                <c:pt idx="16">
                  <c:v>6.8464249873658956</c:v>
                </c:pt>
                <c:pt idx="17">
                  <c:v>6.9070161023432615</c:v>
                </c:pt>
                <c:pt idx="18">
                  <c:v>6.6696971145310151</c:v>
                </c:pt>
                <c:pt idx="19">
                  <c:v>6.7001477888109005</c:v>
                </c:pt>
                <c:pt idx="20">
                  <c:v>6.7999987020893506</c:v>
                </c:pt>
                <c:pt idx="21">
                  <c:v>6.8309940899365582</c:v>
                </c:pt>
                <c:pt idx="22">
                  <c:v>6.7326239487374213</c:v>
                </c:pt>
                <c:pt idx="23">
                  <c:v>6.7469051530045476</c:v>
                </c:pt>
                <c:pt idx="24">
                  <c:v>6.7143606112836274</c:v>
                </c:pt>
                <c:pt idx="25">
                  <c:v>6.6946805598260095</c:v>
                </c:pt>
                <c:pt idx="26">
                  <c:v>6.5016704898206035</c:v>
                </c:pt>
                <c:pt idx="27">
                  <c:v>6.5200820458171194</c:v>
                </c:pt>
                <c:pt idx="28">
                  <c:v>6.6525847016587036</c:v>
                </c:pt>
                <c:pt idx="29">
                  <c:v>6.5553152306781337</c:v>
                </c:pt>
                <c:pt idx="30">
                  <c:v>6.49313108977866</c:v>
                </c:pt>
                <c:pt idx="31">
                  <c:v>6.5984622270876079</c:v>
                </c:pt>
                <c:pt idx="32">
                  <c:v>6.540538879518774</c:v>
                </c:pt>
                <c:pt idx="33">
                  <c:v>6.4735043290864143</c:v>
                </c:pt>
                <c:pt idx="34">
                  <c:v>6.4011057374888392</c:v>
                </c:pt>
                <c:pt idx="35">
                  <c:v>6.364180201806108</c:v>
                </c:pt>
                <c:pt idx="36">
                  <c:v>6.2865155869148195</c:v>
                </c:pt>
                <c:pt idx="37">
                  <c:v>6.3014674169774398</c:v>
                </c:pt>
                <c:pt idx="38">
                  <c:v>6.2720800188122316</c:v>
                </c:pt>
                <c:pt idx="39">
                  <c:v>6.3725381507283361</c:v>
                </c:pt>
                <c:pt idx="40">
                  <c:v>6.5107079249681012</c:v>
                </c:pt>
                <c:pt idx="41">
                  <c:v>6.3672768005795968</c:v>
                </c:pt>
                <c:pt idx="42">
                  <c:v>6.3498162526229747</c:v>
                </c:pt>
                <c:pt idx="43">
                  <c:v>6.3611636880029785</c:v>
                </c:pt>
                <c:pt idx="44">
                  <c:v>6.3856311041205283</c:v>
                </c:pt>
                <c:pt idx="45">
                  <c:v>6.4153960448806178</c:v>
                </c:pt>
                <c:pt idx="46">
                  <c:v>6.383347488462535</c:v>
                </c:pt>
                <c:pt idx="47">
                  <c:v>6.388831231907762</c:v>
                </c:pt>
                <c:pt idx="48">
                  <c:v>6.4294337003165927</c:v>
                </c:pt>
                <c:pt idx="49">
                  <c:v>6.472399892004697</c:v>
                </c:pt>
                <c:pt idx="50">
                  <c:v>6.5020744126229335</c:v>
                </c:pt>
                <c:pt idx="51">
                  <c:v>6.4862273870526526</c:v>
                </c:pt>
                <c:pt idx="52">
                  <c:v>6.5267844267548538</c:v>
                </c:pt>
                <c:pt idx="53">
                  <c:v>6.5189446147452426</c:v>
                </c:pt>
                <c:pt idx="54">
                  <c:v>6.5102207874857001</c:v>
                </c:pt>
                <c:pt idx="55">
                  <c:v>6.5219981441590109</c:v>
                </c:pt>
                <c:pt idx="56">
                  <c:v>6.4874457604179403</c:v>
                </c:pt>
                <c:pt idx="57">
                  <c:v>6.5320082294317734</c:v>
                </c:pt>
                <c:pt idx="58">
                  <c:v>6.5428687266799033</c:v>
                </c:pt>
                <c:pt idx="59">
                  <c:v>6.5146275681895931</c:v>
                </c:pt>
                <c:pt idx="60">
                  <c:v>6.525422641927725</c:v>
                </c:pt>
                <c:pt idx="61">
                  <c:v>6.4691921399385954</c:v>
                </c:pt>
                <c:pt idx="62">
                  <c:v>6.4383084336983005</c:v>
                </c:pt>
                <c:pt idx="63">
                  <c:v>6.4636396695745324</c:v>
                </c:pt>
                <c:pt idx="64">
                  <c:v>6.4949793624085785</c:v>
                </c:pt>
                <c:pt idx="65">
                  <c:v>6.4723215730345007</c:v>
                </c:pt>
                <c:pt idx="66">
                  <c:v>6.4909841545825264</c:v>
                </c:pt>
                <c:pt idx="67">
                  <c:v>6.4383388418506913</c:v>
                </c:pt>
                <c:pt idx="68">
                  <c:v>6.4344771497720323</c:v>
                </c:pt>
                <c:pt idx="69">
                  <c:v>6.3735681053348889</c:v>
                </c:pt>
                <c:pt idx="70">
                  <c:v>6.3904436095726407</c:v>
                </c:pt>
                <c:pt idx="71">
                  <c:v>6.3992466049046728</c:v>
                </c:pt>
                <c:pt idx="72">
                  <c:v>6.3986683024809938</c:v>
                </c:pt>
                <c:pt idx="73">
                  <c:v>6.4236709949448629</c:v>
                </c:pt>
                <c:pt idx="74">
                  <c:v>6.3868802572749184</c:v>
                </c:pt>
                <c:pt idx="75">
                  <c:v>6.3690010466012179</c:v>
                </c:pt>
                <c:pt idx="76">
                  <c:v>6.40274027723156</c:v>
                </c:pt>
                <c:pt idx="77">
                  <c:v>6.4494268321605048</c:v>
                </c:pt>
                <c:pt idx="78">
                  <c:v>6.4347138466219862</c:v>
                </c:pt>
                <c:pt idx="79">
                  <c:v>6.4786016034479657</c:v>
                </c:pt>
                <c:pt idx="80">
                  <c:v>6.4497868312222817</c:v>
                </c:pt>
                <c:pt idx="81">
                  <c:v>6.427616337618244</c:v>
                </c:pt>
                <c:pt idx="82">
                  <c:v>6.4839310562187045</c:v>
                </c:pt>
                <c:pt idx="83">
                  <c:v>6.4661328177944624</c:v>
                </c:pt>
                <c:pt idx="84">
                  <c:v>6.4907366542163931</c:v>
                </c:pt>
                <c:pt idx="85">
                  <c:v>6.4617450693230927</c:v>
                </c:pt>
                <c:pt idx="86">
                  <c:v>6.4403313944828264</c:v>
                </c:pt>
                <c:pt idx="87">
                  <c:v>6.4344917329765252</c:v>
                </c:pt>
                <c:pt idx="88">
                  <c:v>6.4617551219065401</c:v>
                </c:pt>
                <c:pt idx="89">
                  <c:v>6.4421258372145491</c:v>
                </c:pt>
                <c:pt idx="90">
                  <c:v>6.4385896519574226</c:v>
                </c:pt>
                <c:pt idx="91">
                  <c:v>6.4296402498195464</c:v>
                </c:pt>
                <c:pt idx="92">
                  <c:v>6.4335045604519685</c:v>
                </c:pt>
                <c:pt idx="93">
                  <c:v>6.4715065793686666</c:v>
                </c:pt>
                <c:pt idx="94">
                  <c:v>6.4367340901982502</c:v>
                </c:pt>
                <c:pt idx="95">
                  <c:v>6.4560914753570051</c:v>
                </c:pt>
                <c:pt idx="96">
                  <c:v>6.4335069434288208</c:v>
                </c:pt>
                <c:pt idx="97">
                  <c:v>6.4169407938846206</c:v>
                </c:pt>
                <c:pt idx="98">
                  <c:v>6.4697629947863078</c:v>
                </c:pt>
                <c:pt idx="99">
                  <c:v>6.4576989835340246</c:v>
                </c:pt>
                <c:pt idx="100">
                  <c:v>6.4799895794268672</c:v>
                </c:pt>
                <c:pt idx="101">
                  <c:v>6.5228218122701405</c:v>
                </c:pt>
                <c:pt idx="102">
                  <c:v>6.5306601138417513</c:v>
                </c:pt>
                <c:pt idx="103">
                  <c:v>6.5622178765477353</c:v>
                </c:pt>
                <c:pt idx="104">
                  <c:v>6.6027143740983441</c:v>
                </c:pt>
                <c:pt idx="105">
                  <c:v>6.5628190551430166</c:v>
                </c:pt>
                <c:pt idx="106">
                  <c:v>6.5611611668984207</c:v>
                </c:pt>
                <c:pt idx="107">
                  <c:v>6.5749615085338027</c:v>
                </c:pt>
                <c:pt idx="108">
                  <c:v>6.5871621335062498</c:v>
                </c:pt>
                <c:pt idx="109">
                  <c:v>6.6339122190921103</c:v>
                </c:pt>
                <c:pt idx="110">
                  <c:v>6.6218370672450968</c:v>
                </c:pt>
                <c:pt idx="111">
                  <c:v>6.6350824159524082</c:v>
                </c:pt>
                <c:pt idx="112">
                  <c:v>6.634908499636043</c:v>
                </c:pt>
                <c:pt idx="113">
                  <c:v>6.6294235952955951</c:v>
                </c:pt>
                <c:pt idx="114">
                  <c:v>6.623504730382848</c:v>
                </c:pt>
                <c:pt idx="115">
                  <c:v>6.5899736339084773</c:v>
                </c:pt>
                <c:pt idx="116">
                  <c:v>6.5624693924257</c:v>
                </c:pt>
                <c:pt idx="117">
                  <c:v>6.5414224851846461</c:v>
                </c:pt>
                <c:pt idx="118">
                  <c:v>6.5415116099884605</c:v>
                </c:pt>
                <c:pt idx="119">
                  <c:v>6.5762381787581994</c:v>
                </c:pt>
                <c:pt idx="120">
                  <c:v>6.5678564833624371</c:v>
                </c:pt>
                <c:pt idx="121">
                  <c:v>6.601229154312322</c:v>
                </c:pt>
                <c:pt idx="122">
                  <c:v>6.5896238254854991</c:v>
                </c:pt>
                <c:pt idx="123">
                  <c:v>6.5546183111735816</c:v>
                </c:pt>
                <c:pt idx="124">
                  <c:v>6.5751440866379793</c:v>
                </c:pt>
                <c:pt idx="125">
                  <c:v>6.5753649593022647</c:v>
                </c:pt>
                <c:pt idx="126">
                  <c:v>6.5780022402911174</c:v>
                </c:pt>
                <c:pt idx="127">
                  <c:v>6.5840359725550677</c:v>
                </c:pt>
                <c:pt idx="128">
                  <c:v>6.5455140322835605</c:v>
                </c:pt>
                <c:pt idx="129">
                  <c:v>6.5394364795799209</c:v>
                </c:pt>
                <c:pt idx="130">
                  <c:v>6.5395346895379305</c:v>
                </c:pt>
                <c:pt idx="131">
                  <c:v>6.5623700598938379</c:v>
                </c:pt>
                <c:pt idx="132">
                  <c:v>6.5387048359173372</c:v>
                </c:pt>
                <c:pt idx="133">
                  <c:v>6.5470391665344163</c:v>
                </c:pt>
                <c:pt idx="134">
                  <c:v>6.5304432586064634</c:v>
                </c:pt>
                <c:pt idx="135">
                  <c:v>6.5191053723362771</c:v>
                </c:pt>
                <c:pt idx="136">
                  <c:v>6.5088854410591273</c:v>
                </c:pt>
                <c:pt idx="137">
                  <c:v>6.4841452740697445</c:v>
                </c:pt>
                <c:pt idx="138">
                  <c:v>6.5029894971849718</c:v>
                </c:pt>
                <c:pt idx="139">
                  <c:v>6.4920187705906667</c:v>
                </c:pt>
                <c:pt idx="140">
                  <c:v>6.4756205061391752</c:v>
                </c:pt>
                <c:pt idx="141">
                  <c:v>6.4562619521317881</c:v>
                </c:pt>
                <c:pt idx="142">
                  <c:v>6.4880094255458491</c:v>
                </c:pt>
                <c:pt idx="143">
                  <c:v>6.4768802117865167</c:v>
                </c:pt>
                <c:pt idx="144">
                  <c:v>6.4719291064705269</c:v>
                </c:pt>
                <c:pt idx="145">
                  <c:v>6.4751899003796263</c:v>
                </c:pt>
                <c:pt idx="146">
                  <c:v>6.449083584449613</c:v>
                </c:pt>
                <c:pt idx="147">
                  <c:v>6.4424582480676715</c:v>
                </c:pt>
                <c:pt idx="148">
                  <c:v>6.44081158638211</c:v>
                </c:pt>
                <c:pt idx="149">
                  <c:v>6.434447939508658</c:v>
                </c:pt>
                <c:pt idx="150">
                  <c:v>6.421327145802489</c:v>
                </c:pt>
                <c:pt idx="151">
                  <c:v>6.3946577958699491</c:v>
                </c:pt>
                <c:pt idx="152">
                  <c:v>6.3973747648385908</c:v>
                </c:pt>
                <c:pt idx="153">
                  <c:v>6.4196224898040573</c:v>
                </c:pt>
                <c:pt idx="154">
                  <c:v>6.3905770763528515</c:v>
                </c:pt>
                <c:pt idx="155">
                  <c:v>6.3909609552695414</c:v>
                </c:pt>
                <c:pt idx="156">
                  <c:v>6.3811927458676045</c:v>
                </c:pt>
                <c:pt idx="157">
                  <c:v>6.3630076635318824</c:v>
                </c:pt>
                <c:pt idx="158">
                  <c:v>6.3459848541697976</c:v>
                </c:pt>
                <c:pt idx="159">
                  <c:v>6.3421637220129119</c:v>
                </c:pt>
                <c:pt idx="160">
                  <c:v>6.3444764374178586</c:v>
                </c:pt>
                <c:pt idx="161">
                  <c:v>6.3694155900629683</c:v>
                </c:pt>
                <c:pt idx="162">
                  <c:v>6.3661988413004726</c:v>
                </c:pt>
                <c:pt idx="163">
                  <c:v>6.3823956838767053</c:v>
                </c:pt>
                <c:pt idx="164">
                  <c:v>6.3974430094747383</c:v>
                </c:pt>
                <c:pt idx="165">
                  <c:v>6.4099392610848636</c:v>
                </c:pt>
                <c:pt idx="166">
                  <c:v>6.3980006598090116</c:v>
                </c:pt>
                <c:pt idx="167">
                  <c:v>6.4071441666931053</c:v>
                </c:pt>
                <c:pt idx="168">
                  <c:v>6.4191778855816874</c:v>
                </c:pt>
                <c:pt idx="169">
                  <c:v>6.4011468453593166</c:v>
                </c:pt>
                <c:pt idx="170">
                  <c:v>6.4235331498973229</c:v>
                </c:pt>
                <c:pt idx="171">
                  <c:v>6.4221207532902378</c:v>
                </c:pt>
                <c:pt idx="172">
                  <c:v>6.397123682551312</c:v>
                </c:pt>
                <c:pt idx="173">
                  <c:v>6.3733105691376606</c:v>
                </c:pt>
                <c:pt idx="174">
                  <c:v>6.3893176133148399</c:v>
                </c:pt>
                <c:pt idx="175">
                  <c:v>6.4041980283917317</c:v>
                </c:pt>
                <c:pt idx="176">
                  <c:v>6.4051624144475561</c:v>
                </c:pt>
                <c:pt idx="177">
                  <c:v>6.4046681158105718</c:v>
                </c:pt>
                <c:pt idx="178">
                  <c:v>6.3880467960694016</c:v>
                </c:pt>
                <c:pt idx="179">
                  <c:v>6.3929623019219433</c:v>
                </c:pt>
                <c:pt idx="180">
                  <c:v>6.381862530372242</c:v>
                </c:pt>
                <c:pt idx="181">
                  <c:v>6.4021341430808656</c:v>
                </c:pt>
                <c:pt idx="182">
                  <c:v>6.4057268950712647</c:v>
                </c:pt>
                <c:pt idx="183">
                  <c:v>6.4121978712860672</c:v>
                </c:pt>
                <c:pt idx="184">
                  <c:v>6.4063339459731408</c:v>
                </c:pt>
                <c:pt idx="185">
                  <c:v>6.3863266765901825</c:v>
                </c:pt>
                <c:pt idx="186">
                  <c:v>6.3758988181197065</c:v>
                </c:pt>
                <c:pt idx="187">
                  <c:v>6.378378203849004</c:v>
                </c:pt>
                <c:pt idx="188">
                  <c:v>6.3560469524009191</c:v>
                </c:pt>
                <c:pt idx="189">
                  <c:v>6.3568477406587709</c:v>
                </c:pt>
                <c:pt idx="190">
                  <c:v>6.3575578166627045</c:v>
                </c:pt>
                <c:pt idx="191">
                  <c:v>6.353675569680953</c:v>
                </c:pt>
                <c:pt idx="192">
                  <c:v>6.3501957366621173</c:v>
                </c:pt>
                <c:pt idx="193">
                  <c:v>6.3579255094389735</c:v>
                </c:pt>
                <c:pt idx="194">
                  <c:v>6.3849612474465696</c:v>
                </c:pt>
                <c:pt idx="195">
                  <c:v>6.4007633180319097</c:v>
                </c:pt>
                <c:pt idx="196">
                  <c:v>6.4167140365957058</c:v>
                </c:pt>
                <c:pt idx="197">
                  <c:v>6.3997115800865689</c:v>
                </c:pt>
                <c:pt idx="198">
                  <c:v>6.4018809161531784</c:v>
                </c:pt>
                <c:pt idx="199">
                  <c:v>6.4215219188401873</c:v>
                </c:pt>
                <c:pt idx="200">
                  <c:v>6.4169207918293232</c:v>
                </c:pt>
                <c:pt idx="201">
                  <c:v>6.4206551845465736</c:v>
                </c:pt>
                <c:pt idx="202">
                  <c:v>6.4373581604817751</c:v>
                </c:pt>
                <c:pt idx="203">
                  <c:v>6.4321254073351932</c:v>
                </c:pt>
                <c:pt idx="204">
                  <c:v>6.4374824576496872</c:v>
                </c:pt>
                <c:pt idx="205">
                  <c:v>6.4243180676790628</c:v>
                </c:pt>
                <c:pt idx="206">
                  <c:v>6.4142944644482354</c:v>
                </c:pt>
                <c:pt idx="207">
                  <c:v>6.397953033011536</c:v>
                </c:pt>
                <c:pt idx="208">
                  <c:v>6.3967422392164721</c:v>
                </c:pt>
                <c:pt idx="209">
                  <c:v>6.3952677916532918</c:v>
                </c:pt>
                <c:pt idx="210">
                  <c:v>6.4068680992768146</c:v>
                </c:pt>
                <c:pt idx="211">
                  <c:v>6.3929437461937981</c:v>
                </c:pt>
                <c:pt idx="212">
                  <c:v>6.396608113453615</c:v>
                </c:pt>
                <c:pt idx="213">
                  <c:v>6.4030306653050904</c:v>
                </c:pt>
                <c:pt idx="214">
                  <c:v>6.3919870249488442</c:v>
                </c:pt>
                <c:pt idx="215">
                  <c:v>6.3947535943918901</c:v>
                </c:pt>
                <c:pt idx="216">
                  <c:v>6.376653020761224</c:v>
                </c:pt>
                <c:pt idx="217">
                  <c:v>6.3650871959436452</c:v>
                </c:pt>
                <c:pt idx="218">
                  <c:v>6.361663705665177</c:v>
                </c:pt>
                <c:pt idx="219">
                  <c:v>6.3639003326580577</c:v>
                </c:pt>
                <c:pt idx="220">
                  <c:v>6.35654739510833</c:v>
                </c:pt>
                <c:pt idx="221">
                  <c:v>6.3584986695918122</c:v>
                </c:pt>
                <c:pt idx="222">
                  <c:v>6.3706657594465694</c:v>
                </c:pt>
                <c:pt idx="223">
                  <c:v>6.387820043655795</c:v>
                </c:pt>
                <c:pt idx="224">
                  <c:v>6.3985107774310741</c:v>
                </c:pt>
                <c:pt idx="225">
                  <c:v>6.4136559619794467</c:v>
                </c:pt>
                <c:pt idx="226">
                  <c:v>6.4067057340896962</c:v>
                </c:pt>
                <c:pt idx="227">
                  <c:v>6.4116775867220452</c:v>
                </c:pt>
                <c:pt idx="228">
                  <c:v>6.4158136759707798</c:v>
                </c:pt>
                <c:pt idx="229">
                  <c:v>6.4269768557715174</c:v>
                </c:pt>
                <c:pt idx="230">
                  <c:v>6.4293416690412775</c:v>
                </c:pt>
                <c:pt idx="231">
                  <c:v>6.4352427416174427</c:v>
                </c:pt>
                <c:pt idx="232">
                  <c:v>6.4348104809692375</c:v>
                </c:pt>
                <c:pt idx="233">
                  <c:v>6.4549220598453809</c:v>
                </c:pt>
                <c:pt idx="234">
                  <c:v>6.4648427873903227</c:v>
                </c:pt>
                <c:pt idx="235">
                  <c:v>6.4629244011218452</c:v>
                </c:pt>
                <c:pt idx="236">
                  <c:v>6.4405910716574937</c:v>
                </c:pt>
                <c:pt idx="237">
                  <c:v>6.4346262000644652</c:v>
                </c:pt>
                <c:pt idx="238">
                  <c:v>6.4121698463977683</c:v>
                </c:pt>
                <c:pt idx="239">
                  <c:v>6.4115193674985944</c:v>
                </c:pt>
                <c:pt idx="240">
                  <c:v>6.4280417079203236</c:v>
                </c:pt>
                <c:pt idx="241">
                  <c:v>6.4394283394335803</c:v>
                </c:pt>
                <c:pt idx="242">
                  <c:v>6.4481560777350957</c:v>
                </c:pt>
                <c:pt idx="243">
                  <c:v>6.4257683726161696</c:v>
                </c:pt>
                <c:pt idx="244">
                  <c:v>6.4154571379438394</c:v>
                </c:pt>
                <c:pt idx="245">
                  <c:v>6.4023215621863256</c:v>
                </c:pt>
                <c:pt idx="246">
                  <c:v>6.4200103700895674</c:v>
                </c:pt>
                <c:pt idx="247">
                  <c:v>6.421331028749556</c:v>
                </c:pt>
                <c:pt idx="248">
                  <c:v>6.4332976447096444</c:v>
                </c:pt>
                <c:pt idx="249">
                  <c:v>6.4279150060703101</c:v>
                </c:pt>
                <c:pt idx="250">
                  <c:v>6.4270529442915514</c:v>
                </c:pt>
                <c:pt idx="251">
                  <c:v>6.439047110058393</c:v>
                </c:pt>
                <c:pt idx="252">
                  <c:v>6.4260709040781769</c:v>
                </c:pt>
                <c:pt idx="253">
                  <c:v>6.4411646091364547</c:v>
                </c:pt>
                <c:pt idx="254">
                  <c:v>6.4433396283201638</c:v>
                </c:pt>
                <c:pt idx="255">
                  <c:v>6.4370796984784446</c:v>
                </c:pt>
                <c:pt idx="256">
                  <c:v>6.441167203455862</c:v>
                </c:pt>
                <c:pt idx="257">
                  <c:v>6.4392903427245356</c:v>
                </c:pt>
                <c:pt idx="258">
                  <c:v>6.4334044858765376</c:v>
                </c:pt>
                <c:pt idx="259">
                  <c:v>6.4193042591014917</c:v>
                </c:pt>
                <c:pt idx="260">
                  <c:v>6.4239100438659209</c:v>
                </c:pt>
                <c:pt idx="261">
                  <c:v>6.4354831184795591</c:v>
                </c:pt>
                <c:pt idx="262">
                  <c:v>6.4298470830138008</c:v>
                </c:pt>
                <c:pt idx="263">
                  <c:v>6.4310198271172911</c:v>
                </c:pt>
                <c:pt idx="264">
                  <c:v>6.436020348586295</c:v>
                </c:pt>
                <c:pt idx="265">
                  <c:v>6.4375353498413466</c:v>
                </c:pt>
                <c:pt idx="266">
                  <c:v>6.4371265304280687</c:v>
                </c:pt>
                <c:pt idx="267">
                  <c:v>6.4187478268293301</c:v>
                </c:pt>
                <c:pt idx="268">
                  <c:v>6.4151214427454253</c:v>
                </c:pt>
                <c:pt idx="269">
                  <c:v>6.4115508256959917</c:v>
                </c:pt>
                <c:pt idx="270">
                  <c:v>6.4082381702520808</c:v>
                </c:pt>
                <c:pt idx="271">
                  <c:v>6.4205397048659405</c:v>
                </c:pt>
                <c:pt idx="272">
                  <c:v>6.3994095503792385</c:v>
                </c:pt>
                <c:pt idx="273">
                  <c:v>6.3950176682501292</c:v>
                </c:pt>
                <c:pt idx="274">
                  <c:v>6.4022085518066438</c:v>
                </c:pt>
                <c:pt idx="275">
                  <c:v>6.4218337933320493</c:v>
                </c:pt>
                <c:pt idx="276">
                  <c:v>6.4279387639807499</c:v>
                </c:pt>
                <c:pt idx="277">
                  <c:v>6.4287092154427121</c:v>
                </c:pt>
                <c:pt idx="278">
                  <c:v>6.4119122478902613</c:v>
                </c:pt>
                <c:pt idx="279">
                  <c:v>6.4074431818045703</c:v>
                </c:pt>
                <c:pt idx="280">
                  <c:v>6.4174686409978721</c:v>
                </c:pt>
                <c:pt idx="281">
                  <c:v>6.4021397898726544</c:v>
                </c:pt>
                <c:pt idx="282">
                  <c:v>6.3954366353747814</c:v>
                </c:pt>
                <c:pt idx="283">
                  <c:v>6.3947957699623084</c:v>
                </c:pt>
                <c:pt idx="284">
                  <c:v>6.4034288125754903</c:v>
                </c:pt>
                <c:pt idx="285">
                  <c:v>6.414499636271433</c:v>
                </c:pt>
                <c:pt idx="286">
                  <c:v>6.4084135587926943</c:v>
                </c:pt>
                <c:pt idx="287">
                  <c:v>6.3999453037865432</c:v>
                </c:pt>
                <c:pt idx="288">
                  <c:v>6.3979648077819835</c:v>
                </c:pt>
                <c:pt idx="289">
                  <c:v>6.4135139277985465</c:v>
                </c:pt>
                <c:pt idx="290">
                  <c:v>6.4227316782574881</c:v>
                </c:pt>
                <c:pt idx="291">
                  <c:v>6.4247245584749058</c:v>
                </c:pt>
                <c:pt idx="292">
                  <c:v>6.4275879546030454</c:v>
                </c:pt>
                <c:pt idx="293">
                  <c:v>6.4314180766547331</c:v>
                </c:pt>
                <c:pt idx="294">
                  <c:v>6.4234979493410407</c:v>
                </c:pt>
                <c:pt idx="295">
                  <c:v>6.439862228418912</c:v>
                </c:pt>
                <c:pt idx="296">
                  <c:v>6.444323246028528</c:v>
                </c:pt>
                <c:pt idx="297">
                  <c:v>6.4407714320785807</c:v>
                </c:pt>
                <c:pt idx="298">
                  <c:v>6.4360778480876739</c:v>
                </c:pt>
                <c:pt idx="299">
                  <c:v>6.4368408562446113</c:v>
                </c:pt>
                <c:pt idx="300">
                  <c:v>6.4291348255029401</c:v>
                </c:pt>
                <c:pt idx="301">
                  <c:v>6.4389244283592131</c:v>
                </c:pt>
                <c:pt idx="302">
                  <c:v>6.4478182538224864</c:v>
                </c:pt>
                <c:pt idx="303">
                  <c:v>6.4363928902833054</c:v>
                </c:pt>
                <c:pt idx="304">
                  <c:v>6.4280023992839217</c:v>
                </c:pt>
                <c:pt idx="305">
                  <c:v>6.4359473132805229</c:v>
                </c:pt>
                <c:pt idx="306">
                  <c:v>6.4265027065816778</c:v>
                </c:pt>
                <c:pt idx="307">
                  <c:v>6.424046994585014</c:v>
                </c:pt>
                <c:pt idx="308">
                  <c:v>6.4129925859925612</c:v>
                </c:pt>
                <c:pt idx="309">
                  <c:v>6.3954303008813262</c:v>
                </c:pt>
                <c:pt idx="310">
                  <c:v>6.3846589427878291</c:v>
                </c:pt>
                <c:pt idx="311">
                  <c:v>6.3807828340665305</c:v>
                </c:pt>
                <c:pt idx="312">
                  <c:v>6.3829291862902755</c:v>
                </c:pt>
                <c:pt idx="313">
                  <c:v>6.3690080192541956</c:v>
                </c:pt>
                <c:pt idx="314">
                  <c:v>6.3564714876829482</c:v>
                </c:pt>
                <c:pt idx="315">
                  <c:v>6.355078562951733</c:v>
                </c:pt>
                <c:pt idx="316">
                  <c:v>6.3405533321891001</c:v>
                </c:pt>
                <c:pt idx="317">
                  <c:v>6.3457892167452483</c:v>
                </c:pt>
                <c:pt idx="318">
                  <c:v>6.3610669343219115</c:v>
                </c:pt>
                <c:pt idx="319">
                  <c:v>6.3716920331167914</c:v>
                </c:pt>
                <c:pt idx="320">
                  <c:v>6.3799080028973805</c:v>
                </c:pt>
                <c:pt idx="321">
                  <c:v>6.3831653650413545</c:v>
                </c:pt>
                <c:pt idx="322">
                  <c:v>6.3806037969517</c:v>
                </c:pt>
                <c:pt idx="323">
                  <c:v>6.3936342843119292</c:v>
                </c:pt>
                <c:pt idx="324">
                  <c:v>6.4002553763145542</c:v>
                </c:pt>
                <c:pt idx="325">
                  <c:v>6.39664559581764</c:v>
                </c:pt>
                <c:pt idx="326">
                  <c:v>6.3979658046638326</c:v>
                </c:pt>
                <c:pt idx="327">
                  <c:v>6.3914774131494445</c:v>
                </c:pt>
                <c:pt idx="328">
                  <c:v>6.3884315011787747</c:v>
                </c:pt>
                <c:pt idx="329">
                  <c:v>6.3874304670910176</c:v>
                </c:pt>
                <c:pt idx="330">
                  <c:v>6.3863717822378527</c:v>
                </c:pt>
                <c:pt idx="331">
                  <c:v>6.3893927380263431</c:v>
                </c:pt>
                <c:pt idx="332">
                  <c:v>6.3723629445611092</c:v>
                </c:pt>
                <c:pt idx="333">
                  <c:v>6.3890109494662237</c:v>
                </c:pt>
                <c:pt idx="334">
                  <c:v>6.3905266481327265</c:v>
                </c:pt>
                <c:pt idx="335">
                  <c:v>6.4063858638686</c:v>
                </c:pt>
                <c:pt idx="336">
                  <c:v>6.4098411929626264</c:v>
                </c:pt>
                <c:pt idx="337">
                  <c:v>6.4178627589636932</c:v>
                </c:pt>
                <c:pt idx="338">
                  <c:v>6.4231117922978109</c:v>
                </c:pt>
                <c:pt idx="339">
                  <c:v>6.4346708673863731</c:v>
                </c:pt>
                <c:pt idx="340">
                  <c:v>6.4492069064189881</c:v>
                </c:pt>
                <c:pt idx="341">
                  <c:v>6.445725049210159</c:v>
                </c:pt>
                <c:pt idx="342">
                  <c:v>6.4325796497543264</c:v>
                </c:pt>
                <c:pt idx="343">
                  <c:v>6.4284867845631775</c:v>
                </c:pt>
                <c:pt idx="344">
                  <c:v>6.4387910928542365</c:v>
                </c:pt>
                <c:pt idx="345">
                  <c:v>6.4495099663733972</c:v>
                </c:pt>
                <c:pt idx="346">
                  <c:v>6.4364335389475418</c:v>
                </c:pt>
                <c:pt idx="347">
                  <c:v>6.4351697049707601</c:v>
                </c:pt>
                <c:pt idx="348">
                  <c:v>6.435969587545082</c:v>
                </c:pt>
                <c:pt idx="349">
                  <c:v>6.4410343923216375</c:v>
                </c:pt>
                <c:pt idx="350">
                  <c:v>6.4444939042377509</c:v>
                </c:pt>
                <c:pt idx="351">
                  <c:v>6.4416829643596989</c:v>
                </c:pt>
                <c:pt idx="352">
                  <c:v>6.4340592387570013</c:v>
                </c:pt>
                <c:pt idx="353">
                  <c:v>6.4413614428535224</c:v>
                </c:pt>
                <c:pt idx="354">
                  <c:v>6.4522499852414281</c:v>
                </c:pt>
                <c:pt idx="355">
                  <c:v>6.4589095118876596</c:v>
                </c:pt>
                <c:pt idx="356">
                  <c:v>6.4725677763083587</c:v>
                </c:pt>
                <c:pt idx="357">
                  <c:v>6.4812224708720754</c:v>
                </c:pt>
                <c:pt idx="358">
                  <c:v>6.4924601538702893</c:v>
                </c:pt>
                <c:pt idx="359">
                  <c:v>6.4958556774052632</c:v>
                </c:pt>
                <c:pt idx="360">
                  <c:v>6.4878453966710508</c:v>
                </c:pt>
                <c:pt idx="361">
                  <c:v>6.494582745708513</c:v>
                </c:pt>
                <c:pt idx="362">
                  <c:v>6.4984869251193285</c:v>
                </c:pt>
                <c:pt idx="363">
                  <c:v>6.4907275141845711</c:v>
                </c:pt>
                <c:pt idx="364">
                  <c:v>6.4798882891239984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D9-4768-9757-9E82E1188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8557864"/>
        <c:axId val="628549224"/>
      </c:lineChart>
      <c:catAx>
        <c:axId val="628557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8549224"/>
        <c:crosses val="autoZero"/>
        <c:auto val="1"/>
        <c:lblAlgn val="ctr"/>
        <c:lblOffset val="100"/>
        <c:noMultiLvlLbl val="0"/>
      </c:catAx>
      <c:valAx>
        <c:axId val="628549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8557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238124</xdr:colOff>
      <xdr:row>14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119B56F-B668-461A-B1EB-E2EDA8C3E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B6C90-7199-4BEF-AD82-463A111E9311}">
  <dimension ref="A1:F370"/>
  <sheetViews>
    <sheetView workbookViewId="0">
      <selection activeCell="D2" sqref="D2"/>
    </sheetView>
  </sheetViews>
  <sheetFormatPr defaultRowHeight="15" x14ac:dyDescent="0.25"/>
  <cols>
    <col min="1" max="1" width="11.7109375" customWidth="1"/>
    <col min="2" max="3" width="12" bestFit="1" customWidth="1"/>
    <col min="4" max="4" width="10.5703125" bestFit="1" customWidth="1"/>
    <col min="5" max="5" width="25.28515625" customWidth="1"/>
    <col min="6" max="6" width="18.7109375" customWidth="1"/>
  </cols>
  <sheetData>
    <row r="1" spans="1:6" x14ac:dyDescent="0.25">
      <c r="A1" s="3" t="s">
        <v>0</v>
      </c>
      <c r="B1" s="5" t="s">
        <v>1</v>
      </c>
      <c r="C1" s="5" t="s">
        <v>10</v>
      </c>
      <c r="D1" s="5">
        <v>10</v>
      </c>
    </row>
    <row r="2" spans="1:6" x14ac:dyDescent="0.25">
      <c r="A2" s="3"/>
      <c r="B2" s="5" t="s">
        <v>2</v>
      </c>
      <c r="C2" s="5" t="s">
        <v>11</v>
      </c>
      <c r="D2" s="5">
        <v>15</v>
      </c>
    </row>
    <row r="3" spans="1:6" x14ac:dyDescent="0.25">
      <c r="A3" s="4" t="s">
        <v>3</v>
      </c>
      <c r="B3" s="4"/>
      <c r="C3" s="5" t="s">
        <v>12</v>
      </c>
      <c r="D3" s="5">
        <v>365</v>
      </c>
    </row>
    <row r="5" spans="1:6" ht="42" customHeight="1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x14ac:dyDescent="0.25">
      <c r="A6" s="1">
        <v>1</v>
      </c>
      <c r="B6" s="1">
        <f ca="1">RAND()*$D$1</f>
        <v>7.1679057735351668</v>
      </c>
      <c r="C6" s="1">
        <f ca="1">RAND()*$D$2</f>
        <v>12.692198145039727</v>
      </c>
      <c r="D6" s="1">
        <f ca="1">MIN(B6:C6)</f>
        <v>7.1679057735351668</v>
      </c>
      <c r="E6" s="1">
        <f ca="1">SUM($B$6:C6)/(2*A6)</f>
        <v>9.9300519592874466</v>
      </c>
      <c r="F6" s="1">
        <f ca="1">SUM($E$6:E6)/A6</f>
        <v>9.9300519592874466</v>
      </c>
    </row>
    <row r="7" spans="1:6" x14ac:dyDescent="0.25">
      <c r="A7" s="1">
        <v>2</v>
      </c>
      <c r="B7" s="1">
        <f t="shared" ref="B7:B70" ca="1" si="0">RAND()*$D$1</f>
        <v>8.2338302017074838</v>
      </c>
      <c r="C7" s="1">
        <f t="shared" ref="C7:C70" ca="1" si="1">RAND()*$D$2</f>
        <v>6.0257570624184496</v>
      </c>
      <c r="D7" s="1">
        <f t="shared" ref="D7:D70" ca="1" si="2">MIN(B7:C7)</f>
        <v>6.0257570624184496</v>
      </c>
      <c r="E7" s="1">
        <f ca="1">SUM($B$6:C7)/(2*A7)</f>
        <v>8.5299227956752066</v>
      </c>
      <c r="F7" s="1">
        <f ca="1">SUM($E$6:E7)/A7</f>
        <v>9.2299873774813257</v>
      </c>
    </row>
    <row r="8" spans="1:6" x14ac:dyDescent="0.25">
      <c r="A8" s="1">
        <v>3</v>
      </c>
      <c r="B8" s="1">
        <f t="shared" ca="1" si="0"/>
        <v>4.2861333470887146</v>
      </c>
      <c r="C8" s="1">
        <f t="shared" ca="1" si="1"/>
        <v>5.0805914718924408</v>
      </c>
      <c r="D8" s="1">
        <f t="shared" ca="1" si="2"/>
        <v>4.2861333470887146</v>
      </c>
      <c r="E8" s="1">
        <f ca="1">SUM($B$6:C8)/(2*A8)</f>
        <v>7.2477360002803302</v>
      </c>
      <c r="F8" s="1">
        <f ca="1">SUM($E$6:E8)/A8</f>
        <v>8.5692369184143278</v>
      </c>
    </row>
    <row r="9" spans="1:6" x14ac:dyDescent="0.25">
      <c r="A9" s="1">
        <v>4</v>
      </c>
      <c r="B9" s="1">
        <f t="shared" ca="1" si="0"/>
        <v>0.80171322685845814</v>
      </c>
      <c r="C9" s="1">
        <f t="shared" ca="1" si="1"/>
        <v>13.069929486270503</v>
      </c>
      <c r="D9" s="1">
        <f t="shared" ca="1" si="2"/>
        <v>0.80171322685845814</v>
      </c>
      <c r="E9" s="1">
        <f ca="1">SUM($B$6:C9)/(2*A9)</f>
        <v>7.1697573393513681</v>
      </c>
      <c r="F9" s="1">
        <f ca="1">SUM($E$6:E9)/A9</f>
        <v>8.2193670236485872</v>
      </c>
    </row>
    <row r="10" spans="1:6" x14ac:dyDescent="0.25">
      <c r="A10" s="1">
        <v>5</v>
      </c>
      <c r="B10" s="1">
        <f t="shared" ca="1" si="0"/>
        <v>5.9637156117329573</v>
      </c>
      <c r="C10" s="1">
        <f t="shared" ca="1" si="1"/>
        <v>11.370577900545012</v>
      </c>
      <c r="D10" s="1">
        <f t="shared" ca="1" si="2"/>
        <v>5.9637156117329573</v>
      </c>
      <c r="E10" s="1">
        <f ca="1">SUM($B$6:C10)/(2*A10)</f>
        <v>7.4692352227088916</v>
      </c>
      <c r="F10" s="1">
        <f ca="1">SUM($E$6:E10)/A10</f>
        <v>8.0693406634606468</v>
      </c>
    </row>
    <row r="11" spans="1:6" x14ac:dyDescent="0.25">
      <c r="A11" s="1">
        <v>6</v>
      </c>
      <c r="B11" s="1">
        <f t="shared" ca="1" si="0"/>
        <v>9.6153063450032672</v>
      </c>
      <c r="C11" s="1">
        <f t="shared" ca="1" si="1"/>
        <v>7.4273763439108444</v>
      </c>
      <c r="D11" s="1">
        <f t="shared" ca="1" si="2"/>
        <v>7.4273763439108444</v>
      </c>
      <c r="E11" s="1">
        <f ca="1">SUM($B$6:C11)/(2*A11)</f>
        <v>7.6445862430002522</v>
      </c>
      <c r="F11" s="1">
        <f ca="1">SUM($E$6:E11)/A11</f>
        <v>7.9985482600505824</v>
      </c>
    </row>
    <row r="12" spans="1:6" x14ac:dyDescent="0.25">
      <c r="A12" s="1">
        <v>7</v>
      </c>
      <c r="B12" s="1">
        <f t="shared" ca="1" si="0"/>
        <v>8.0180912419073209</v>
      </c>
      <c r="C12" s="1">
        <f t="shared" ca="1" si="1"/>
        <v>1.7031937834990414</v>
      </c>
      <c r="D12" s="1">
        <f t="shared" ca="1" si="2"/>
        <v>1.7031937834990414</v>
      </c>
      <c r="E12" s="1">
        <f ca="1">SUM($B$6:C12)/(2*A12)</f>
        <v>7.2468799958149566</v>
      </c>
      <c r="F12" s="1">
        <f ca="1">SUM($E$6:E12)/A12</f>
        <v>7.8911670794454931</v>
      </c>
    </row>
    <row r="13" spans="1:6" x14ac:dyDescent="0.25">
      <c r="A13" s="1">
        <v>8</v>
      </c>
      <c r="B13" s="1">
        <f t="shared" ca="1" si="0"/>
        <v>1.6557202977639773</v>
      </c>
      <c r="C13" s="1">
        <f t="shared" ca="1" si="1"/>
        <v>9.0490139794404083</v>
      </c>
      <c r="D13" s="1">
        <f t="shared" ca="1" si="2"/>
        <v>1.6557202977639773</v>
      </c>
      <c r="E13" s="1">
        <f ca="1">SUM($B$6:C13)/(2*A13)</f>
        <v>7.0100658886633607</v>
      </c>
      <c r="F13" s="1">
        <f ca="1">SUM($E$6:E13)/A13</f>
        <v>7.7810294305977266</v>
      </c>
    </row>
    <row r="14" spans="1:6" x14ac:dyDescent="0.25">
      <c r="A14" s="1">
        <v>9</v>
      </c>
      <c r="B14" s="1">
        <f t="shared" ca="1" si="0"/>
        <v>7.0495142604602563</v>
      </c>
      <c r="C14" s="1">
        <f t="shared" ca="1" si="1"/>
        <v>1.0682148702770982</v>
      </c>
      <c r="D14" s="1">
        <f t="shared" ca="1" si="2"/>
        <v>1.0682148702770982</v>
      </c>
      <c r="E14" s="1">
        <f ca="1">SUM($B$6:C14)/(2*A14)</f>
        <v>6.6821546305195074</v>
      </c>
      <c r="F14" s="1">
        <f ca="1">SUM($E$6:E14)/A14</f>
        <v>7.6589322305890351</v>
      </c>
    </row>
    <row r="15" spans="1:6" x14ac:dyDescent="0.25">
      <c r="A15" s="1">
        <v>10</v>
      </c>
      <c r="B15" s="1">
        <f t="shared" ca="1" si="0"/>
        <v>5.4104199687114827</v>
      </c>
      <c r="C15" s="1">
        <f t="shared" ca="1" si="1"/>
        <v>10.666260398263777</v>
      </c>
      <c r="D15" s="1">
        <f t="shared" ca="1" si="2"/>
        <v>5.4104199687114827</v>
      </c>
      <c r="E15" s="1">
        <f ca="1">SUM($B$6:C15)/(2*A15)</f>
        <v>6.8177731858163195</v>
      </c>
      <c r="F15" s="1">
        <f ca="1">SUM($E$6:E15)/A15</f>
        <v>7.5748163261117636</v>
      </c>
    </row>
    <row r="16" spans="1:6" x14ac:dyDescent="0.25">
      <c r="A16" s="1">
        <v>11</v>
      </c>
      <c r="B16" s="1">
        <f t="shared" ca="1" si="0"/>
        <v>1.4406235578755966</v>
      </c>
      <c r="C16" s="1">
        <f t="shared" ca="1" si="1"/>
        <v>13.407746083597189</v>
      </c>
      <c r="D16" s="1">
        <f t="shared" ca="1" si="2"/>
        <v>1.4406235578755966</v>
      </c>
      <c r="E16" s="1">
        <f ca="1">SUM($B$6:C16)/(2*A16)</f>
        <v>6.8729015162635987</v>
      </c>
      <c r="F16" s="1">
        <f ca="1">SUM($E$6:E16)/A16</f>
        <v>7.5110058888528393</v>
      </c>
    </row>
    <row r="17" spans="1:6" x14ac:dyDescent="0.25">
      <c r="A17" s="1">
        <v>12</v>
      </c>
      <c r="B17" s="1">
        <f t="shared" ca="1" si="0"/>
        <v>2.9442677413441434</v>
      </c>
      <c r="C17" s="1">
        <f t="shared" ca="1" si="1"/>
        <v>5.7945337599197231</v>
      </c>
      <c r="D17" s="1">
        <f t="shared" ca="1" si="2"/>
        <v>2.9442677413441434</v>
      </c>
      <c r="E17" s="1">
        <f ca="1">SUM($B$6:C17)/(2*A17)</f>
        <v>6.6642764524609595</v>
      </c>
      <c r="F17" s="1">
        <f ca="1">SUM($E$6:E17)/A17</f>
        <v>7.4404451024868488</v>
      </c>
    </row>
    <row r="18" spans="1:6" x14ac:dyDescent="0.25">
      <c r="A18" s="1">
        <v>13</v>
      </c>
      <c r="B18" s="1">
        <f t="shared" ca="1" si="0"/>
        <v>0.4412813685869954</v>
      </c>
      <c r="C18" s="1">
        <f t="shared" ca="1" si="1"/>
        <v>9.5919291766453263</v>
      </c>
      <c r="D18" s="1">
        <f t="shared" ca="1" si="2"/>
        <v>0.4412813685869954</v>
      </c>
      <c r="E18" s="1">
        <f ca="1">SUM($B$6:C18)/(2*A18)</f>
        <v>6.5375325155498212</v>
      </c>
      <c r="F18" s="1">
        <f ca="1">SUM($E$6:E18)/A18</f>
        <v>7.3709902881070786</v>
      </c>
    </row>
    <row r="19" spans="1:6" x14ac:dyDescent="0.25">
      <c r="A19" s="1">
        <v>14</v>
      </c>
      <c r="B19" s="1">
        <f t="shared" ca="1" si="0"/>
        <v>3.0069074843136634</v>
      </c>
      <c r="C19" s="1">
        <f t="shared" ca="1" si="1"/>
        <v>13.645817794800827</v>
      </c>
      <c r="D19" s="1">
        <f t="shared" ca="1" si="2"/>
        <v>3.0069074843136634</v>
      </c>
      <c r="E19" s="1">
        <f ca="1">SUM($B$6:C19)/(2*A19)</f>
        <v>6.6653060958360655</v>
      </c>
      <c r="F19" s="1">
        <f ca="1">SUM($E$6:E19)/A19</f>
        <v>7.3205842743734353</v>
      </c>
    </row>
    <row r="20" spans="1:6" x14ac:dyDescent="0.25">
      <c r="A20" s="1">
        <v>15</v>
      </c>
      <c r="B20" s="1">
        <f t="shared" ca="1" si="0"/>
        <v>9.3903646130629745</v>
      </c>
      <c r="C20" s="1">
        <f t="shared" ca="1" si="1"/>
        <v>8.3065456487452103</v>
      </c>
      <c r="D20" s="1">
        <f t="shared" ca="1" si="2"/>
        <v>8.3065456487452103</v>
      </c>
      <c r="E20" s="1">
        <f ca="1">SUM($B$6:C20)/(2*A20)</f>
        <v>6.8108493648406014</v>
      </c>
      <c r="F20" s="1">
        <f ca="1">SUM($E$6:E20)/A20</f>
        <v>7.2866019470712464</v>
      </c>
    </row>
    <row r="21" spans="1:6" x14ac:dyDescent="0.25">
      <c r="A21" s="1">
        <v>16</v>
      </c>
      <c r="B21" s="1">
        <f t="shared" ca="1" si="0"/>
        <v>9.9561210345729467</v>
      </c>
      <c r="C21" s="1">
        <f t="shared" ca="1" si="1"/>
        <v>5.640974804532811</v>
      </c>
      <c r="D21" s="1">
        <f t="shared" ca="1" si="2"/>
        <v>5.640974804532811</v>
      </c>
      <c r="E21" s="1">
        <f ca="1">SUM($B$6:C21)/(2*A21)</f>
        <v>6.872580524510119</v>
      </c>
      <c r="F21" s="1">
        <f ca="1">SUM($E$6:E21)/A21</f>
        <v>7.2607256081611755</v>
      </c>
    </row>
    <row r="22" spans="1:6" x14ac:dyDescent="0.25">
      <c r="A22" s="1">
        <v>17</v>
      </c>
      <c r="B22" s="1">
        <f t="shared" ca="1" si="0"/>
        <v>1.5010399165570254</v>
      </c>
      <c r="C22" s="1">
        <f t="shared" ca="1" si="1"/>
        <v>11.354832869559594</v>
      </c>
      <c r="D22" s="1">
        <f t="shared" ca="1" si="2"/>
        <v>1.5010399165570254</v>
      </c>
      <c r="E22" s="1">
        <f ca="1">SUM($B$6:C22)/(2*A22)</f>
        <v>6.8464249873658956</v>
      </c>
      <c r="F22" s="1">
        <f ca="1">SUM($E$6:E22)/A22</f>
        <v>7.2363549834085115</v>
      </c>
    </row>
    <row r="23" spans="1:6" x14ac:dyDescent="0.25">
      <c r="A23" s="1">
        <v>18</v>
      </c>
      <c r="B23" s="1">
        <f t="shared" ca="1" si="0"/>
        <v>8.0348997068330288</v>
      </c>
      <c r="C23" s="1">
        <f t="shared" ca="1" si="1"/>
        <v>7.8392304070839547</v>
      </c>
      <c r="D23" s="1">
        <f t="shared" ca="1" si="2"/>
        <v>7.8392304070839547</v>
      </c>
      <c r="E23" s="1">
        <f ca="1">SUM($B$6:C23)/(2*A23)</f>
        <v>6.9070161023432615</v>
      </c>
      <c r="F23" s="1">
        <f ca="1">SUM($E$6:E23)/A23</f>
        <v>7.2180583789048871</v>
      </c>
    </row>
    <row r="24" spans="1:6" x14ac:dyDescent="0.25">
      <c r="A24" s="1">
        <v>19</v>
      </c>
      <c r="B24" s="1">
        <f t="shared" ca="1" si="0"/>
        <v>3.5106777848778292</v>
      </c>
      <c r="C24" s="1">
        <f t="shared" ca="1" si="1"/>
        <v>1.285232882943308</v>
      </c>
      <c r="D24" s="1">
        <f t="shared" ca="1" si="2"/>
        <v>1.285232882943308</v>
      </c>
      <c r="E24" s="1">
        <f ca="1">SUM($B$6:C24)/(2*A24)</f>
        <v>6.6696971145310151</v>
      </c>
      <c r="F24" s="1">
        <f ca="1">SUM($E$6:E24)/A24</f>
        <v>7.1891972597273144</v>
      </c>
    </row>
    <row r="25" spans="1:6" x14ac:dyDescent="0.25">
      <c r="A25" s="1">
        <v>20</v>
      </c>
      <c r="B25" s="1">
        <f t="shared" ca="1" si="0"/>
        <v>1.9613547889476213</v>
      </c>
      <c r="C25" s="1">
        <f t="shared" ca="1" si="1"/>
        <v>12.596066411309826</v>
      </c>
      <c r="D25" s="1">
        <f t="shared" ca="1" si="2"/>
        <v>1.9613547889476213</v>
      </c>
      <c r="E25" s="1">
        <f ca="1">SUM($B$6:C25)/(2*A25)</f>
        <v>6.7001477888109005</v>
      </c>
      <c r="F25" s="1">
        <f ca="1">SUM($E$6:E25)/A25</f>
        <v>7.1647447861814939</v>
      </c>
    </row>
    <row r="26" spans="1:6" x14ac:dyDescent="0.25">
      <c r="A26" s="1">
        <v>21</v>
      </c>
      <c r="B26" s="1">
        <f t="shared" ca="1" si="0"/>
        <v>4.2672283639573125</v>
      </c>
      <c r="C26" s="1">
        <f t="shared" ca="1" si="1"/>
        <v>13.326805571359415</v>
      </c>
      <c r="D26" s="1">
        <f t="shared" ca="1" si="2"/>
        <v>4.2672283639573125</v>
      </c>
      <c r="E26" s="1">
        <f ca="1">SUM($B$6:C26)/(2*A26)</f>
        <v>6.7999987020893506</v>
      </c>
      <c r="F26" s="1">
        <f ca="1">SUM($E$6:E26)/A26</f>
        <v>7.1473759250342486</v>
      </c>
    </row>
    <row r="27" spans="1:6" x14ac:dyDescent="0.25">
      <c r="A27" s="1">
        <v>22</v>
      </c>
      <c r="B27" s="1">
        <f t="shared" ca="1" si="0"/>
        <v>8.2944118698731621</v>
      </c>
      <c r="C27" s="1">
        <f t="shared" ca="1" si="1"/>
        <v>6.6693825995826543</v>
      </c>
      <c r="D27" s="1">
        <f t="shared" ca="1" si="2"/>
        <v>6.6693825995826543</v>
      </c>
      <c r="E27" s="1">
        <f ca="1">SUM($B$6:C27)/(2*A27)</f>
        <v>6.8309940899365582</v>
      </c>
      <c r="F27" s="1">
        <f ca="1">SUM($E$6:E27)/A27</f>
        <v>7.1329949325298081</v>
      </c>
    </row>
    <row r="28" spans="1:6" x14ac:dyDescent="0.25">
      <c r="A28" s="1">
        <v>23</v>
      </c>
      <c r="B28" s="1">
        <f t="shared" ca="1" si="0"/>
        <v>8.6892343898395001</v>
      </c>
      <c r="C28" s="1">
        <f t="shared" ca="1" si="1"/>
        <v>0.44772729487332519</v>
      </c>
      <c r="D28" s="1">
        <f t="shared" ca="1" si="2"/>
        <v>0.44772729487332519</v>
      </c>
      <c r="E28" s="1">
        <f ca="1">SUM($B$6:C28)/(2*A28)</f>
        <v>6.7326239487374213</v>
      </c>
      <c r="F28" s="1">
        <f ca="1">SUM($E$6:E28)/A28</f>
        <v>7.1155874984518785</v>
      </c>
    </row>
    <row r="29" spans="1:6" x14ac:dyDescent="0.25">
      <c r="A29" s="1">
        <v>24</v>
      </c>
      <c r="B29" s="1">
        <f t="shared" ca="1" si="0"/>
        <v>8.6640415861507059</v>
      </c>
      <c r="C29" s="1">
        <f t="shared" ca="1" si="1"/>
        <v>5.4867041161461936</v>
      </c>
      <c r="D29" s="1">
        <f t="shared" ca="1" si="2"/>
        <v>5.4867041161461936</v>
      </c>
      <c r="E29" s="1">
        <f ca="1">SUM($B$6:C29)/(2*A29)</f>
        <v>6.7469051530045476</v>
      </c>
      <c r="F29" s="1">
        <f ca="1">SUM($E$6:E29)/A29</f>
        <v>7.1002257340582391</v>
      </c>
    </row>
    <row r="30" spans="1:6" x14ac:dyDescent="0.25">
      <c r="A30" s="1">
        <v>25</v>
      </c>
      <c r="B30" s="1">
        <f t="shared" ca="1" si="0"/>
        <v>5.6037169292927693</v>
      </c>
      <c r="C30" s="1">
        <f t="shared" ca="1" si="1"/>
        <v>6.2628662906703045</v>
      </c>
      <c r="D30" s="1">
        <f t="shared" ca="1" si="2"/>
        <v>5.6037169292927693</v>
      </c>
      <c r="E30" s="1">
        <f ca="1">SUM($B$6:C30)/(2*A30)</f>
        <v>6.7143606112836274</v>
      </c>
      <c r="F30" s="1">
        <f ca="1">SUM($E$6:E30)/A30</f>
        <v>7.0847911291472556</v>
      </c>
    </row>
    <row r="31" spans="1:6" x14ac:dyDescent="0.25">
      <c r="A31" s="1">
        <v>26</v>
      </c>
      <c r="B31" s="1">
        <f t="shared" ca="1" si="0"/>
        <v>0.27821416614045913</v>
      </c>
      <c r="C31" s="1">
        <f t="shared" ca="1" si="1"/>
        <v>12.1271443806306</v>
      </c>
      <c r="D31" s="1">
        <f t="shared" ca="1" si="2"/>
        <v>0.27821416614045913</v>
      </c>
      <c r="E31" s="1">
        <f ca="1">SUM($B$6:C31)/(2*A31)</f>
        <v>6.6946805598260095</v>
      </c>
      <c r="F31" s="1">
        <f ca="1">SUM($E$6:E31)/A31</f>
        <v>7.0697868764810528</v>
      </c>
    </row>
    <row r="32" spans="1:6" x14ac:dyDescent="0.25">
      <c r="A32" s="1">
        <v>27</v>
      </c>
      <c r="B32" s="1">
        <f t="shared" ca="1" si="0"/>
        <v>2.8093278020279779</v>
      </c>
      <c r="C32" s="1">
        <f t="shared" ca="1" si="1"/>
        <v>0.1574895373321239</v>
      </c>
      <c r="D32" s="1">
        <f t="shared" ca="1" si="2"/>
        <v>0.1574895373321239</v>
      </c>
      <c r="E32" s="1">
        <f ca="1">SUM($B$6:C32)/(2*A32)</f>
        <v>6.5016704898206035</v>
      </c>
      <c r="F32" s="1">
        <f ca="1">SUM($E$6:E32)/A32</f>
        <v>7.0487455288269629</v>
      </c>
    </row>
    <row r="33" spans="1:6" x14ac:dyDescent="0.25">
      <c r="A33" s="1">
        <v>28</v>
      </c>
      <c r="B33" s="1">
        <f t="shared" ca="1" si="0"/>
        <v>3.8973583186307028</v>
      </c>
      <c r="C33" s="1">
        <f t="shared" ca="1" si="1"/>
        <v>10.137029796815382</v>
      </c>
      <c r="D33" s="1">
        <f t="shared" ca="1" si="2"/>
        <v>3.8973583186307028</v>
      </c>
      <c r="E33" s="1">
        <f ca="1">SUM($B$6:C33)/(2*A33)</f>
        <v>6.5200820458171194</v>
      </c>
      <c r="F33" s="1">
        <f ca="1">SUM($E$6:E33)/A33</f>
        <v>7.0298646901480391</v>
      </c>
    </row>
    <row r="34" spans="1:6" x14ac:dyDescent="0.25">
      <c r="A34" s="1">
        <v>29</v>
      </c>
      <c r="B34" s="1">
        <f t="shared" ca="1" si="0"/>
        <v>6.3748414226941481</v>
      </c>
      <c r="C34" s="1">
        <f t="shared" ca="1" si="1"/>
        <v>14.350476707751946</v>
      </c>
      <c r="D34" s="1">
        <f t="shared" ca="1" si="2"/>
        <v>6.3748414226941481</v>
      </c>
      <c r="E34" s="1">
        <f ca="1">SUM($B$6:C34)/(2*A34)</f>
        <v>6.6525847016587036</v>
      </c>
      <c r="F34" s="1">
        <f ca="1">SUM($E$6:E34)/A34</f>
        <v>7.0168550353725445</v>
      </c>
    </row>
    <row r="35" spans="1:6" x14ac:dyDescent="0.25">
      <c r="A35" s="1">
        <v>30</v>
      </c>
      <c r="B35" s="1">
        <f t="shared" ca="1" si="0"/>
        <v>1.9240379595821766</v>
      </c>
      <c r="C35" s="1">
        <f t="shared" ca="1" si="1"/>
        <v>5.5449631849010759</v>
      </c>
      <c r="D35" s="1">
        <f t="shared" ca="1" si="2"/>
        <v>1.9240379595821766</v>
      </c>
      <c r="E35" s="1">
        <f ca="1">SUM($B$6:C35)/(2*A35)</f>
        <v>6.5553152306781337</v>
      </c>
      <c r="F35" s="1">
        <f ca="1">SUM($E$6:E35)/A35</f>
        <v>7.0014703752160639</v>
      </c>
    </row>
    <row r="36" spans="1:6" x14ac:dyDescent="0.25">
      <c r="A36" s="1">
        <v>31</v>
      </c>
      <c r="B36" s="1">
        <f t="shared" ca="1" si="0"/>
        <v>4.5281769205674891</v>
      </c>
      <c r="C36" s="1">
        <f t="shared" ca="1" si="1"/>
        <v>4.727036805021358</v>
      </c>
      <c r="D36" s="1">
        <f t="shared" ca="1" si="2"/>
        <v>4.5281769205674891</v>
      </c>
      <c r="E36" s="1">
        <f ca="1">SUM($B$6:C36)/(2*A36)</f>
        <v>6.49313108977866</v>
      </c>
      <c r="F36" s="1">
        <f ca="1">SUM($E$6:E36)/A36</f>
        <v>6.9850723337503418</v>
      </c>
    </row>
    <row r="37" spans="1:6" x14ac:dyDescent="0.25">
      <c r="A37" s="1">
        <v>32</v>
      </c>
      <c r="B37" s="1">
        <f t="shared" ca="1" si="0"/>
        <v>6.4290733316821367</v>
      </c>
      <c r="C37" s="1">
        <f t="shared" ca="1" si="1"/>
        <v>13.298381635647859</v>
      </c>
      <c r="D37" s="1">
        <f t="shared" ca="1" si="2"/>
        <v>6.4290733316821367</v>
      </c>
      <c r="E37" s="1">
        <f ca="1">SUM($B$6:C37)/(2*A37)</f>
        <v>6.5984622270876079</v>
      </c>
      <c r="F37" s="1">
        <f ca="1">SUM($E$6:E37)/A37</f>
        <v>6.972990767917131</v>
      </c>
    </row>
    <row r="38" spans="1:6" x14ac:dyDescent="0.25">
      <c r="A38" s="1">
        <v>33</v>
      </c>
      <c r="B38" s="1">
        <f t="shared" ca="1" si="0"/>
        <v>0.31279014366582203</v>
      </c>
      <c r="C38" s="1">
        <f t="shared" ca="1" si="1"/>
        <v>9.0611933709663415</v>
      </c>
      <c r="D38" s="1">
        <f t="shared" ca="1" si="2"/>
        <v>0.31279014366582203</v>
      </c>
      <c r="E38" s="1">
        <f ca="1">SUM($B$6:C38)/(2*A38)</f>
        <v>6.540538879518774</v>
      </c>
      <c r="F38" s="1">
        <f ca="1">SUM($E$6:E38)/A38</f>
        <v>6.9598861652383928</v>
      </c>
    </row>
    <row r="39" spans="1:6" x14ac:dyDescent="0.25">
      <c r="A39" s="1">
        <v>34</v>
      </c>
      <c r="B39" s="1">
        <f t="shared" ca="1" si="0"/>
        <v>1.6355502986517778</v>
      </c>
      <c r="C39" s="1">
        <f t="shared" ca="1" si="1"/>
        <v>6.8871780309853028</v>
      </c>
      <c r="D39" s="1">
        <f t="shared" ca="1" si="2"/>
        <v>1.6355502986517778</v>
      </c>
      <c r="E39" s="1">
        <f ca="1">SUM($B$6:C39)/(2*A39)</f>
        <v>6.4735043290864143</v>
      </c>
      <c r="F39" s="1">
        <f ca="1">SUM($E$6:E39)/A39</f>
        <v>6.9455808171162756</v>
      </c>
    </row>
    <row r="40" spans="1:6" x14ac:dyDescent="0.25">
      <c r="A40" s="1">
        <v>35</v>
      </c>
      <c r="B40" s="1">
        <f t="shared" ca="1" si="0"/>
        <v>1.425346062484415</v>
      </c>
      <c r="C40" s="1">
        <f t="shared" ca="1" si="1"/>
        <v>6.4537611838581768</v>
      </c>
      <c r="D40" s="1">
        <f t="shared" ca="1" si="2"/>
        <v>1.425346062484415</v>
      </c>
      <c r="E40" s="1">
        <f ca="1">SUM($B$6:C40)/(2*A40)</f>
        <v>6.4011057374888392</v>
      </c>
      <c r="F40" s="1">
        <f ca="1">SUM($E$6:E40)/A40</f>
        <v>6.9300243862697783</v>
      </c>
    </row>
    <row r="41" spans="1:6" x14ac:dyDescent="0.25">
      <c r="A41" s="1">
        <v>36</v>
      </c>
      <c r="B41" s="1">
        <f t="shared" ca="1" si="0"/>
        <v>3.5884338743892288</v>
      </c>
      <c r="C41" s="1">
        <f t="shared" ca="1" si="1"/>
        <v>6.5551390314317786</v>
      </c>
      <c r="D41" s="1">
        <f t="shared" ca="1" si="2"/>
        <v>3.5884338743892288</v>
      </c>
      <c r="E41" s="1">
        <f ca="1">SUM($B$6:C41)/(2*A41)</f>
        <v>6.364180201806108</v>
      </c>
      <c r="F41" s="1">
        <f ca="1">SUM($E$6:E41)/A41</f>
        <v>6.9143064922568982</v>
      </c>
    </row>
    <row r="42" spans="1:6" x14ac:dyDescent="0.25">
      <c r="A42" s="1">
        <v>37</v>
      </c>
      <c r="B42" s="1">
        <f t="shared" ca="1" si="0"/>
        <v>2.2642494276282554</v>
      </c>
      <c r="C42" s="1">
        <f t="shared" ca="1" si="1"/>
        <v>4.7169294740286505</v>
      </c>
      <c r="D42" s="1">
        <f t="shared" ca="1" si="2"/>
        <v>2.2642494276282554</v>
      </c>
      <c r="E42" s="1">
        <f ca="1">SUM($B$6:C42)/(2*A42)</f>
        <v>6.2865155869148195</v>
      </c>
      <c r="F42" s="1">
        <f ca="1">SUM($E$6:E42)/A42</f>
        <v>6.8973391704908957</v>
      </c>
    </row>
    <row r="43" spans="1:6" x14ac:dyDescent="0.25">
      <c r="A43" s="1">
        <v>38</v>
      </c>
      <c r="B43" s="1">
        <f t="shared" ca="1" si="0"/>
        <v>5.7668236383786553</v>
      </c>
      <c r="C43" s="1">
        <f t="shared" ca="1" si="1"/>
        <v>7.942546620210134</v>
      </c>
      <c r="D43" s="1">
        <f t="shared" ca="1" si="2"/>
        <v>5.7668236383786553</v>
      </c>
      <c r="E43" s="1">
        <f ca="1">SUM($B$6:C43)/(2*A43)</f>
        <v>6.3014674169774398</v>
      </c>
      <c r="F43" s="1">
        <f ca="1">SUM($E$6:E43)/A43</f>
        <v>6.881658334872121</v>
      </c>
    </row>
    <row r="44" spans="1:6" x14ac:dyDescent="0.25">
      <c r="A44" s="1">
        <v>39</v>
      </c>
      <c r="B44" s="1">
        <f t="shared" ca="1" si="0"/>
        <v>3.1366934745566999</v>
      </c>
      <c r="C44" s="1">
        <f t="shared" ca="1" si="1"/>
        <v>7.1740243025119721</v>
      </c>
      <c r="D44" s="1">
        <f t="shared" ca="1" si="2"/>
        <v>3.1366934745566999</v>
      </c>
      <c r="E44" s="1">
        <f ca="1">SUM($B$6:C44)/(2*A44)</f>
        <v>6.2720800188122316</v>
      </c>
      <c r="F44" s="1">
        <f ca="1">SUM($E$6:E44)/A44</f>
        <v>6.8660281216398156</v>
      </c>
    </row>
    <row r="45" spans="1:6" x14ac:dyDescent="0.25">
      <c r="A45" s="1">
        <v>40</v>
      </c>
      <c r="B45" s="1">
        <f t="shared" ca="1" si="0"/>
        <v>5.8952471697316779</v>
      </c>
      <c r="C45" s="1">
        <f t="shared" ca="1" si="1"/>
        <v>14.685563421181099</v>
      </c>
      <c r="D45" s="1">
        <f t="shared" ca="1" si="2"/>
        <v>5.8952471697316779</v>
      </c>
      <c r="E45" s="1">
        <f ca="1">SUM($B$6:C45)/(2*A45)</f>
        <v>6.3725381507283361</v>
      </c>
      <c r="F45" s="1">
        <f ca="1">SUM($E$6:E45)/A45</f>
        <v>6.8536908723670296</v>
      </c>
    </row>
    <row r="46" spans="1:6" x14ac:dyDescent="0.25">
      <c r="A46" s="1">
        <v>41</v>
      </c>
      <c r="B46" s="1">
        <f t="shared" ca="1" si="0"/>
        <v>9.4669944830043171</v>
      </c>
      <c r="C46" s="1">
        <f t="shared" ca="1" si="1"/>
        <v>14.608003306113083</v>
      </c>
      <c r="D46" s="1">
        <f t="shared" ca="1" si="2"/>
        <v>9.4669944830043171</v>
      </c>
      <c r="E46" s="1">
        <f ca="1">SUM($B$6:C46)/(2*A46)</f>
        <v>6.5107079249681012</v>
      </c>
      <c r="F46" s="1">
        <f ca="1">SUM($E$6:E46)/A46</f>
        <v>6.8453254346255914</v>
      </c>
    </row>
    <row r="47" spans="1:6" x14ac:dyDescent="0.25">
      <c r="A47" s="1">
        <v>42</v>
      </c>
      <c r="B47" s="1">
        <f t="shared" ca="1" si="0"/>
        <v>0.79773167535903799</v>
      </c>
      <c r="C47" s="1">
        <f t="shared" ca="1" si="1"/>
        <v>0.17546972594272958</v>
      </c>
      <c r="D47" s="1">
        <f t="shared" ca="1" si="2"/>
        <v>0.17546972594272958</v>
      </c>
      <c r="E47" s="1">
        <f ca="1">SUM($B$6:C47)/(2*A47)</f>
        <v>6.3672768005795968</v>
      </c>
      <c r="F47" s="1">
        <f ca="1">SUM($E$6:E47)/A47</f>
        <v>6.8339433242911625</v>
      </c>
    </row>
    <row r="48" spans="1:6" x14ac:dyDescent="0.25">
      <c r="A48" s="1">
        <v>43</v>
      </c>
      <c r="B48" s="1">
        <f t="shared" ca="1" si="0"/>
        <v>8.888055499431406</v>
      </c>
      <c r="C48" s="1">
        <f t="shared" ca="1" si="1"/>
        <v>2.3448909774583022</v>
      </c>
      <c r="D48" s="1">
        <f t="shared" ca="1" si="2"/>
        <v>2.3448909774583022</v>
      </c>
      <c r="E48" s="1">
        <f ca="1">SUM($B$6:C48)/(2*A48)</f>
        <v>6.3498162526229747</v>
      </c>
      <c r="F48" s="1">
        <f ca="1">SUM($E$6:E48)/A48</f>
        <v>6.822684555182601</v>
      </c>
    </row>
    <row r="49" spans="1:6" x14ac:dyDescent="0.25">
      <c r="A49" s="1">
        <v>44</v>
      </c>
      <c r="B49" s="1">
        <f t="shared" ca="1" si="0"/>
        <v>1.5025262431405684</v>
      </c>
      <c r="C49" s="1">
        <f t="shared" ca="1" si="1"/>
        <v>12.195680575545797</v>
      </c>
      <c r="D49" s="1">
        <f t="shared" ca="1" si="2"/>
        <v>1.5025262431405684</v>
      </c>
      <c r="E49" s="1">
        <f ca="1">SUM($B$6:C49)/(2*A49)</f>
        <v>6.3611636880029785</v>
      </c>
      <c r="F49" s="1">
        <f ca="1">SUM($E$6:E49)/A49</f>
        <v>6.8121954445648818</v>
      </c>
    </row>
    <row r="50" spans="1:6" x14ac:dyDescent="0.25">
      <c r="A50" s="1">
        <v>45</v>
      </c>
      <c r="B50" s="1">
        <f t="shared" ca="1" si="0"/>
        <v>4.3912619301529663</v>
      </c>
      <c r="C50" s="1">
        <f t="shared" ca="1" si="1"/>
        <v>10.533132896432418</v>
      </c>
      <c r="D50" s="1">
        <f t="shared" ca="1" si="2"/>
        <v>4.3912619301529663</v>
      </c>
      <c r="E50" s="1">
        <f ca="1">SUM($B$6:C50)/(2*A50)</f>
        <v>6.3856311041205283</v>
      </c>
      <c r="F50" s="1">
        <f ca="1">SUM($E$6:E50)/A50</f>
        <v>6.8027162369994523</v>
      </c>
    </row>
    <row r="51" spans="1:6" x14ac:dyDescent="0.25">
      <c r="A51" s="1">
        <v>46</v>
      </c>
      <c r="B51" s="1">
        <f t="shared" ca="1" si="0"/>
        <v>3.8670874403704536</v>
      </c>
      <c r="C51" s="1">
        <f t="shared" ca="1" si="1"/>
        <v>11.642549317798846</v>
      </c>
      <c r="D51" s="1">
        <f t="shared" ca="1" si="2"/>
        <v>3.8670874403704536</v>
      </c>
      <c r="E51" s="1">
        <f ca="1">SUM($B$6:C51)/(2*A51)</f>
        <v>6.4153960448806178</v>
      </c>
      <c r="F51" s="1">
        <f ca="1">SUM($E$6:E51)/A51</f>
        <v>6.7942962328229557</v>
      </c>
    </row>
    <row r="52" spans="1:6" x14ac:dyDescent="0.25">
      <c r="A52" s="1">
        <v>47</v>
      </c>
      <c r="B52" s="1">
        <f t="shared" ca="1" si="0"/>
        <v>9.3121633307225142</v>
      </c>
      <c r="C52" s="1">
        <f t="shared" ca="1" si="1"/>
        <v>0.50606445573889214</v>
      </c>
      <c r="D52" s="1">
        <f t="shared" ca="1" si="2"/>
        <v>0.50606445573889214</v>
      </c>
      <c r="E52" s="1">
        <f ca="1">SUM($B$6:C52)/(2*A52)</f>
        <v>6.383347488462535</v>
      </c>
      <c r="F52" s="1">
        <f ca="1">SUM($E$6:E52)/A52</f>
        <v>6.7855526425174153</v>
      </c>
    </row>
    <row r="53" spans="1:6" x14ac:dyDescent="0.25">
      <c r="A53" s="1">
        <v>48</v>
      </c>
      <c r="B53" s="1">
        <f t="shared" ca="1" si="0"/>
        <v>5.0037715484890075</v>
      </c>
      <c r="C53" s="1">
        <f t="shared" ca="1" si="1"/>
        <v>8.2893627991778924</v>
      </c>
      <c r="D53" s="1">
        <f t="shared" ca="1" si="2"/>
        <v>5.0037715484890075</v>
      </c>
      <c r="E53" s="1">
        <f ca="1">SUM($B$6:C53)/(2*A53)</f>
        <v>6.388831231907762</v>
      </c>
      <c r="F53" s="1">
        <f ca="1">SUM($E$6:E53)/A53</f>
        <v>6.7772876131297144</v>
      </c>
    </row>
    <row r="54" spans="1:6" x14ac:dyDescent="0.25">
      <c r="A54" s="1">
        <v>49</v>
      </c>
      <c r="B54" s="1">
        <f t="shared" ca="1" si="0"/>
        <v>7.6328720233894618</v>
      </c>
      <c r="C54" s="1">
        <f t="shared" ca="1" si="1"/>
        <v>9.1238323444914471</v>
      </c>
      <c r="D54" s="1">
        <f t="shared" ca="1" si="2"/>
        <v>7.6328720233894618</v>
      </c>
      <c r="E54" s="1">
        <f ca="1">SUM($B$6:C54)/(2*A54)</f>
        <v>6.4294337003165927</v>
      </c>
      <c r="F54" s="1">
        <f ca="1">SUM($E$6:E54)/A54</f>
        <v>6.7701885536845481</v>
      </c>
    </row>
    <row r="55" spans="1:6" x14ac:dyDescent="0.25">
      <c r="A55" s="1">
        <v>50</v>
      </c>
      <c r="B55" s="1">
        <f t="shared" ca="1" si="0"/>
        <v>2.3495981758094855</v>
      </c>
      <c r="C55" s="1">
        <f t="shared" ca="1" si="1"/>
        <v>14.80588839363422</v>
      </c>
      <c r="D55" s="1">
        <f t="shared" ca="1" si="2"/>
        <v>2.3495981758094855</v>
      </c>
      <c r="E55" s="1">
        <f ca="1">SUM($B$6:C55)/(2*A55)</f>
        <v>6.472399892004697</v>
      </c>
      <c r="F55" s="1">
        <f ca="1">SUM($E$6:E55)/A55</f>
        <v>6.7642327804509508</v>
      </c>
    </row>
    <row r="56" spans="1:6" x14ac:dyDescent="0.25">
      <c r="A56" s="1">
        <v>51</v>
      </c>
      <c r="B56" s="1">
        <f t="shared" ca="1" si="0"/>
        <v>9.2772928513749946</v>
      </c>
      <c r="C56" s="1">
        <f t="shared" ca="1" si="1"/>
        <v>6.694308035694406</v>
      </c>
      <c r="D56" s="1">
        <f t="shared" ca="1" si="2"/>
        <v>6.694308035694406</v>
      </c>
      <c r="E56" s="1">
        <f ca="1">SUM($B$6:C56)/(2*A56)</f>
        <v>6.5020744126229335</v>
      </c>
      <c r="F56" s="1">
        <f ca="1">SUM($E$6:E56)/A56</f>
        <v>6.7590924202974607</v>
      </c>
    </row>
    <row r="57" spans="1:6" x14ac:dyDescent="0.25">
      <c r="A57" s="1">
        <v>52</v>
      </c>
      <c r="B57" s="1">
        <f t="shared" ca="1" si="0"/>
        <v>2.4360817139742719</v>
      </c>
      <c r="C57" s="1">
        <f t="shared" ca="1" si="1"/>
        <v>8.9199764519623663</v>
      </c>
      <c r="D57" s="1">
        <f t="shared" ca="1" si="2"/>
        <v>2.4360817139742719</v>
      </c>
      <c r="E57" s="1">
        <f ca="1">SUM($B$6:C57)/(2*A57)</f>
        <v>6.4862273870526526</v>
      </c>
      <c r="F57" s="1">
        <f ca="1">SUM($E$6:E57)/A57</f>
        <v>6.7538450158119847</v>
      </c>
    </row>
    <row r="58" spans="1:6" x14ac:dyDescent="0.25">
      <c r="A58" s="1">
        <v>53</v>
      </c>
      <c r="B58" s="1">
        <f t="shared" ca="1" si="0"/>
        <v>3.982627339303483</v>
      </c>
      <c r="C58" s="1">
        <f t="shared" ca="1" si="1"/>
        <v>13.288873643235052</v>
      </c>
      <c r="D58" s="1">
        <f t="shared" ca="1" si="2"/>
        <v>3.982627339303483</v>
      </c>
      <c r="E58" s="1">
        <f ca="1">SUM($B$6:C58)/(2*A58)</f>
        <v>6.5267844267548538</v>
      </c>
      <c r="F58" s="1">
        <f ca="1">SUM($E$6:E58)/A58</f>
        <v>6.7495608537543026</v>
      </c>
    </row>
    <row r="59" spans="1:6" x14ac:dyDescent="0.25">
      <c r="A59" s="1">
        <v>54</v>
      </c>
      <c r="B59" s="1">
        <f t="shared" ca="1" si="0"/>
        <v>8.2680943639425273</v>
      </c>
      <c r="C59" s="1">
        <f t="shared" ca="1" si="1"/>
        <v>3.938774792529224</v>
      </c>
      <c r="D59" s="1">
        <f t="shared" ca="1" si="2"/>
        <v>3.938774792529224</v>
      </c>
      <c r="E59" s="1">
        <f ca="1">SUM($B$6:C59)/(2*A59)</f>
        <v>6.5189446147452426</v>
      </c>
      <c r="F59" s="1">
        <f ca="1">SUM($E$6:E59)/A59</f>
        <v>6.7452901826615417</v>
      </c>
    </row>
    <row r="60" spans="1:6" x14ac:dyDescent="0.25">
      <c r="A60" s="1">
        <v>55</v>
      </c>
      <c r="B60" s="1">
        <f t="shared" ca="1" si="0"/>
        <v>2.4512918511144219</v>
      </c>
      <c r="C60" s="1">
        <f t="shared" ca="1" si="1"/>
        <v>9.6269763798264076</v>
      </c>
      <c r="D60" s="1">
        <f t="shared" ca="1" si="2"/>
        <v>2.4512918511144219</v>
      </c>
      <c r="E60" s="1">
        <f ca="1">SUM($B$6:C60)/(2*A60)</f>
        <v>6.5102207874857001</v>
      </c>
      <c r="F60" s="1">
        <f ca="1">SUM($E$6:E60)/A60</f>
        <v>6.7410161936583446</v>
      </c>
    </row>
    <row r="61" spans="1:6" x14ac:dyDescent="0.25">
      <c r="A61" s="1">
        <v>56</v>
      </c>
      <c r="B61" s="1">
        <f t="shared" ca="1" si="0"/>
        <v>3.1608373204428695</v>
      </c>
      <c r="C61" s="1">
        <f t="shared" ca="1" si="1"/>
        <v>11.178668201939319</v>
      </c>
      <c r="D61" s="1">
        <f t="shared" ca="1" si="2"/>
        <v>3.1608373204428695</v>
      </c>
      <c r="E61" s="1">
        <f ca="1">SUM($B$6:C61)/(2*A61)</f>
        <v>6.5219981441590109</v>
      </c>
      <c r="F61" s="1">
        <f ca="1">SUM($E$6:E61)/A61</f>
        <v>6.7371051570601423</v>
      </c>
    </row>
    <row r="62" spans="1:6" x14ac:dyDescent="0.25">
      <c r="A62" s="1">
        <v>57</v>
      </c>
      <c r="B62" s="1">
        <f t="shared" ca="1" si="0"/>
        <v>6.178106723201565</v>
      </c>
      <c r="C62" s="1">
        <f t="shared" ca="1" si="1"/>
        <v>2.9269178186343114</v>
      </c>
      <c r="D62" s="1">
        <f t="shared" ca="1" si="2"/>
        <v>2.9269178186343114</v>
      </c>
      <c r="E62" s="1">
        <f ca="1">SUM($B$6:C62)/(2*A62)</f>
        <v>6.4874457604179403</v>
      </c>
      <c r="F62" s="1">
        <f ca="1">SUM($E$6:E62)/A62</f>
        <v>6.7327251676453663</v>
      </c>
    </row>
    <row r="63" spans="1:6" x14ac:dyDescent="0.25">
      <c r="A63" s="1">
        <v>58</v>
      </c>
      <c r="B63" s="1">
        <f t="shared" ca="1" si="0"/>
        <v>7.0781450095503393</v>
      </c>
      <c r="C63" s="1">
        <f t="shared" ca="1" si="1"/>
        <v>11.06599291689016</v>
      </c>
      <c r="D63" s="1">
        <f t="shared" ca="1" si="2"/>
        <v>7.0781450095503393</v>
      </c>
      <c r="E63" s="1">
        <f ca="1">SUM($B$6:C63)/(2*A63)</f>
        <v>6.5320082294317734</v>
      </c>
      <c r="F63" s="1">
        <f ca="1">SUM($E$6:E63)/A63</f>
        <v>6.7292645307796146</v>
      </c>
    </row>
    <row r="64" spans="1:6" x14ac:dyDescent="0.25">
      <c r="A64" s="1">
        <v>59</v>
      </c>
      <c r="B64" s="1">
        <f t="shared" ca="1" si="0"/>
        <v>7.1819317862039345</v>
      </c>
      <c r="C64" s="1">
        <f t="shared" ca="1" si="1"/>
        <v>7.1636233479390112</v>
      </c>
      <c r="D64" s="1">
        <f t="shared" ca="1" si="2"/>
        <v>7.1636233479390112</v>
      </c>
      <c r="E64" s="1">
        <f ca="1">SUM($B$6:C64)/(2*A64)</f>
        <v>6.5428687266799033</v>
      </c>
      <c r="F64" s="1">
        <f ca="1">SUM($E$6:E64)/A64</f>
        <v>6.7261052798626704</v>
      </c>
    </row>
    <row r="65" spans="1:6" x14ac:dyDescent="0.25">
      <c r="A65" s="1">
        <v>60</v>
      </c>
      <c r="B65" s="1">
        <f t="shared" ca="1" si="0"/>
        <v>5.1428590192049537</v>
      </c>
      <c r="C65" s="1">
        <f t="shared" ca="1" si="1"/>
        <v>4.5539394153175872</v>
      </c>
      <c r="D65" s="1">
        <f t="shared" ca="1" si="2"/>
        <v>4.5539394153175872</v>
      </c>
      <c r="E65" s="1">
        <f ca="1">SUM($B$6:C65)/(2*A65)</f>
        <v>6.5146275681895931</v>
      </c>
      <c r="F65" s="1">
        <f ca="1">SUM($E$6:E65)/A65</f>
        <v>6.7225806513347859</v>
      </c>
    </row>
    <row r="66" spans="1:6" x14ac:dyDescent="0.25">
      <c r="A66" s="1">
        <v>61</v>
      </c>
      <c r="B66" s="1">
        <f t="shared" ca="1" si="0"/>
        <v>4.5715857827487287</v>
      </c>
      <c r="C66" s="1">
        <f t="shared" ca="1" si="1"/>
        <v>9.7746683496826829</v>
      </c>
      <c r="D66" s="1">
        <f t="shared" ca="1" si="2"/>
        <v>4.5715857827487287</v>
      </c>
      <c r="E66" s="1">
        <f ca="1">SUM($B$6:C66)/(2*A66)</f>
        <v>6.525422641927725</v>
      </c>
      <c r="F66" s="1">
        <f ca="1">SUM($E$6:E66)/A66</f>
        <v>6.7193485528199162</v>
      </c>
    </row>
    <row r="67" spans="1:6" x14ac:dyDescent="0.25">
      <c r="A67" s="1">
        <v>62</v>
      </c>
      <c r="B67" s="1">
        <f t="shared" ca="1" si="0"/>
        <v>3.9164963220138329</v>
      </c>
      <c r="C67" s="1">
        <f t="shared" ca="1" si="1"/>
        <v>2.161766715189541</v>
      </c>
      <c r="D67" s="1">
        <f t="shared" ca="1" si="2"/>
        <v>2.161766715189541</v>
      </c>
      <c r="E67" s="1">
        <f ca="1">SUM($B$6:C67)/(2*A67)</f>
        <v>6.4691921399385954</v>
      </c>
      <c r="F67" s="1">
        <f ca="1">SUM($E$6:E67)/A67</f>
        <v>6.7153137719669918</v>
      </c>
    </row>
    <row r="68" spans="1:6" x14ac:dyDescent="0.25">
      <c r="A68" s="1">
        <v>63</v>
      </c>
      <c r="B68" s="1">
        <f t="shared" ca="1" si="0"/>
        <v>1.7656752139573251</v>
      </c>
      <c r="C68" s="1">
        <f t="shared" ca="1" si="1"/>
        <v>7.2813620796427472</v>
      </c>
      <c r="D68" s="1">
        <f t="shared" ca="1" si="2"/>
        <v>1.7656752139573251</v>
      </c>
      <c r="E68" s="1">
        <f ca="1">SUM($B$6:C68)/(2*A68)</f>
        <v>6.4383084336983005</v>
      </c>
      <c r="F68" s="1">
        <f ca="1">SUM($E$6:E68)/A68</f>
        <v>6.7109168618357424</v>
      </c>
    </row>
    <row r="69" spans="1:6" x14ac:dyDescent="0.25">
      <c r="A69" s="1">
        <v>64</v>
      </c>
      <c r="B69" s="1">
        <f t="shared" ca="1" si="0"/>
        <v>8.7271667640749566</v>
      </c>
      <c r="C69" s="1">
        <f t="shared" ca="1" si="1"/>
        <v>7.3918482954793481</v>
      </c>
      <c r="D69" s="1">
        <f t="shared" ca="1" si="2"/>
        <v>7.3918482954793481</v>
      </c>
      <c r="E69" s="1">
        <f ca="1">SUM($B$6:C69)/(2*A69)</f>
        <v>6.4636396695745324</v>
      </c>
      <c r="F69" s="1">
        <f ca="1">SUM($E$6:E69)/A69</f>
        <v>6.7070531557066611</v>
      </c>
    </row>
    <row r="70" spans="1:6" x14ac:dyDescent="0.25">
      <c r="A70" s="1">
        <v>65</v>
      </c>
      <c r="B70" s="1">
        <f t="shared" ca="1" si="0"/>
        <v>8.7147298449717887</v>
      </c>
      <c r="C70" s="1">
        <f t="shared" ca="1" si="1"/>
        <v>8.2867095626033311</v>
      </c>
      <c r="D70" s="1">
        <f t="shared" ca="1" si="2"/>
        <v>8.2867095626033311</v>
      </c>
      <c r="E70" s="1">
        <f ca="1">SUM($B$6:C70)/(2*A70)</f>
        <v>6.4949793624085785</v>
      </c>
      <c r="F70" s="1">
        <f ca="1">SUM($E$6:E70)/A70</f>
        <v>6.7037904819636136</v>
      </c>
    </row>
    <row r="71" spans="1:6" x14ac:dyDescent="0.25">
      <c r="A71" s="1">
        <v>66</v>
      </c>
      <c r="B71" s="1">
        <f t="shared" ref="B71:B134" ca="1" si="3">RAND()*$D$1</f>
        <v>6.2420432818682627</v>
      </c>
      <c r="C71" s="1">
        <f t="shared" ref="C71:C134" ca="1" si="4">RAND()*$D$2</f>
        <v>3.7570872455705642</v>
      </c>
      <c r="D71" s="1">
        <f t="shared" ref="D71:D134" ca="1" si="5">MIN(B71:C71)</f>
        <v>3.7570872455705642</v>
      </c>
      <c r="E71" s="1">
        <f ca="1">SUM($B$6:C71)/(2*A71)</f>
        <v>6.4723215730345007</v>
      </c>
      <c r="F71" s="1">
        <f ca="1">SUM($E$6:E71)/A71</f>
        <v>6.7002833772828696</v>
      </c>
    </row>
    <row r="72" spans="1:6" x14ac:dyDescent="0.25">
      <c r="A72" s="1">
        <v>67</v>
      </c>
      <c r="B72" s="1">
        <f t="shared" ca="1" si="3"/>
        <v>2.0059889326525537</v>
      </c>
      <c r="C72" s="1">
        <f t="shared" ca="1" si="4"/>
        <v>13.439440140851815</v>
      </c>
      <c r="D72" s="1">
        <f t="shared" ca="1" si="5"/>
        <v>2.0059889326525537</v>
      </c>
      <c r="E72" s="1">
        <f ca="1">SUM($B$6:C72)/(2*A72)</f>
        <v>6.4909841545825264</v>
      </c>
      <c r="F72" s="1">
        <f ca="1">SUM($E$6:E72)/A72</f>
        <v>6.6971595082873421</v>
      </c>
    </row>
    <row r="73" spans="1:6" x14ac:dyDescent="0.25">
      <c r="A73" s="1">
        <v>68</v>
      </c>
      <c r="B73" s="1">
        <f t="shared" ca="1" si="3"/>
        <v>3.6969743756475038</v>
      </c>
      <c r="C73" s="1">
        <f t="shared" ca="1" si="4"/>
        <v>2.125231401987957</v>
      </c>
      <c r="D73" s="1">
        <f t="shared" ca="1" si="5"/>
        <v>2.125231401987957</v>
      </c>
      <c r="E73" s="1">
        <f ca="1">SUM($B$6:C73)/(2*A73)</f>
        <v>6.4383388418506913</v>
      </c>
      <c r="F73" s="1">
        <f ca="1">SUM($E$6:E73)/A73</f>
        <v>6.6933533220162147</v>
      </c>
    </row>
    <row r="74" spans="1:6" x14ac:dyDescent="0.25">
      <c r="A74" s="1">
        <v>69</v>
      </c>
      <c r="B74" s="1">
        <f t="shared" ca="1" si="3"/>
        <v>9.1844691262266291</v>
      </c>
      <c r="C74" s="1">
        <f t="shared" ca="1" si="4"/>
        <v>3.1592950506198347</v>
      </c>
      <c r="D74" s="1">
        <f t="shared" ca="1" si="5"/>
        <v>3.1592950506198347</v>
      </c>
      <c r="E74" s="1">
        <f ca="1">SUM($B$6:C74)/(2*A74)</f>
        <v>6.4344771497720323</v>
      </c>
      <c r="F74" s="1">
        <f ca="1">SUM($E$6:E74)/A74</f>
        <v>6.6896014934329653</v>
      </c>
    </row>
    <row r="75" spans="1:6" x14ac:dyDescent="0.25">
      <c r="A75" s="1">
        <v>70</v>
      </c>
      <c r="B75" s="1">
        <f t="shared" ca="1" si="3"/>
        <v>1.4583608164237682</v>
      </c>
      <c r="C75" s="1">
        <f t="shared" ca="1" si="4"/>
        <v>2.8833272619201988</v>
      </c>
      <c r="D75" s="1">
        <f t="shared" ca="1" si="5"/>
        <v>1.4583608164237682</v>
      </c>
      <c r="E75" s="1">
        <f ca="1">SUM($B$6:C75)/(2*A75)</f>
        <v>6.3735681053348889</v>
      </c>
      <c r="F75" s="1">
        <f ca="1">SUM($E$6:E75)/A75</f>
        <v>6.6850867307458497</v>
      </c>
    </row>
    <row r="76" spans="1:6" x14ac:dyDescent="0.25">
      <c r="A76" s="1">
        <v>71</v>
      </c>
      <c r="B76" s="1">
        <f t="shared" ca="1" si="3"/>
        <v>5.325413183007317</v>
      </c>
      <c r="C76" s="1">
        <f t="shared" ca="1" si="4"/>
        <v>9.8180446294231452</v>
      </c>
      <c r="D76" s="1">
        <f t="shared" ca="1" si="5"/>
        <v>5.325413183007317</v>
      </c>
      <c r="E76" s="1">
        <f ca="1">SUM($B$6:C76)/(2*A76)</f>
        <v>6.3904436095726407</v>
      </c>
      <c r="F76" s="1">
        <f ca="1">SUM($E$6:E76)/A76</f>
        <v>6.6809368276307337</v>
      </c>
    </row>
    <row r="77" spans="1:6" x14ac:dyDescent="0.25">
      <c r="A77" s="1">
        <v>72</v>
      </c>
      <c r="B77" s="1">
        <f t="shared" ca="1" si="3"/>
        <v>6.3896016212761877</v>
      </c>
      <c r="C77" s="1">
        <f t="shared" ca="1" si="4"/>
        <v>7.658916925681833</v>
      </c>
      <c r="D77" s="1">
        <f t="shared" ca="1" si="5"/>
        <v>6.3896016212761877</v>
      </c>
      <c r="E77" s="1">
        <f ca="1">SUM($B$6:C77)/(2*A77)</f>
        <v>6.3992466049046728</v>
      </c>
      <c r="F77" s="1">
        <f ca="1">SUM($E$6:E77)/A77</f>
        <v>6.6770244634262044</v>
      </c>
    </row>
    <row r="78" spans="1:6" x14ac:dyDescent="0.25">
      <c r="A78" s="1">
        <v>73</v>
      </c>
      <c r="B78" s="1">
        <f t="shared" ca="1" si="3"/>
        <v>8.452320017799245</v>
      </c>
      <c r="C78" s="1">
        <f t="shared" ca="1" si="4"/>
        <v>4.2617410381528211</v>
      </c>
      <c r="D78" s="1">
        <f t="shared" ca="1" si="5"/>
        <v>4.2617410381528211</v>
      </c>
      <c r="E78" s="1">
        <f ca="1">SUM($B$6:C78)/(2*A78)</f>
        <v>6.3986683024809938</v>
      </c>
      <c r="F78" s="1">
        <f ca="1">SUM($E$6:E78)/A78</f>
        <v>6.6732113653310643</v>
      </c>
    </row>
    <row r="79" spans="1:6" x14ac:dyDescent="0.25">
      <c r="A79" s="1">
        <v>74</v>
      </c>
      <c r="B79" s="1">
        <f t="shared" ca="1" si="3"/>
        <v>3.0020073259201876</v>
      </c>
      <c r="C79" s="1">
        <f t="shared" ca="1" si="4"/>
        <v>13.495727763694525</v>
      </c>
      <c r="D79" s="1">
        <f t="shared" ca="1" si="5"/>
        <v>3.0020073259201876</v>
      </c>
      <c r="E79" s="1">
        <f ca="1">SUM($B$6:C79)/(2*A79)</f>
        <v>6.4236709949448629</v>
      </c>
      <c r="F79" s="1">
        <f ca="1">SUM($E$6:E79)/A79</f>
        <v>6.6698391981636833</v>
      </c>
    </row>
    <row r="80" spans="1:6" x14ac:dyDescent="0.25">
      <c r="A80" s="1">
        <v>75</v>
      </c>
      <c r="B80" s="1">
        <f t="shared" ca="1" si="3"/>
        <v>1.4809461628187193</v>
      </c>
      <c r="C80" s="1">
        <f t="shared" ca="1" si="4"/>
        <v>5.8477851765793316</v>
      </c>
      <c r="D80" s="1">
        <f t="shared" ca="1" si="5"/>
        <v>1.4809461628187193</v>
      </c>
      <c r="E80" s="1">
        <f ca="1">SUM($B$6:C80)/(2*A80)</f>
        <v>6.3868802572749184</v>
      </c>
      <c r="F80" s="1">
        <f ca="1">SUM($E$6:E80)/A80</f>
        <v>6.6660664122851667</v>
      </c>
    </row>
    <row r="81" spans="1:6" x14ac:dyDescent="0.25">
      <c r="A81" s="1">
        <v>76</v>
      </c>
      <c r="B81" s="1">
        <f t="shared" ca="1" si="3"/>
        <v>6.1856572877890006</v>
      </c>
      <c r="C81" s="1">
        <f t="shared" ca="1" si="4"/>
        <v>3.8704632043582898</v>
      </c>
      <c r="D81" s="1">
        <f t="shared" ca="1" si="5"/>
        <v>3.8704632043582898</v>
      </c>
      <c r="E81" s="1">
        <f ca="1">SUM($B$6:C81)/(2*A81)</f>
        <v>6.3690010466012179</v>
      </c>
      <c r="F81" s="1">
        <f ca="1">SUM($E$6:E81)/A81</f>
        <v>6.6621576574735357</v>
      </c>
    </row>
    <row r="82" spans="1:6" x14ac:dyDescent="0.25">
      <c r="A82" s="1">
        <v>77</v>
      </c>
      <c r="B82" s="1">
        <f t="shared" ca="1" si="3"/>
        <v>3.3959899209779842</v>
      </c>
      <c r="C82" s="1">
        <f t="shared" ca="1" si="4"/>
        <v>14.537853689297211</v>
      </c>
      <c r="D82" s="1">
        <f t="shared" ca="1" si="5"/>
        <v>3.3959899209779842</v>
      </c>
      <c r="E82" s="1">
        <f ca="1">SUM($B$6:C82)/(2*A82)</f>
        <v>6.40274027723156</v>
      </c>
      <c r="F82" s="1">
        <f ca="1">SUM($E$6:E82)/A82</f>
        <v>6.6587886005872772</v>
      </c>
    </row>
    <row r="83" spans="1:6" x14ac:dyDescent="0.25">
      <c r="A83" s="1">
        <v>78</v>
      </c>
      <c r="B83" s="1">
        <f t="shared" ca="1" si="3"/>
        <v>6.6575550942469235</v>
      </c>
      <c r="C83" s="1">
        <f t="shared" ca="1" si="4"/>
        <v>13.431028029131495</v>
      </c>
      <c r="D83" s="1">
        <f t="shared" ca="1" si="5"/>
        <v>6.6575550942469235</v>
      </c>
      <c r="E83" s="1">
        <f ca="1">SUM($B$6:C83)/(2*A83)</f>
        <v>6.4494268321605048</v>
      </c>
      <c r="F83" s="1">
        <f ca="1">SUM($E$6:E83)/A83</f>
        <v>6.6561044753510368</v>
      </c>
    </row>
    <row r="84" spans="1:6" x14ac:dyDescent="0.25">
      <c r="A84" s="1">
        <v>79</v>
      </c>
      <c r="B84" s="1">
        <f t="shared" ca="1" si="3"/>
        <v>4.7944828305630267</v>
      </c>
      <c r="C84" s="1">
        <f t="shared" ca="1" si="4"/>
        <v>5.7797191186719985</v>
      </c>
      <c r="D84" s="1">
        <f t="shared" ca="1" si="5"/>
        <v>4.7944828305630267</v>
      </c>
      <c r="E84" s="1">
        <f ca="1">SUM($B$6:C84)/(2*A84)</f>
        <v>6.4347138466219862</v>
      </c>
      <c r="F84" s="1">
        <f ca="1">SUM($E$6:E84)/A84</f>
        <v>6.6533020623291499</v>
      </c>
    </row>
    <row r="85" spans="1:6" x14ac:dyDescent="0.25">
      <c r="A85" s="1">
        <v>80</v>
      </c>
      <c r="B85" s="1">
        <f t="shared" ca="1" si="3"/>
        <v>8.2508564011292354</v>
      </c>
      <c r="C85" s="1">
        <f t="shared" ca="1" si="4"/>
        <v>11.640612384271398</v>
      </c>
      <c r="D85" s="1">
        <f t="shared" ca="1" si="5"/>
        <v>8.2508564011292354</v>
      </c>
      <c r="E85" s="1">
        <f ca="1">SUM($B$6:C85)/(2*A85)</f>
        <v>6.4786016034479657</v>
      </c>
      <c r="F85" s="1">
        <f ca="1">SUM($E$6:E85)/A85</f>
        <v>6.6511183065931352</v>
      </c>
    </row>
    <row r="86" spans="1:6" x14ac:dyDescent="0.25">
      <c r="A86" s="1">
        <v>81</v>
      </c>
      <c r="B86" s="1">
        <f t="shared" ca="1" si="3"/>
        <v>0.62031775509341247</v>
      </c>
      <c r="C86" s="1">
        <f t="shared" ca="1" si="4"/>
        <v>7.668892351241829</v>
      </c>
      <c r="D86" s="1">
        <f t="shared" ca="1" si="5"/>
        <v>0.62031775509341247</v>
      </c>
      <c r="E86" s="1">
        <f ca="1">SUM($B$6:C86)/(2*A86)</f>
        <v>6.4497868312222817</v>
      </c>
      <c r="F86" s="1">
        <f ca="1">SUM($E$6:E86)/A86</f>
        <v>6.6486327328231241</v>
      </c>
    </row>
    <row r="87" spans="1:6" x14ac:dyDescent="0.25">
      <c r="A87" s="1">
        <v>82</v>
      </c>
      <c r="B87" s="1">
        <f t="shared" ca="1" si="3"/>
        <v>6.9669305162829662</v>
      </c>
      <c r="C87" s="1">
        <f t="shared" ca="1" si="4"/>
        <v>2.2966821950994394</v>
      </c>
      <c r="D87" s="1">
        <f t="shared" ca="1" si="5"/>
        <v>2.2966821950994394</v>
      </c>
      <c r="E87" s="1">
        <f ca="1">SUM($B$6:C87)/(2*A87)</f>
        <v>6.427616337618244</v>
      </c>
      <c r="F87" s="1">
        <f ca="1">SUM($E$6:E87)/A87</f>
        <v>6.6459374109303813</v>
      </c>
    </row>
    <row r="88" spans="1:6" x14ac:dyDescent="0.25">
      <c r="A88" s="1">
        <v>83</v>
      </c>
      <c r="B88" s="1">
        <f t="shared" ca="1" si="3"/>
        <v>9.5088390962788161</v>
      </c>
      <c r="C88" s="1">
        <f t="shared" ca="1" si="4"/>
        <v>12.694636866634292</v>
      </c>
      <c r="D88" s="1">
        <f t="shared" ca="1" si="5"/>
        <v>9.5088390962788161</v>
      </c>
      <c r="E88" s="1">
        <f ca="1">SUM($B$6:C88)/(2*A88)</f>
        <v>6.4839310562187045</v>
      </c>
      <c r="F88" s="1">
        <f ca="1">SUM($E$6:E88)/A88</f>
        <v>6.6439855271386747</v>
      </c>
    </row>
    <row r="89" spans="1:6" x14ac:dyDescent="0.25">
      <c r="A89" s="1">
        <v>84</v>
      </c>
      <c r="B89" s="1">
        <f t="shared" ca="1" si="3"/>
        <v>9.2909257922220156</v>
      </c>
      <c r="C89" s="1">
        <f t="shared" ca="1" si="4"/>
        <v>0.68683226494282046</v>
      </c>
      <c r="D89" s="1">
        <f t="shared" ca="1" si="5"/>
        <v>0.68683226494282046</v>
      </c>
      <c r="E89" s="1">
        <f ca="1">SUM($B$6:C89)/(2*A89)</f>
        <v>6.4661328177944624</v>
      </c>
      <c r="F89" s="1">
        <f ca="1">SUM($E$6:E89)/A89</f>
        <v>6.6418682329798147</v>
      </c>
    </row>
    <row r="90" spans="1:6" x14ac:dyDescent="0.25">
      <c r="A90" s="1">
        <v>85</v>
      </c>
      <c r="B90" s="1">
        <f t="shared" ca="1" si="3"/>
        <v>3.7328555038532341</v>
      </c>
      <c r="C90" s="1">
        <f t="shared" ca="1" si="4"/>
        <v>13.382062323464078</v>
      </c>
      <c r="D90" s="1">
        <f t="shared" ca="1" si="5"/>
        <v>3.7328555038532341</v>
      </c>
      <c r="E90" s="1">
        <f ca="1">SUM($B$6:C90)/(2*A90)</f>
        <v>6.4907366542163931</v>
      </c>
      <c r="F90" s="1">
        <f ca="1">SUM($E$6:E90)/A90</f>
        <v>6.6400902144061282</v>
      </c>
    </row>
    <row r="91" spans="1:6" x14ac:dyDescent="0.25">
      <c r="A91" s="1">
        <v>86</v>
      </c>
      <c r="B91" s="1">
        <f t="shared" ca="1" si="3"/>
        <v>1.2590797511428387</v>
      </c>
      <c r="C91" s="1">
        <f t="shared" ca="1" si="4"/>
        <v>6.7358409556423151</v>
      </c>
      <c r="D91" s="1">
        <f t="shared" ca="1" si="5"/>
        <v>1.2590797511428387</v>
      </c>
      <c r="E91" s="1">
        <f ca="1">SUM($B$6:C91)/(2*A91)</f>
        <v>6.4617450693230927</v>
      </c>
      <c r="F91" s="1">
        <f ca="1">SUM($E$6:E91)/A91</f>
        <v>6.6380164336493488</v>
      </c>
    </row>
    <row r="92" spans="1:6" x14ac:dyDescent="0.25">
      <c r="A92" s="1">
        <v>87</v>
      </c>
      <c r="B92" s="1">
        <f t="shared" ca="1" si="3"/>
        <v>5.5918415857987895</v>
      </c>
      <c r="C92" s="1">
        <f t="shared" ca="1" si="4"/>
        <v>3.6056691306409867</v>
      </c>
      <c r="D92" s="1">
        <f t="shared" ca="1" si="5"/>
        <v>3.6056691306409867</v>
      </c>
      <c r="E92" s="1">
        <f ca="1">SUM($B$6:C92)/(2*A92)</f>
        <v>6.4403313944828264</v>
      </c>
      <c r="F92" s="1">
        <f ca="1">SUM($E$6:E92)/A92</f>
        <v>6.6357441918198488</v>
      </c>
    </row>
    <row r="93" spans="1:6" x14ac:dyDescent="0.25">
      <c r="A93" s="1">
        <v>88</v>
      </c>
      <c r="B93" s="1">
        <f t="shared" ca="1" si="3"/>
        <v>8.4061529521282523</v>
      </c>
      <c r="C93" s="1">
        <f t="shared" ca="1" si="4"/>
        <v>3.4467294117284357</v>
      </c>
      <c r="D93" s="1">
        <f t="shared" ca="1" si="5"/>
        <v>3.4467294117284357</v>
      </c>
      <c r="E93" s="1">
        <f ca="1">SUM($B$6:C93)/(2*A93)</f>
        <v>6.4344917329765252</v>
      </c>
      <c r="F93" s="1">
        <f ca="1">SUM($E$6:E93)/A93</f>
        <v>6.6334572320602661</v>
      </c>
    </row>
    <row r="94" spans="1:6" x14ac:dyDescent="0.25">
      <c r="A94" s="1">
        <v>89</v>
      </c>
      <c r="B94" s="1">
        <f t="shared" ca="1" si="3"/>
        <v>5.1650077539310093</v>
      </c>
      <c r="C94" s="1">
        <f t="shared" ca="1" si="4"/>
        <v>12.556858941564755</v>
      </c>
      <c r="D94" s="1">
        <f t="shared" ca="1" si="5"/>
        <v>5.1650077539310093</v>
      </c>
      <c r="E94" s="1">
        <f ca="1">SUM($B$6:C94)/(2*A94)</f>
        <v>6.4617551219065401</v>
      </c>
      <c r="F94" s="1">
        <f ca="1">SUM($E$6:E94)/A94</f>
        <v>6.6315279948675281</v>
      </c>
    </row>
    <row r="95" spans="1:6" x14ac:dyDescent="0.25">
      <c r="A95" s="1">
        <v>90</v>
      </c>
      <c r="B95" s="1">
        <f t="shared" ca="1" si="3"/>
        <v>6.6567972215318587</v>
      </c>
      <c r="C95" s="1">
        <f t="shared" ca="1" si="4"/>
        <v>2.7334417777229825</v>
      </c>
      <c r="D95" s="1">
        <f t="shared" ca="1" si="5"/>
        <v>2.7334417777229825</v>
      </c>
      <c r="E95" s="1">
        <f ca="1">SUM($B$6:C95)/(2*A95)</f>
        <v>6.4421258372145491</v>
      </c>
      <c r="F95" s="1">
        <f ca="1">SUM($E$6:E95)/A95</f>
        <v>6.6294235264491617</v>
      </c>
    </row>
    <row r="96" spans="1:6" x14ac:dyDescent="0.25">
      <c r="A96" s="1">
        <v>91</v>
      </c>
      <c r="B96" s="1">
        <f t="shared" ca="1" si="3"/>
        <v>7.8969630509531878</v>
      </c>
      <c r="C96" s="1">
        <f t="shared" ca="1" si="4"/>
        <v>4.3437029066787716</v>
      </c>
      <c r="D96" s="1">
        <f t="shared" ca="1" si="5"/>
        <v>4.3437029066787716</v>
      </c>
      <c r="E96" s="1">
        <f ca="1">SUM($B$6:C96)/(2*A96)</f>
        <v>6.4385896519574226</v>
      </c>
      <c r="F96" s="1">
        <f ca="1">SUM($E$6:E96)/A96</f>
        <v>6.6273264509052963</v>
      </c>
    </row>
    <row r="97" spans="1:6" x14ac:dyDescent="0.25">
      <c r="A97" s="1">
        <v>92</v>
      </c>
      <c r="B97" s="1">
        <f t="shared" ca="1" si="3"/>
        <v>0.25655438829280564</v>
      </c>
      <c r="C97" s="1">
        <f t="shared" ca="1" si="4"/>
        <v>10.973934922252752</v>
      </c>
      <c r="D97" s="1">
        <f t="shared" ca="1" si="5"/>
        <v>0.25655438829280564</v>
      </c>
      <c r="E97" s="1">
        <f ca="1">SUM($B$6:C97)/(2*A97)</f>
        <v>6.4296402498195464</v>
      </c>
      <c r="F97" s="1">
        <f ca="1">SUM($E$6:E97)/A97</f>
        <v>6.625177687850015</v>
      </c>
    </row>
    <row r="98" spans="1:6" x14ac:dyDescent="0.25">
      <c r="A98" s="1">
        <v>93</v>
      </c>
      <c r="B98" s="1">
        <f t="shared" ca="1" si="3"/>
        <v>7.4352228810052541</v>
      </c>
      <c r="C98" s="1">
        <f t="shared" ca="1" si="4"/>
        <v>6.1428193962643629</v>
      </c>
      <c r="D98" s="1">
        <f t="shared" ca="1" si="5"/>
        <v>6.1428193962643629</v>
      </c>
      <c r="E98" s="1">
        <f ca="1">SUM($B$6:C98)/(2*A98)</f>
        <v>6.4335045604519685</v>
      </c>
      <c r="F98" s="1">
        <f ca="1">SUM($E$6:E98)/A98</f>
        <v>6.6231166864801443</v>
      </c>
    </row>
    <row r="99" spans="1:6" x14ac:dyDescent="0.25">
      <c r="A99" s="1">
        <v>94</v>
      </c>
      <c r="B99" s="1">
        <f t="shared" ca="1" si="3"/>
        <v>5.9631134266595796</v>
      </c>
      <c r="C99" s="1">
        <f t="shared" ca="1" si="4"/>
        <v>14.048275250583643</v>
      </c>
      <c r="D99" s="1">
        <f t="shared" ca="1" si="5"/>
        <v>5.9631134266595796</v>
      </c>
      <c r="E99" s="1">
        <f ca="1">SUM($B$6:C99)/(2*A99)</f>
        <v>6.4715065793686666</v>
      </c>
      <c r="F99" s="1">
        <f ca="1">SUM($E$6:E99)/A99</f>
        <v>6.6215038130002348</v>
      </c>
    </row>
    <row r="100" spans="1:6" x14ac:dyDescent="0.25">
      <c r="A100" s="1">
        <v>95</v>
      </c>
      <c r="B100" s="1">
        <f t="shared" ca="1" si="3"/>
        <v>5.4722873820825502</v>
      </c>
      <c r="C100" s="1">
        <f t="shared" ca="1" si="4"/>
        <v>0.86395283427563863</v>
      </c>
      <c r="D100" s="1">
        <f t="shared" ca="1" si="5"/>
        <v>0.86395283427563863</v>
      </c>
      <c r="E100" s="1">
        <f ca="1">SUM($B$6:C100)/(2*A100)</f>
        <v>6.4367340901982502</v>
      </c>
      <c r="F100" s="1">
        <f ca="1">SUM($E$6:E100)/A100</f>
        <v>6.6195588685496878</v>
      </c>
    </row>
    <row r="101" spans="1:6" x14ac:dyDescent="0.25">
      <c r="A101" s="1">
        <v>96</v>
      </c>
      <c r="B101" s="1">
        <f t="shared" ca="1" si="3"/>
        <v>8.9634227891464562</v>
      </c>
      <c r="C101" s="1">
        <f t="shared" ca="1" si="4"/>
        <v>7.6266633417307341</v>
      </c>
      <c r="D101" s="1">
        <f t="shared" ca="1" si="5"/>
        <v>7.6266633417307341</v>
      </c>
      <c r="E101" s="1">
        <f ca="1">SUM($B$6:C101)/(2*A101)</f>
        <v>6.4560914753570051</v>
      </c>
      <c r="F101" s="1">
        <f ca="1">SUM($E$6:E101)/A101</f>
        <v>6.6178560832039297</v>
      </c>
    </row>
    <row r="102" spans="1:6" x14ac:dyDescent="0.25">
      <c r="A102" s="1">
        <v>97</v>
      </c>
      <c r="B102" s="1">
        <f t="shared" ca="1" si="3"/>
        <v>0.12077787158037312</v>
      </c>
      <c r="C102" s="1">
        <f t="shared" ca="1" si="4"/>
        <v>8.4100058850658392</v>
      </c>
      <c r="D102" s="1">
        <f t="shared" ca="1" si="5"/>
        <v>0.12077787158037312</v>
      </c>
      <c r="E102" s="1">
        <f ca="1">SUM($B$6:C102)/(2*A102)</f>
        <v>6.4335069434288208</v>
      </c>
      <c r="F102" s="1">
        <f ca="1">SUM($E$6:E102)/A102</f>
        <v>6.61595557660831</v>
      </c>
    </row>
    <row r="103" spans="1:6" x14ac:dyDescent="0.25">
      <c r="A103" s="1">
        <v>98</v>
      </c>
      <c r="B103" s="1">
        <f t="shared" ca="1" si="3"/>
        <v>9.297276908361976</v>
      </c>
      <c r="C103" s="1">
        <f t="shared" ca="1" si="4"/>
        <v>0.32277166783261091</v>
      </c>
      <c r="D103" s="1">
        <f t="shared" ca="1" si="5"/>
        <v>0.32277166783261091</v>
      </c>
      <c r="E103" s="1">
        <f ca="1">SUM($B$6:C103)/(2*A103)</f>
        <v>6.4169407938846206</v>
      </c>
      <c r="F103" s="1">
        <f ca="1">SUM($E$6:E103)/A103</f>
        <v>6.6139248135192927</v>
      </c>
    </row>
    <row r="104" spans="1:6" x14ac:dyDescent="0.25">
      <c r="A104" s="1">
        <v>99</v>
      </c>
      <c r="B104" s="1">
        <f t="shared" ca="1" si="3"/>
        <v>9.3658860285151029</v>
      </c>
      <c r="C104" s="1">
        <f t="shared" ca="1" si="4"/>
        <v>13.926791337788089</v>
      </c>
      <c r="D104" s="1">
        <f t="shared" ca="1" si="5"/>
        <v>9.3658860285151029</v>
      </c>
      <c r="E104" s="1">
        <f ca="1">SUM($B$6:C104)/(2*A104)</f>
        <v>6.4697629947863078</v>
      </c>
      <c r="F104" s="1">
        <f ca="1">SUM($E$6:E104)/A104</f>
        <v>6.6124686335320906</v>
      </c>
    </row>
    <row r="105" spans="1:6" x14ac:dyDescent="0.25">
      <c r="A105" s="1">
        <v>100</v>
      </c>
      <c r="B105" s="1">
        <f t="shared" ca="1" si="3"/>
        <v>5.3435293256675678</v>
      </c>
      <c r="C105" s="1">
        <f t="shared" ca="1" si="4"/>
        <v>5.1831944134485148</v>
      </c>
      <c r="D105" s="1">
        <f t="shared" ca="1" si="5"/>
        <v>5.1831944134485148</v>
      </c>
      <c r="E105" s="1">
        <f ca="1">SUM($B$6:C105)/(2*A105)</f>
        <v>6.4576989835340246</v>
      </c>
      <c r="F105" s="1">
        <f ca="1">SUM($E$6:E105)/A105</f>
        <v>6.6109209370321089</v>
      </c>
    </row>
    <row r="106" spans="1:6" x14ac:dyDescent="0.25">
      <c r="A106" s="1">
        <v>101</v>
      </c>
      <c r="B106" s="1">
        <f t="shared" ca="1" si="3"/>
        <v>5.9589235840777031</v>
      </c>
      <c r="C106" s="1">
        <f t="shared" ca="1" si="4"/>
        <v>11.45917475334446</v>
      </c>
      <c r="D106" s="1">
        <f t="shared" ca="1" si="5"/>
        <v>5.9589235840777031</v>
      </c>
      <c r="E106" s="1">
        <f ca="1">SUM($B$6:C106)/(2*A106)</f>
        <v>6.4799895794268672</v>
      </c>
      <c r="F106" s="1">
        <f ca="1">SUM($E$6:E106)/A106</f>
        <v>6.6096245869568095</v>
      </c>
    </row>
    <row r="107" spans="1:6" x14ac:dyDescent="0.25">
      <c r="A107" s="1">
        <v>102</v>
      </c>
      <c r="B107" s="1">
        <f t="shared" ca="1" si="3"/>
        <v>6.7644929756721552</v>
      </c>
      <c r="C107" s="1">
        <f t="shared" ca="1" si="4"/>
        <v>14.933261683209262</v>
      </c>
      <c r="D107" s="1">
        <f t="shared" ca="1" si="5"/>
        <v>6.7644929756721552</v>
      </c>
      <c r="E107" s="1">
        <f ca="1">SUM($B$6:C107)/(2*A107)</f>
        <v>6.5228218122701405</v>
      </c>
      <c r="F107" s="1">
        <f ca="1">SUM($E$6:E107)/A107</f>
        <v>6.6087735793618432</v>
      </c>
    </row>
    <row r="108" spans="1:6" x14ac:dyDescent="0.25">
      <c r="A108" s="1">
        <v>103</v>
      </c>
      <c r="B108" s="1">
        <f t="shared" ca="1" si="3"/>
        <v>6.3035980641656861</v>
      </c>
      <c r="C108" s="1">
        <f t="shared" ca="1" si="4"/>
        <v>8.3567356841265354</v>
      </c>
      <c r="D108" s="1">
        <f t="shared" ca="1" si="5"/>
        <v>6.3035980641656861</v>
      </c>
      <c r="E108" s="1">
        <f ca="1">SUM($B$6:C108)/(2*A108)</f>
        <v>6.5306601138417513</v>
      </c>
      <c r="F108" s="1">
        <f ca="1">SUM($E$6:E108)/A108</f>
        <v>6.6080151962014542</v>
      </c>
    </row>
    <row r="109" spans="1:6" x14ac:dyDescent="0.25">
      <c r="A109" s="1">
        <v>104</v>
      </c>
      <c r="B109" s="1">
        <f t="shared" ca="1" si="3"/>
        <v>7.0714721983739981</v>
      </c>
      <c r="C109" s="1">
        <f t="shared" ca="1" si="4"/>
        <v>12.55386267215402</v>
      </c>
      <c r="D109" s="1">
        <f t="shared" ca="1" si="5"/>
        <v>7.0714721983739981</v>
      </c>
      <c r="E109" s="1">
        <f ca="1">SUM($B$6:C109)/(2*A109)</f>
        <v>6.5622178765477353</v>
      </c>
      <c r="F109" s="1">
        <f ca="1">SUM($E$6:E109)/A109</f>
        <v>6.60757483735863</v>
      </c>
    </row>
    <row r="110" spans="1:6" x14ac:dyDescent="0.25">
      <c r="A110" s="1">
        <v>105</v>
      </c>
      <c r="B110" s="1">
        <f t="shared" ca="1" si="3"/>
        <v>7.6494279752250236</v>
      </c>
      <c r="C110" s="1">
        <f t="shared" ca="1" si="4"/>
        <v>13.979272263498128</v>
      </c>
      <c r="D110" s="1">
        <f t="shared" ca="1" si="5"/>
        <v>7.6494279752250236</v>
      </c>
      <c r="E110" s="1">
        <f ca="1">SUM($B$6:C110)/(2*A110)</f>
        <v>6.6027143740983441</v>
      </c>
      <c r="F110" s="1">
        <f ca="1">SUM($E$6:E110)/A110</f>
        <v>6.6075285472323415</v>
      </c>
    </row>
    <row r="111" spans="1:6" x14ac:dyDescent="0.25">
      <c r="A111" s="1">
        <v>106</v>
      </c>
      <c r="B111" s="1">
        <f t="shared" ca="1" si="3"/>
        <v>3.6441205583827263</v>
      </c>
      <c r="C111" s="1">
        <f t="shared" ca="1" si="4"/>
        <v>1.1035005712843882</v>
      </c>
      <c r="D111" s="1">
        <f t="shared" ca="1" si="5"/>
        <v>1.1035005712843882</v>
      </c>
      <c r="E111" s="1">
        <f ca="1">SUM($B$6:C111)/(2*A111)</f>
        <v>6.5628190551430166</v>
      </c>
      <c r="F111" s="1">
        <f ca="1">SUM($E$6:E111)/A111</f>
        <v>6.6071067595711215</v>
      </c>
    </row>
    <row r="112" spans="1:6" x14ac:dyDescent="0.25">
      <c r="A112" s="1">
        <v>107</v>
      </c>
      <c r="B112" s="1">
        <f t="shared" ca="1" si="3"/>
        <v>3.4494436196555824</v>
      </c>
      <c r="C112" s="1">
        <f t="shared" ca="1" si="4"/>
        <v>9.3214064062868935</v>
      </c>
      <c r="D112" s="1">
        <f t="shared" ca="1" si="5"/>
        <v>3.4494436196555824</v>
      </c>
      <c r="E112" s="1">
        <f ca="1">SUM($B$6:C112)/(2*A112)</f>
        <v>6.5611611668984207</v>
      </c>
      <c r="F112" s="1">
        <f ca="1">SUM($E$6:E112)/A112</f>
        <v>6.6066773615087593</v>
      </c>
    </row>
    <row r="113" spans="1:6" x14ac:dyDescent="0.25">
      <c r="A113" s="1">
        <v>108</v>
      </c>
      <c r="B113" s="1">
        <f t="shared" ca="1" si="3"/>
        <v>7.8459721748230535</v>
      </c>
      <c r="C113" s="1">
        <f t="shared" ca="1" si="4"/>
        <v>8.2572239522161563</v>
      </c>
      <c r="D113" s="1">
        <f t="shared" ca="1" si="5"/>
        <v>7.8459721748230535</v>
      </c>
      <c r="E113" s="1">
        <f ca="1">SUM($B$6:C113)/(2*A113)</f>
        <v>6.5749615085338027</v>
      </c>
      <c r="F113" s="1">
        <f ca="1">SUM($E$6:E113)/A113</f>
        <v>6.6063836962034355</v>
      </c>
    </row>
    <row r="114" spans="1:6" x14ac:dyDescent="0.25">
      <c r="A114" s="1">
        <v>109</v>
      </c>
      <c r="B114" s="1">
        <f t="shared" ca="1" si="3"/>
        <v>3.9900590698841509</v>
      </c>
      <c r="C114" s="1">
        <f t="shared" ca="1" si="4"/>
        <v>11.819600191176734</v>
      </c>
      <c r="D114" s="1">
        <f t="shared" ca="1" si="5"/>
        <v>3.9900590698841509</v>
      </c>
      <c r="E114" s="1">
        <f ca="1">SUM($B$6:C114)/(2*A114)</f>
        <v>6.5871621335062498</v>
      </c>
      <c r="F114" s="1">
        <f ca="1">SUM($E$6:E114)/A114</f>
        <v>6.606207351591534</v>
      </c>
    </row>
    <row r="115" spans="1:6" x14ac:dyDescent="0.25">
      <c r="A115" s="1">
        <v>110</v>
      </c>
      <c r="B115" s="1">
        <f t="shared" ca="1" si="3"/>
        <v>9.8476334800620666</v>
      </c>
      <c r="C115" s="1">
        <f t="shared" ca="1" si="4"/>
        <v>13.61170961583991</v>
      </c>
      <c r="D115" s="1">
        <f t="shared" ca="1" si="5"/>
        <v>9.8476334800620666</v>
      </c>
      <c r="E115" s="1">
        <f ca="1">SUM($B$6:C115)/(2*A115)</f>
        <v>6.6339122190921103</v>
      </c>
      <c r="F115" s="1">
        <f ca="1">SUM($E$6:E115)/A115</f>
        <v>6.6064592140233573</v>
      </c>
    </row>
    <row r="116" spans="1:6" x14ac:dyDescent="0.25">
      <c r="A116" s="1">
        <v>111</v>
      </c>
      <c r="B116" s="1">
        <f t="shared" ca="1" si="3"/>
        <v>0.14548678906452062</v>
      </c>
      <c r="C116" s="1">
        <f t="shared" ca="1" si="4"/>
        <v>10.441653939082624</v>
      </c>
      <c r="D116" s="1">
        <f t="shared" ca="1" si="5"/>
        <v>0.14548678906452062</v>
      </c>
      <c r="E116" s="1">
        <f ca="1">SUM($B$6:C116)/(2*A116)</f>
        <v>6.6218370672450968</v>
      </c>
      <c r="F116" s="1">
        <f ca="1">SUM($E$6:E116)/A116</f>
        <v>6.6065977532415712</v>
      </c>
    </row>
    <row r="117" spans="1:6" x14ac:dyDescent="0.25">
      <c r="A117" s="1">
        <v>112</v>
      </c>
      <c r="B117" s="1">
        <f t="shared" ca="1" si="3"/>
        <v>1.4592737770339426</v>
      </c>
      <c r="C117" s="1">
        <f t="shared" ca="1" si="4"/>
        <v>14.751358467893848</v>
      </c>
      <c r="D117" s="1">
        <f t="shared" ca="1" si="5"/>
        <v>1.4592737770339426</v>
      </c>
      <c r="E117" s="1">
        <f ca="1">SUM($B$6:C117)/(2*A117)</f>
        <v>6.6350824159524082</v>
      </c>
      <c r="F117" s="1">
        <f ca="1">SUM($E$6:E117)/A117</f>
        <v>6.6068520805872035</v>
      </c>
    </row>
    <row r="118" spans="1:6" x14ac:dyDescent="0.25">
      <c r="A118" s="1">
        <v>113</v>
      </c>
      <c r="B118" s="1">
        <f t="shared" ca="1" si="3"/>
        <v>4.9831911500566477</v>
      </c>
      <c r="C118" s="1">
        <f t="shared" ca="1" si="4"/>
        <v>8.2476685943498538</v>
      </c>
      <c r="D118" s="1">
        <f t="shared" ca="1" si="5"/>
        <v>4.9831911500566477</v>
      </c>
      <c r="E118" s="1">
        <f ca="1">SUM($B$6:C118)/(2*A118)</f>
        <v>6.634908499636043</v>
      </c>
      <c r="F118" s="1">
        <f ca="1">SUM($E$6:E118)/A118</f>
        <v>6.6071003674814408</v>
      </c>
    </row>
    <row r="119" spans="1:6" x14ac:dyDescent="0.25">
      <c r="A119" s="1">
        <v>114</v>
      </c>
      <c r="B119" s="1">
        <f t="shared" ca="1" si="3"/>
        <v>2.7433408134484227</v>
      </c>
      <c r="C119" s="1">
        <f t="shared" ca="1" si="4"/>
        <v>9.275917996201553</v>
      </c>
      <c r="D119" s="1">
        <f t="shared" ca="1" si="5"/>
        <v>2.7433408134484227</v>
      </c>
      <c r="E119" s="1">
        <f ca="1">SUM($B$6:C119)/(2*A119)</f>
        <v>6.6294235952955951</v>
      </c>
      <c r="F119" s="1">
        <f ca="1">SUM($E$6:E119)/A119</f>
        <v>6.6072961852692851</v>
      </c>
    </row>
    <row r="120" spans="1:6" x14ac:dyDescent="0.25">
      <c r="A120" s="1">
        <v>115</v>
      </c>
      <c r="B120" s="1">
        <f t="shared" ca="1" si="3"/>
        <v>7.7573215499480552</v>
      </c>
      <c r="C120" s="1">
        <f t="shared" ca="1" si="4"/>
        <v>4.1401867107112524</v>
      </c>
      <c r="D120" s="1">
        <f t="shared" ca="1" si="5"/>
        <v>4.1401867107112524</v>
      </c>
      <c r="E120" s="1">
        <f ca="1">SUM($B$6:C120)/(2*A120)</f>
        <v>6.623504730382848</v>
      </c>
      <c r="F120" s="1">
        <f ca="1">SUM($E$6:E120)/A120</f>
        <v>6.6074371291398375</v>
      </c>
    </row>
    <row r="121" spans="1:6" x14ac:dyDescent="0.25">
      <c r="A121" s="1">
        <v>116</v>
      </c>
      <c r="B121" s="1">
        <f t="shared" ca="1" si="3"/>
        <v>4.5451059181776774</v>
      </c>
      <c r="C121" s="1">
        <f t="shared" ca="1" si="4"/>
        <v>0.92268916053399319</v>
      </c>
      <c r="D121" s="1">
        <f t="shared" ca="1" si="5"/>
        <v>0.92268916053399319</v>
      </c>
      <c r="E121" s="1">
        <f ca="1">SUM($B$6:C121)/(2*A121)</f>
        <v>6.5899736339084773</v>
      </c>
      <c r="F121" s="1">
        <f ca="1">SUM($E$6:E121)/A121</f>
        <v>6.6072865817671529</v>
      </c>
    </row>
    <row r="122" spans="1:6" x14ac:dyDescent="0.25">
      <c r="A122" s="1">
        <v>117</v>
      </c>
      <c r="B122" s="1">
        <f t="shared" ca="1" si="3"/>
        <v>1.1278589105944592</v>
      </c>
      <c r="C122" s="1">
        <f t="shared" ca="1" si="4"/>
        <v>5.6160958502525729</v>
      </c>
      <c r="D122" s="1">
        <f t="shared" ca="1" si="5"/>
        <v>1.1278589105944592</v>
      </c>
      <c r="E122" s="1">
        <f ca="1">SUM($B$6:C122)/(2*A122)</f>
        <v>6.5624693924257</v>
      </c>
      <c r="F122" s="1">
        <f ca="1">SUM($E$6:E122)/A122</f>
        <v>6.6069035288667983</v>
      </c>
    </row>
    <row r="123" spans="1:6" x14ac:dyDescent="0.25">
      <c r="A123" s="1">
        <v>118</v>
      </c>
      <c r="B123" s="1">
        <f t="shared" ca="1" si="3"/>
        <v>5.0663027894141486</v>
      </c>
      <c r="C123" s="1">
        <f t="shared" ca="1" si="4"/>
        <v>3.0915658865485245</v>
      </c>
      <c r="D123" s="1">
        <f t="shared" ca="1" si="5"/>
        <v>3.0915658865485245</v>
      </c>
      <c r="E123" s="1">
        <f ca="1">SUM($B$6:C123)/(2*A123)</f>
        <v>6.5414224851846461</v>
      </c>
      <c r="F123" s="1">
        <f ca="1">SUM($E$6:E123)/A123</f>
        <v>6.6063486047677973</v>
      </c>
    </row>
    <row r="124" spans="1:6" x14ac:dyDescent="0.25">
      <c r="A124" s="1">
        <v>119</v>
      </c>
      <c r="B124" s="1">
        <f t="shared" ca="1" si="3"/>
        <v>4.5433570260326004</v>
      </c>
      <c r="C124" s="1">
        <f t="shared" ca="1" si="4"/>
        <v>8.5606996476445456</v>
      </c>
      <c r="D124" s="1">
        <f t="shared" ca="1" si="5"/>
        <v>4.5433570260326004</v>
      </c>
      <c r="E124" s="1">
        <f ca="1">SUM($B$6:C124)/(2*A124)</f>
        <v>6.5415116099884605</v>
      </c>
      <c r="F124" s="1">
        <f ca="1">SUM($E$6:E124)/A124</f>
        <v>6.6058037560721719</v>
      </c>
    </row>
    <row r="125" spans="1:6" x14ac:dyDescent="0.25">
      <c r="A125" s="1">
        <v>120</v>
      </c>
      <c r="B125" s="1">
        <f t="shared" ca="1" si="3"/>
        <v>7.3197091782743318</v>
      </c>
      <c r="C125" s="1">
        <f t="shared" ca="1" si="4"/>
        <v>14.097690546439951</v>
      </c>
      <c r="D125" s="1">
        <f t="shared" ca="1" si="5"/>
        <v>7.3197091782743318</v>
      </c>
      <c r="E125" s="1">
        <f ca="1">SUM($B$6:C125)/(2*A125)</f>
        <v>6.5762381787581994</v>
      </c>
      <c r="F125" s="1">
        <f ca="1">SUM($E$6:E125)/A125</f>
        <v>6.6055573762612223</v>
      </c>
    </row>
    <row r="126" spans="1:6" x14ac:dyDescent="0.25">
      <c r="A126" s="1">
        <v>121</v>
      </c>
      <c r="B126" s="1">
        <f t="shared" ca="1" si="3"/>
        <v>6.2819480510262604</v>
      </c>
      <c r="C126" s="1">
        <f t="shared" ca="1" si="4"/>
        <v>4.8421580207157122</v>
      </c>
      <c r="D126" s="1">
        <f t="shared" ca="1" si="5"/>
        <v>4.8421580207157122</v>
      </c>
      <c r="E126" s="1">
        <f ca="1">SUM($B$6:C126)/(2*A126)</f>
        <v>6.5678564833624371</v>
      </c>
      <c r="F126" s="1">
        <f ca="1">SUM($E$6:E126)/A126</f>
        <v>6.6052457986339599</v>
      </c>
    </row>
    <row r="127" spans="1:6" x14ac:dyDescent="0.25">
      <c r="A127" s="1">
        <v>122</v>
      </c>
      <c r="B127" s="1">
        <f t="shared" ca="1" si="3"/>
        <v>7.2234612768237643</v>
      </c>
      <c r="C127" s="1">
        <f t="shared" ca="1" si="4"/>
        <v>14.055183401672767</v>
      </c>
      <c r="D127" s="1">
        <f t="shared" ca="1" si="5"/>
        <v>7.2234612768237643</v>
      </c>
      <c r="E127" s="1">
        <f ca="1">SUM($B$6:C127)/(2*A127)</f>
        <v>6.601229154312322</v>
      </c>
      <c r="F127" s="1">
        <f ca="1">SUM($E$6:E127)/A127</f>
        <v>6.6052128753198485</v>
      </c>
    </row>
    <row r="128" spans="1:6" x14ac:dyDescent="0.25">
      <c r="A128" s="1">
        <v>123</v>
      </c>
      <c r="B128" s="1">
        <f t="shared" ca="1" si="3"/>
        <v>7.2979733292649351</v>
      </c>
      <c r="C128" s="1">
        <f t="shared" ca="1" si="4"/>
        <v>3.0495740879611248</v>
      </c>
      <c r="D128" s="1">
        <f t="shared" ca="1" si="5"/>
        <v>3.0495740879611248</v>
      </c>
      <c r="E128" s="1">
        <f ca="1">SUM($B$6:C128)/(2*A128)</f>
        <v>6.5896238254854991</v>
      </c>
      <c r="F128" s="1">
        <f ca="1">SUM($E$6:E128)/A128</f>
        <v>6.6050861350772934</v>
      </c>
    </row>
    <row r="129" spans="1:6" x14ac:dyDescent="0.25">
      <c r="A129" s="1">
        <v>124</v>
      </c>
      <c r="B129" s="1">
        <f t="shared" ca="1" si="3"/>
        <v>4.3669224801781503</v>
      </c>
      <c r="C129" s="1">
        <f t="shared" ca="1" si="4"/>
        <v>0.1309576214373348</v>
      </c>
      <c r="D129" s="1">
        <f t="shared" ca="1" si="5"/>
        <v>0.1309576214373348</v>
      </c>
      <c r="E129" s="1">
        <f ca="1">SUM($B$6:C129)/(2*A129)</f>
        <v>6.5546183111735816</v>
      </c>
      <c r="F129" s="1">
        <f ca="1">SUM($E$6:E129)/A129</f>
        <v>6.6046791364974249</v>
      </c>
    </row>
    <row r="130" spans="1:6" x14ac:dyDescent="0.25">
      <c r="A130" s="1">
        <v>125</v>
      </c>
      <c r="B130" s="1">
        <f t="shared" ca="1" si="3"/>
        <v>5.90907160998505</v>
      </c>
      <c r="C130" s="1">
        <f t="shared" ca="1" si="4"/>
        <v>12.33160887846161</v>
      </c>
      <c r="D130" s="1">
        <f t="shared" ca="1" si="5"/>
        <v>5.90907160998505</v>
      </c>
      <c r="E130" s="1">
        <f ca="1">SUM($B$6:C130)/(2*A130)</f>
        <v>6.5751440866379793</v>
      </c>
      <c r="F130" s="1">
        <f ca="1">SUM($E$6:E130)/A130</f>
        <v>6.60444285609855</v>
      </c>
    </row>
    <row r="131" spans="1:6" x14ac:dyDescent="0.25">
      <c r="A131" s="1">
        <v>126</v>
      </c>
      <c r="B131" s="1">
        <f t="shared" ca="1" si="3"/>
        <v>1.5682806765168056</v>
      </c>
      <c r="C131" s="1">
        <f t="shared" ca="1" si="4"/>
        <v>11.637667408159173</v>
      </c>
      <c r="D131" s="1">
        <f t="shared" ca="1" si="5"/>
        <v>1.5682806765168056</v>
      </c>
      <c r="E131" s="1">
        <f ca="1">SUM($B$6:C131)/(2*A131)</f>
        <v>6.5753649593022647</v>
      </c>
      <c r="F131" s="1">
        <f ca="1">SUM($E$6:E131)/A131</f>
        <v>6.6042120791398498</v>
      </c>
    </row>
    <row r="132" spans="1:6" x14ac:dyDescent="0.25">
      <c r="A132" s="1">
        <v>127</v>
      </c>
      <c r="B132" s="1">
        <f t="shared" ca="1" si="3"/>
        <v>0.21688133427552936</v>
      </c>
      <c r="C132" s="1">
        <f t="shared" ca="1" si="4"/>
        <v>13.603717955497668</v>
      </c>
      <c r="D132" s="1">
        <f t="shared" ca="1" si="5"/>
        <v>0.21688133427552936</v>
      </c>
      <c r="E132" s="1">
        <f ca="1">SUM($B$6:C132)/(2*A132)</f>
        <v>6.5780022402911174</v>
      </c>
      <c r="F132" s="1">
        <f ca="1">SUM($E$6:E132)/A132</f>
        <v>6.6040057024560008</v>
      </c>
    </row>
    <row r="133" spans="1:6" x14ac:dyDescent="0.25">
      <c r="A133" s="1">
        <v>128</v>
      </c>
      <c r="B133" s="1">
        <f t="shared" ca="1" si="3"/>
        <v>5.4877591734815763</v>
      </c>
      <c r="C133" s="1">
        <f t="shared" ca="1" si="4"/>
        <v>9.2128807666718195</v>
      </c>
      <c r="D133" s="1">
        <f t="shared" ca="1" si="5"/>
        <v>5.4877591734815763</v>
      </c>
      <c r="E133" s="1">
        <f ca="1">SUM($B$6:C133)/(2*A133)</f>
        <v>6.5840359725550677</v>
      </c>
      <c r="F133" s="1">
        <f ca="1">SUM($E$6:E133)/A133</f>
        <v>6.6038496889411498</v>
      </c>
    </row>
    <row r="134" spans="1:6" x14ac:dyDescent="0.25">
      <c r="A134" s="1">
        <v>129</v>
      </c>
      <c r="B134" s="1">
        <f t="shared" ca="1" si="3"/>
        <v>3.082667345571497</v>
      </c>
      <c r="C134" s="1">
        <f t="shared" ca="1" si="4"/>
        <v>0.14674400948969102</v>
      </c>
      <c r="D134" s="1">
        <f t="shared" ca="1" si="5"/>
        <v>0.14674400948969102</v>
      </c>
      <c r="E134" s="1">
        <f ca="1">SUM($B$6:C134)/(2*A134)</f>
        <v>6.5455140322835605</v>
      </c>
      <c r="F134" s="1">
        <f ca="1">SUM($E$6:E134)/A134</f>
        <v>6.6033974745484549</v>
      </c>
    </row>
    <row r="135" spans="1:6" x14ac:dyDescent="0.25">
      <c r="A135" s="1">
        <v>130</v>
      </c>
      <c r="B135" s="1">
        <f t="shared" ref="B135:B198" ca="1" si="6">RAND()*$D$1</f>
        <v>0.39290590269886017</v>
      </c>
      <c r="C135" s="1">
        <f t="shared" ref="C135:C198" ca="1" si="7">RAND()*$D$2</f>
        <v>11.117958458921963</v>
      </c>
      <c r="D135" s="1">
        <f t="shared" ref="D135:D198" ca="1" si="8">MIN(B135:C135)</f>
        <v>0.39290590269886017</v>
      </c>
      <c r="E135" s="1">
        <f ca="1">SUM($B$6:C135)/(2*A135)</f>
        <v>6.5394364795799209</v>
      </c>
      <c r="F135" s="1">
        <f ca="1">SUM($E$6:E135)/A135</f>
        <v>6.6029054668948506</v>
      </c>
    </row>
    <row r="136" spans="1:6" x14ac:dyDescent="0.25">
      <c r="A136" s="1">
        <v>131</v>
      </c>
      <c r="B136" s="1">
        <f t="shared" ca="1" si="6"/>
        <v>6.3479121383313899</v>
      </c>
      <c r="C136" s="1">
        <f t="shared" ca="1" si="7"/>
        <v>6.756691829826857</v>
      </c>
      <c r="D136" s="1">
        <f t="shared" ca="1" si="8"/>
        <v>6.3479121383313899</v>
      </c>
      <c r="E136" s="1">
        <f ca="1">SUM($B$6:C136)/(2*A136)</f>
        <v>6.5395346895379305</v>
      </c>
      <c r="F136" s="1">
        <f ca="1">SUM($E$6:E136)/A136</f>
        <v>6.6024217205028135</v>
      </c>
    </row>
    <row r="137" spans="1:6" x14ac:dyDescent="0.25">
      <c r="A137" s="1">
        <v>132</v>
      </c>
      <c r="B137" s="1">
        <f t="shared" ca="1" si="6"/>
        <v>8.3494687286117966</v>
      </c>
      <c r="C137" s="1">
        <f t="shared" ca="1" si="7"/>
        <v>10.758138424423716</v>
      </c>
      <c r="D137" s="1">
        <f t="shared" ca="1" si="8"/>
        <v>8.3494687286117966</v>
      </c>
      <c r="E137" s="1">
        <f ca="1">SUM($B$6:C137)/(2*A137)</f>
        <v>6.5623700598938379</v>
      </c>
      <c r="F137" s="1">
        <f ca="1">SUM($E$6:E137)/A137</f>
        <v>6.6021182988315337</v>
      </c>
    </row>
    <row r="138" spans="1:6" x14ac:dyDescent="0.25">
      <c r="A138" s="1">
        <v>133</v>
      </c>
      <c r="B138" s="1">
        <f t="shared" ca="1" si="6"/>
        <v>5.6259894396513452</v>
      </c>
      <c r="C138" s="1">
        <f t="shared" ca="1" si="7"/>
        <v>1.2038011023868578</v>
      </c>
      <c r="D138" s="1">
        <f t="shared" ca="1" si="8"/>
        <v>1.2038011023868578</v>
      </c>
      <c r="E138" s="1">
        <f ca="1">SUM($B$6:C138)/(2*A138)</f>
        <v>6.5387048359173372</v>
      </c>
      <c r="F138" s="1">
        <f ca="1">SUM($E$6:E138)/A138</f>
        <v>6.601641505877291</v>
      </c>
    </row>
    <row r="139" spans="1:6" x14ac:dyDescent="0.25">
      <c r="A139" s="1">
        <v>134</v>
      </c>
      <c r="B139" s="1">
        <f t="shared" ca="1" si="6"/>
        <v>7.0775290577987651</v>
      </c>
      <c r="C139" s="1">
        <f t="shared" ca="1" si="7"/>
        <v>8.2334812194131057</v>
      </c>
      <c r="D139" s="1">
        <f t="shared" ca="1" si="8"/>
        <v>7.0775290577987651</v>
      </c>
      <c r="E139" s="1">
        <f ca="1">SUM($B$6:C139)/(2*A139)</f>
        <v>6.5470391665344163</v>
      </c>
      <c r="F139" s="1">
        <f ca="1">SUM($E$6:E139)/A139</f>
        <v>6.6012340257329418</v>
      </c>
    </row>
    <row r="140" spans="1:6" x14ac:dyDescent="0.25">
      <c r="A140" s="1">
        <v>135</v>
      </c>
      <c r="B140" s="1">
        <f t="shared" ca="1" si="6"/>
        <v>1.6503457712828384</v>
      </c>
      <c r="C140" s="1">
        <f t="shared" ca="1" si="7"/>
        <v>6.9628374212385395</v>
      </c>
      <c r="D140" s="1">
        <f t="shared" ca="1" si="8"/>
        <v>1.6503457712828384</v>
      </c>
      <c r="E140" s="1">
        <f ca="1">SUM($B$6:C140)/(2*A140)</f>
        <v>6.5304432586064634</v>
      </c>
      <c r="F140" s="1">
        <f ca="1">SUM($E$6:E140)/A140</f>
        <v>6.6007096496801534</v>
      </c>
    </row>
    <row r="141" spans="1:6" x14ac:dyDescent="0.25">
      <c r="A141" s="1">
        <v>136</v>
      </c>
      <c r="B141" s="1">
        <f t="shared" ca="1" si="6"/>
        <v>2.7550516432414951</v>
      </c>
      <c r="C141" s="1">
        <f t="shared" ca="1" si="7"/>
        <v>7.2219298084805557</v>
      </c>
      <c r="D141" s="1">
        <f t="shared" ca="1" si="8"/>
        <v>2.7550516432414951</v>
      </c>
      <c r="E141" s="1">
        <f ca="1">SUM($B$6:C141)/(2*A141)</f>
        <v>6.5191053723362771</v>
      </c>
      <c r="F141" s="1">
        <f ca="1">SUM($E$6:E141)/A141</f>
        <v>6.6001096182290953</v>
      </c>
    </row>
    <row r="142" spans="1:6" x14ac:dyDescent="0.25">
      <c r="A142" s="1">
        <v>137</v>
      </c>
      <c r="B142" s="1">
        <f t="shared" ca="1" si="6"/>
        <v>2.0576791756476656</v>
      </c>
      <c r="C142" s="1">
        <f t="shared" ca="1" si="7"/>
        <v>8.1802703990858863</v>
      </c>
      <c r="D142" s="1">
        <f t="shared" ca="1" si="8"/>
        <v>2.0576791756476656</v>
      </c>
      <c r="E142" s="1">
        <f ca="1">SUM($B$6:C142)/(2*A142)</f>
        <v>6.5088854410591273</v>
      </c>
      <c r="F142" s="1">
        <f ca="1">SUM($E$6:E142)/A142</f>
        <v>6.5994437483227451</v>
      </c>
    </row>
    <row r="143" spans="1:6" x14ac:dyDescent="0.25">
      <c r="A143" s="1">
        <v>138</v>
      </c>
      <c r="B143" s="1">
        <f t="shared" ca="1" si="6"/>
        <v>6.0991717035881479</v>
      </c>
      <c r="C143" s="1">
        <f t="shared" ca="1" si="7"/>
        <v>9.0313089460504203E-2</v>
      </c>
      <c r="D143" s="1">
        <f t="shared" ca="1" si="8"/>
        <v>9.0313089460504203E-2</v>
      </c>
      <c r="E143" s="1">
        <f ca="1">SUM($B$6:C143)/(2*A143)</f>
        <v>6.4841452740697445</v>
      </c>
      <c r="F143" s="1">
        <f ca="1">SUM($E$6:E143)/A143</f>
        <v>6.5986082521325056</v>
      </c>
    </row>
    <row r="144" spans="1:6" x14ac:dyDescent="0.25">
      <c r="A144" s="1">
        <v>139</v>
      </c>
      <c r="B144" s="1">
        <f t="shared" ca="1" si="6"/>
        <v>6.0317658866083823</v>
      </c>
      <c r="C144" s="1">
        <f t="shared" ca="1" si="7"/>
        <v>12.175218687564223</v>
      </c>
      <c r="D144" s="1">
        <f t="shared" ca="1" si="8"/>
        <v>6.0317658866083823</v>
      </c>
      <c r="E144" s="1">
        <f ca="1">SUM($B$6:C144)/(2*A144)</f>
        <v>6.5029894971849718</v>
      </c>
      <c r="F144" s="1">
        <f ca="1">SUM($E$6:E144)/A144</f>
        <v>6.5979203474206534</v>
      </c>
    </row>
    <row r="145" spans="1:6" x14ac:dyDescent="0.25">
      <c r="A145" s="1">
        <v>140</v>
      </c>
      <c r="B145" s="1">
        <f t="shared" ca="1" si="6"/>
        <v>2.0822589048356832</v>
      </c>
      <c r="C145" s="1">
        <f t="shared" ca="1" si="7"/>
        <v>7.8519166431288276</v>
      </c>
      <c r="D145" s="1">
        <f t="shared" ca="1" si="8"/>
        <v>2.0822589048356832</v>
      </c>
      <c r="E145" s="1">
        <f ca="1">SUM($B$6:C145)/(2*A145)</f>
        <v>6.4920187705906667</v>
      </c>
      <c r="F145" s="1">
        <f ca="1">SUM($E$6:E145)/A145</f>
        <v>6.5971639075861539</v>
      </c>
    </row>
    <row r="146" spans="1:6" x14ac:dyDescent="0.25">
      <c r="A146" s="1">
        <v>141</v>
      </c>
      <c r="B146" s="1">
        <f t="shared" ca="1" si="6"/>
        <v>6.6621212132963459</v>
      </c>
      <c r="C146" s="1">
        <f t="shared" ca="1" si="7"/>
        <v>1.6976057525645198</v>
      </c>
      <c r="D146" s="1">
        <f t="shared" ca="1" si="8"/>
        <v>1.6976057525645198</v>
      </c>
      <c r="E146" s="1">
        <f ca="1">SUM($B$6:C146)/(2*A146)</f>
        <v>6.4756205061391752</v>
      </c>
      <c r="F146" s="1">
        <f ca="1">SUM($E$6:E146)/A146</f>
        <v>6.5963018976468133</v>
      </c>
    </row>
    <row r="147" spans="1:6" x14ac:dyDescent="0.25">
      <c r="A147" s="1">
        <v>142</v>
      </c>
      <c r="B147" s="1">
        <f t="shared" ca="1" si="6"/>
        <v>3.6203796305011657</v>
      </c>
      <c r="C147" s="1">
        <f t="shared" ca="1" si="7"/>
        <v>3.8330320436792373</v>
      </c>
      <c r="D147" s="1">
        <f t="shared" ca="1" si="8"/>
        <v>3.6203796305011657</v>
      </c>
      <c r="E147" s="1">
        <f ca="1">SUM($B$6:C147)/(2*A147)</f>
        <v>6.4562619521317881</v>
      </c>
      <c r="F147" s="1">
        <f ca="1">SUM($E$6:E147)/A147</f>
        <v>6.5953157008474115</v>
      </c>
    </row>
    <row r="148" spans="1:6" x14ac:dyDescent="0.25">
      <c r="A148" s="1">
        <v>143</v>
      </c>
      <c r="B148" s="1">
        <f t="shared" ca="1" si="6"/>
        <v>9.2510768786926008</v>
      </c>
      <c r="C148" s="1">
        <f t="shared" ca="1" si="7"/>
        <v>12.741224421992444</v>
      </c>
      <c r="D148" s="1">
        <f t="shared" ca="1" si="8"/>
        <v>9.2510768786926008</v>
      </c>
      <c r="E148" s="1">
        <f ca="1">SUM($B$6:C148)/(2*A148)</f>
        <v>6.4880094255458491</v>
      </c>
      <c r="F148" s="1">
        <f ca="1">SUM($E$6:E148)/A148</f>
        <v>6.5945653073138342</v>
      </c>
    </row>
    <row r="149" spans="1:6" x14ac:dyDescent="0.25">
      <c r="A149" s="1">
        <v>144</v>
      </c>
      <c r="B149" s="1">
        <f t="shared" ca="1" si="6"/>
        <v>0.76046736623060385</v>
      </c>
      <c r="C149" s="1">
        <f t="shared" ca="1" si="7"/>
        <v>9.0103379221732087</v>
      </c>
      <c r="D149" s="1">
        <f t="shared" ca="1" si="8"/>
        <v>0.76046736623060385</v>
      </c>
      <c r="E149" s="1">
        <f ca="1">SUM($B$6:C149)/(2*A149)</f>
        <v>6.4768802117865167</v>
      </c>
      <c r="F149" s="1">
        <f ca="1">SUM($E$6:E149)/A149</f>
        <v>6.5937480497060053</v>
      </c>
    </row>
    <row r="150" spans="1:6" x14ac:dyDescent="0.25">
      <c r="A150" s="1">
        <v>145</v>
      </c>
      <c r="B150" s="1">
        <f t="shared" ca="1" si="6"/>
        <v>8.0203605007157783</v>
      </c>
      <c r="C150" s="1">
        <f t="shared" ca="1" si="7"/>
        <v>3.4975793812202798</v>
      </c>
      <c r="D150" s="1">
        <f t="shared" ca="1" si="8"/>
        <v>3.4975793812202798</v>
      </c>
      <c r="E150" s="1">
        <f ca="1">SUM($B$6:C150)/(2*A150)</f>
        <v>6.4719291064705269</v>
      </c>
      <c r="F150" s="1">
        <f ca="1">SUM($E$6:E150)/A150</f>
        <v>6.592907919063002</v>
      </c>
    </row>
    <row r="151" spans="1:6" x14ac:dyDescent="0.25">
      <c r="A151" s="1">
        <v>146</v>
      </c>
      <c r="B151" s="1">
        <f t="shared" ca="1" si="6"/>
        <v>0.49141812368761917</v>
      </c>
      <c r="C151" s="1">
        <f t="shared" ca="1" si="7"/>
        <v>13.404591910710524</v>
      </c>
      <c r="D151" s="1">
        <f t="shared" ca="1" si="8"/>
        <v>0.49141812368761917</v>
      </c>
      <c r="E151" s="1">
        <f ca="1">SUM($B$6:C151)/(2*A151)</f>
        <v>6.4751899003796263</v>
      </c>
      <c r="F151" s="1">
        <f ca="1">SUM($E$6:E151)/A151</f>
        <v>6.5921016312638008</v>
      </c>
    </row>
    <row r="152" spans="1:6" x14ac:dyDescent="0.25">
      <c r="A152" s="1">
        <v>147</v>
      </c>
      <c r="B152" s="1">
        <f t="shared" ca="1" si="6"/>
        <v>1.627633895266255</v>
      </c>
      <c r="C152" s="1">
        <f t="shared" ca="1" si="7"/>
        <v>3.6474890220690535</v>
      </c>
      <c r="D152" s="1">
        <f t="shared" ca="1" si="8"/>
        <v>1.627633895266255</v>
      </c>
      <c r="E152" s="1">
        <f ca="1">SUM($B$6:C152)/(2*A152)</f>
        <v>6.449083584449613</v>
      </c>
      <c r="F152" s="1">
        <f ca="1">SUM($E$6:E152)/A152</f>
        <v>6.5911287193807109</v>
      </c>
    </row>
    <row r="153" spans="1:6" x14ac:dyDescent="0.25">
      <c r="A153" s="1">
        <v>148</v>
      </c>
      <c r="B153" s="1">
        <f t="shared" ca="1" si="6"/>
        <v>5.2843025990842332</v>
      </c>
      <c r="C153" s="1">
        <f t="shared" ca="1" si="7"/>
        <v>5.652765000760299</v>
      </c>
      <c r="D153" s="1">
        <f t="shared" ca="1" si="8"/>
        <v>5.2843025990842332</v>
      </c>
      <c r="E153" s="1">
        <f ca="1">SUM($B$6:C153)/(2*A153)</f>
        <v>6.4424582480676715</v>
      </c>
      <c r="F153" s="1">
        <f ca="1">SUM($E$6:E153)/A153</f>
        <v>6.5901241891691358</v>
      </c>
    </row>
    <row r="154" spans="1:6" x14ac:dyDescent="0.25">
      <c r="A154" s="1">
        <v>149</v>
      </c>
      <c r="B154" s="1">
        <f t="shared" ca="1" si="6"/>
        <v>3.9709833725999744</v>
      </c>
      <c r="C154" s="1">
        <f t="shared" ca="1" si="7"/>
        <v>8.4232279412382098</v>
      </c>
      <c r="D154" s="1">
        <f t="shared" ca="1" si="8"/>
        <v>3.9709833725999744</v>
      </c>
      <c r="E154" s="1">
        <f ca="1">SUM($B$6:C154)/(2*A154)</f>
        <v>6.44081158638211</v>
      </c>
      <c r="F154" s="1">
        <f ca="1">SUM($E$6:E154)/A154</f>
        <v>6.5891220911638539</v>
      </c>
    </row>
    <row r="155" spans="1:6" x14ac:dyDescent="0.25">
      <c r="A155" s="1">
        <v>150</v>
      </c>
      <c r="B155" s="1">
        <f t="shared" ca="1" si="6"/>
        <v>3.8530376549661249</v>
      </c>
      <c r="C155" s="1">
        <f t="shared" ca="1" si="7"/>
        <v>7.1194914557624607</v>
      </c>
      <c r="D155" s="1">
        <f t="shared" ca="1" si="8"/>
        <v>3.8530376549661249</v>
      </c>
      <c r="E155" s="1">
        <f ca="1">SUM($B$6:C155)/(2*A155)</f>
        <v>6.434447939508658</v>
      </c>
      <c r="F155" s="1">
        <f ca="1">SUM($E$6:E155)/A155</f>
        <v>6.588090930152819</v>
      </c>
    </row>
    <row r="156" spans="1:6" x14ac:dyDescent="0.25">
      <c r="A156" s="1">
        <v>151</v>
      </c>
      <c r="B156" s="1">
        <f t="shared" ca="1" si="6"/>
        <v>0.60980478730276455</v>
      </c>
      <c r="C156" s="1">
        <f t="shared" ca="1" si="7"/>
        <v>8.2966113924517764</v>
      </c>
      <c r="D156" s="1">
        <f t="shared" ca="1" si="8"/>
        <v>0.60980478730276455</v>
      </c>
      <c r="E156" s="1">
        <f ca="1">SUM($B$6:C156)/(2*A156)</f>
        <v>6.421327145802489</v>
      </c>
      <c r="F156" s="1">
        <f ca="1">SUM($E$6:E156)/A156</f>
        <v>6.5869865342299692</v>
      </c>
    </row>
    <row r="157" spans="1:6" x14ac:dyDescent="0.25">
      <c r="A157" s="1">
        <v>152</v>
      </c>
      <c r="B157" s="1">
        <f t="shared" ca="1" si="6"/>
        <v>1.5614067845833868</v>
      </c>
      <c r="C157" s="1">
        <f t="shared" ca="1" si="7"/>
        <v>3.1737651275294625</v>
      </c>
      <c r="D157" s="1">
        <f t="shared" ca="1" si="8"/>
        <v>1.5614067845833868</v>
      </c>
      <c r="E157" s="1">
        <f ca="1">SUM($B$6:C157)/(2*A157)</f>
        <v>6.3946577958699491</v>
      </c>
      <c r="F157" s="1">
        <f ca="1">SUM($E$6:E157)/A157</f>
        <v>6.5857212135828647</v>
      </c>
    </row>
    <row r="158" spans="1:6" x14ac:dyDescent="0.25">
      <c r="A158" s="1">
        <v>153</v>
      </c>
      <c r="B158" s="1">
        <f t="shared" ca="1" si="6"/>
        <v>6.3608927008017115</v>
      </c>
      <c r="C158" s="1">
        <f t="shared" ca="1" si="7"/>
        <v>7.259815395342736</v>
      </c>
      <c r="D158" s="1">
        <f t="shared" ca="1" si="8"/>
        <v>6.3608927008017115</v>
      </c>
      <c r="E158" s="1">
        <f ca="1">SUM($B$6:C158)/(2*A158)</f>
        <v>6.3973747648385908</v>
      </c>
      <c r="F158" s="1">
        <f ca="1">SUM($E$6:E158)/A158</f>
        <v>6.5844901910420521</v>
      </c>
    </row>
    <row r="159" spans="1:6" x14ac:dyDescent="0.25">
      <c r="A159" s="1">
        <v>154</v>
      </c>
      <c r="B159" s="1">
        <f t="shared" ca="1" si="6"/>
        <v>8.4360460828246602</v>
      </c>
      <c r="C159" s="1">
        <f t="shared" ca="1" si="7"/>
        <v>11.211002736215889</v>
      </c>
      <c r="D159" s="1">
        <f t="shared" ca="1" si="8"/>
        <v>8.4360460828246602</v>
      </c>
      <c r="E159" s="1">
        <f ca="1">SUM($B$6:C159)/(2*A159)</f>
        <v>6.4196224898040573</v>
      </c>
      <c r="F159" s="1">
        <f ca="1">SUM($E$6:E159)/A159</f>
        <v>6.5834196215534933</v>
      </c>
    </row>
    <row r="160" spans="1:6" x14ac:dyDescent="0.25">
      <c r="A160" s="1">
        <v>155</v>
      </c>
      <c r="B160" s="1">
        <f t="shared" ca="1" si="6"/>
        <v>2.4592645258997914</v>
      </c>
      <c r="C160" s="1">
        <f t="shared" ca="1" si="7"/>
        <v>1.3759022838347974</v>
      </c>
      <c r="D160" s="1">
        <f t="shared" ca="1" si="8"/>
        <v>1.3759022838347974</v>
      </c>
      <c r="E160" s="1">
        <f ca="1">SUM($B$6:C160)/(2*A160)</f>
        <v>6.3905770763528515</v>
      </c>
      <c r="F160" s="1">
        <f ca="1">SUM($E$6:E160)/A160</f>
        <v>6.582175476100586</v>
      </c>
    </row>
    <row r="161" spans="1:6" x14ac:dyDescent="0.25">
      <c r="A161" s="1">
        <v>156</v>
      </c>
      <c r="B161" s="1">
        <f t="shared" ca="1" si="6"/>
        <v>7.9576438859935381</v>
      </c>
      <c r="C161" s="1">
        <f t="shared" ca="1" si="7"/>
        <v>4.94328048871912</v>
      </c>
      <c r="D161" s="1">
        <f t="shared" ca="1" si="8"/>
        <v>4.94328048871912</v>
      </c>
      <c r="E161" s="1">
        <f ca="1">SUM($B$6:C161)/(2*A161)</f>
        <v>6.3909609552695414</v>
      </c>
      <c r="F161" s="1">
        <f ca="1">SUM($E$6:E161)/A161</f>
        <v>6.5809497419926952</v>
      </c>
    </row>
    <row r="162" spans="1:6" x14ac:dyDescent="0.25">
      <c r="A162" s="1">
        <v>157</v>
      </c>
      <c r="B162" s="1">
        <f t="shared" ca="1" si="6"/>
        <v>8.4211993712109159</v>
      </c>
      <c r="C162" s="1">
        <f t="shared" ca="1" si="7"/>
        <v>1.2935047871201844</v>
      </c>
      <c r="D162" s="1">
        <f t="shared" ca="1" si="8"/>
        <v>1.2935047871201844</v>
      </c>
      <c r="E162" s="1">
        <f ca="1">SUM($B$6:C162)/(2*A162)</f>
        <v>6.3811927458676045</v>
      </c>
      <c r="F162" s="1">
        <f ca="1">SUM($E$6:E162)/A162</f>
        <v>6.5796774044377582</v>
      </c>
    </row>
    <row r="163" spans="1:6" x14ac:dyDescent="0.25">
      <c r="A163" s="1">
        <v>158</v>
      </c>
      <c r="B163" s="1">
        <f t="shared" ca="1" si="6"/>
        <v>3.3795557447458346</v>
      </c>
      <c r="C163" s="1">
        <f t="shared" ca="1" si="7"/>
        <v>3.6363437289011364</v>
      </c>
      <c r="D163" s="1">
        <f t="shared" ca="1" si="8"/>
        <v>3.3795557447458346</v>
      </c>
      <c r="E163" s="1">
        <f ca="1">SUM($B$6:C163)/(2*A163)</f>
        <v>6.3630076635318824</v>
      </c>
      <c r="F163" s="1">
        <f ca="1">SUM($E$6:E163)/A163</f>
        <v>6.5783060769636696</v>
      </c>
    </row>
    <row r="164" spans="1:6" x14ac:dyDescent="0.25">
      <c r="A164" s="1">
        <v>159</v>
      </c>
      <c r="B164" s="1">
        <f t="shared" ca="1" si="6"/>
        <v>3.2120675906786977</v>
      </c>
      <c r="C164" s="1">
        <f t="shared" ca="1" si="7"/>
        <v>4.1006943592419605</v>
      </c>
      <c r="D164" s="1">
        <f t="shared" ca="1" si="8"/>
        <v>3.2120675906786977</v>
      </c>
      <c r="E164" s="1">
        <f ca="1">SUM($B$6:C164)/(2*A164)</f>
        <v>6.3459848541697976</v>
      </c>
      <c r="F164" s="1">
        <f ca="1">SUM($E$6:E164)/A164</f>
        <v>6.57684493719767</v>
      </c>
    </row>
    <row r="165" spans="1:6" x14ac:dyDescent="0.25">
      <c r="A165" s="1">
        <v>160</v>
      </c>
      <c r="B165" s="1">
        <f t="shared" ca="1" si="6"/>
        <v>1.6761521678842695</v>
      </c>
      <c r="C165" s="1">
        <f t="shared" ca="1" si="7"/>
        <v>9.7930552502518076</v>
      </c>
      <c r="D165" s="1">
        <f t="shared" ca="1" si="8"/>
        <v>1.6761521678842695</v>
      </c>
      <c r="E165" s="1">
        <f ca="1">SUM($B$6:C165)/(2*A165)</f>
        <v>6.3421637220129119</v>
      </c>
      <c r="F165" s="1">
        <f ca="1">SUM($E$6:E165)/A165</f>
        <v>6.5753781796027653</v>
      </c>
    </row>
    <row r="166" spans="1:6" x14ac:dyDescent="0.25">
      <c r="A166" s="1">
        <v>161</v>
      </c>
      <c r="B166" s="1">
        <f t="shared" ca="1" si="6"/>
        <v>6.7812710275881489</v>
      </c>
      <c r="C166" s="1">
        <f t="shared" ca="1" si="7"/>
        <v>6.6477507768305255</v>
      </c>
      <c r="D166" s="1">
        <f t="shared" ca="1" si="8"/>
        <v>6.6477507768305255</v>
      </c>
      <c r="E166" s="1">
        <f ca="1">SUM($B$6:C166)/(2*A166)</f>
        <v>6.3444764374178586</v>
      </c>
      <c r="F166" s="1">
        <f ca="1">SUM($E$6:E166)/A166</f>
        <v>6.5739440072910575</v>
      </c>
    </row>
    <row r="167" spans="1:6" x14ac:dyDescent="0.25">
      <c r="A167" s="1">
        <v>162</v>
      </c>
      <c r="B167" s="1">
        <f t="shared" ca="1" si="6"/>
        <v>8.8462817529588023</v>
      </c>
      <c r="C167" s="1">
        <f t="shared" ca="1" si="7"/>
        <v>11.922956578892158</v>
      </c>
      <c r="D167" s="1">
        <f t="shared" ca="1" si="8"/>
        <v>8.8462817529588023</v>
      </c>
      <c r="E167" s="1">
        <f ca="1">SUM($B$6:C167)/(2*A167)</f>
        <v>6.3694155900629683</v>
      </c>
      <c r="F167" s="1">
        <f ca="1">SUM($E$6:E167)/A167</f>
        <v>6.5726814861970571</v>
      </c>
    </row>
    <row r="168" spans="1:6" x14ac:dyDescent="0.25">
      <c r="A168" s="1">
        <v>163</v>
      </c>
      <c r="B168" s="1">
        <f t="shared" ca="1" si="6"/>
        <v>7.2557169946552369</v>
      </c>
      <c r="C168" s="1">
        <f t="shared" ca="1" si="7"/>
        <v>4.434454088897132</v>
      </c>
      <c r="D168" s="1">
        <f t="shared" ca="1" si="8"/>
        <v>4.434454088897132</v>
      </c>
      <c r="E168" s="1">
        <f ca="1">SUM($B$6:C168)/(2*A168)</f>
        <v>6.3661988413004726</v>
      </c>
      <c r="F168" s="1">
        <f ca="1">SUM($E$6:E168)/A168</f>
        <v>6.5714147215044401</v>
      </c>
    </row>
    <row r="169" spans="1:6" x14ac:dyDescent="0.25">
      <c r="A169" s="1">
        <v>164</v>
      </c>
      <c r="B169" s="1">
        <f t="shared" ca="1" si="6"/>
        <v>6.4505122702281303</v>
      </c>
      <c r="C169" s="1">
        <f t="shared" ca="1" si="7"/>
        <v>11.59444977737701</v>
      </c>
      <c r="D169" s="1">
        <f t="shared" ca="1" si="8"/>
        <v>6.4505122702281303</v>
      </c>
      <c r="E169" s="1">
        <f ca="1">SUM($B$6:C169)/(2*A169)</f>
        <v>6.3823956838767053</v>
      </c>
      <c r="F169" s="1">
        <f ca="1">SUM($E$6:E169)/A169</f>
        <v>6.5702621663969536</v>
      </c>
    </row>
    <row r="170" spans="1:6" x14ac:dyDescent="0.25">
      <c r="A170" s="1">
        <v>165</v>
      </c>
      <c r="B170" s="1">
        <f t="shared" ca="1" si="6"/>
        <v>8.0992279624661041</v>
      </c>
      <c r="C170" s="1">
        <f t="shared" ca="1" si="7"/>
        <v>9.6311808526384279</v>
      </c>
      <c r="D170" s="1">
        <f t="shared" ca="1" si="8"/>
        <v>8.0992279624661041</v>
      </c>
      <c r="E170" s="1">
        <f ca="1">SUM($B$6:C170)/(2*A170)</f>
        <v>6.3974430094747383</v>
      </c>
      <c r="F170" s="1">
        <f ca="1">SUM($E$6:E170)/A170</f>
        <v>6.5692147775671224</v>
      </c>
    </row>
    <row r="171" spans="1:6" x14ac:dyDescent="0.25">
      <c r="A171" s="1">
        <v>166</v>
      </c>
      <c r="B171" s="1">
        <f t="shared" ca="1" si="6"/>
        <v>3.0977671640877147</v>
      </c>
      <c r="C171" s="1">
        <f t="shared" ca="1" si="7"/>
        <v>13.84587438942342</v>
      </c>
      <c r="D171" s="1">
        <f t="shared" ca="1" si="8"/>
        <v>3.0977671640877147</v>
      </c>
      <c r="E171" s="1">
        <f ca="1">SUM($B$6:C171)/(2*A171)</f>
        <v>6.4099392610848636</v>
      </c>
      <c r="F171" s="1">
        <f ca="1">SUM($E$6:E171)/A171</f>
        <v>6.5682552865039767</v>
      </c>
    </row>
    <row r="172" spans="1:6" x14ac:dyDescent="0.25">
      <c r="A172" s="1">
        <v>167</v>
      </c>
      <c r="B172" s="1">
        <f t="shared" ca="1" si="6"/>
        <v>1.0886345052842283</v>
      </c>
      <c r="C172" s="1">
        <f t="shared" ca="1" si="7"/>
        <v>7.7437511907512038</v>
      </c>
      <c r="D172" s="1">
        <f t="shared" ca="1" si="8"/>
        <v>1.0886345052842283</v>
      </c>
      <c r="E172" s="1">
        <f ca="1">SUM($B$6:C172)/(2*A172)</f>
        <v>6.3980006598090116</v>
      </c>
      <c r="F172" s="1">
        <f ca="1">SUM($E$6:E172)/A172</f>
        <v>6.5672357977213718</v>
      </c>
    </row>
    <row r="173" spans="1:6" x14ac:dyDescent="0.25">
      <c r="A173" s="1">
        <v>168</v>
      </c>
      <c r="B173" s="1">
        <f t="shared" ca="1" si="6"/>
        <v>6.1330368121466599</v>
      </c>
      <c r="C173" s="1">
        <f t="shared" ca="1" si="7"/>
        <v>9.7351828205269992</v>
      </c>
      <c r="D173" s="1">
        <f t="shared" ca="1" si="8"/>
        <v>6.1330368121466599</v>
      </c>
      <c r="E173" s="1">
        <f ca="1">SUM($B$6:C173)/(2*A173)</f>
        <v>6.4071441666931053</v>
      </c>
      <c r="F173" s="1">
        <f ca="1">SUM($E$6:E173)/A173</f>
        <v>6.5662828713462034</v>
      </c>
    </row>
    <row r="174" spans="1:6" x14ac:dyDescent="0.25">
      <c r="A174" s="1">
        <v>169</v>
      </c>
      <c r="B174" s="1">
        <f t="shared" ca="1" si="6"/>
        <v>7.6593425743104575</v>
      </c>
      <c r="C174" s="1">
        <f t="shared" ca="1" si="7"/>
        <v>9.2223427434165295</v>
      </c>
      <c r="D174" s="1">
        <f t="shared" ca="1" si="8"/>
        <v>7.6593425743104575</v>
      </c>
      <c r="E174" s="1">
        <f ca="1">SUM($B$6:C174)/(2*A174)</f>
        <v>6.4191778855816874</v>
      </c>
      <c r="F174" s="1">
        <f ca="1">SUM($E$6:E174)/A174</f>
        <v>6.5654124276434542</v>
      </c>
    </row>
    <row r="175" spans="1:6" x14ac:dyDescent="0.25">
      <c r="A175" s="1">
        <v>170</v>
      </c>
      <c r="B175" s="1">
        <f t="shared" ca="1" si="6"/>
        <v>5.3227088333188668</v>
      </c>
      <c r="C175" s="1">
        <f t="shared" ca="1" si="7"/>
        <v>1.3850932622386392</v>
      </c>
      <c r="D175" s="1">
        <f t="shared" ca="1" si="8"/>
        <v>1.3850932622386392</v>
      </c>
      <c r="E175" s="1">
        <f ca="1">SUM($B$6:C175)/(2*A175)</f>
        <v>6.4011468453593166</v>
      </c>
      <c r="F175" s="1">
        <f ca="1">SUM($E$6:E175)/A175</f>
        <v>6.5644461595123706</v>
      </c>
    </row>
    <row r="176" spans="1:6" x14ac:dyDescent="0.25">
      <c r="A176" s="1">
        <v>171</v>
      </c>
      <c r="B176" s="1">
        <f t="shared" ca="1" si="6"/>
        <v>9.1131629729679222</v>
      </c>
      <c r="C176" s="1">
        <f t="shared" ca="1" si="7"/>
        <v>11.345246869748593</v>
      </c>
      <c r="D176" s="1">
        <f t="shared" ca="1" si="8"/>
        <v>9.1131629729679222</v>
      </c>
      <c r="E176" s="1">
        <f ca="1">SUM($B$6:C176)/(2*A176)</f>
        <v>6.4235331498973229</v>
      </c>
      <c r="F176" s="1">
        <f ca="1">SUM($E$6:E176)/A176</f>
        <v>6.5636221068245639</v>
      </c>
    </row>
    <row r="177" spans="1:6" x14ac:dyDescent="0.25">
      <c r="A177" s="1">
        <v>172</v>
      </c>
      <c r="B177" s="1">
        <f t="shared" ca="1" si="6"/>
        <v>3.4640297089353944</v>
      </c>
      <c r="C177" s="1">
        <f t="shared" ca="1" si="7"/>
        <v>8.8971721580220819</v>
      </c>
      <c r="D177" s="1">
        <f t="shared" ca="1" si="8"/>
        <v>3.4640297089353944</v>
      </c>
      <c r="E177" s="1">
        <f ca="1">SUM($B$6:C177)/(2*A177)</f>
        <v>6.4221207532902378</v>
      </c>
      <c r="F177" s="1">
        <f ca="1">SUM($E$6:E177)/A177</f>
        <v>6.5627994245365739</v>
      </c>
    </row>
    <row r="178" spans="1:6" x14ac:dyDescent="0.25">
      <c r="A178" s="1">
        <v>173</v>
      </c>
      <c r="B178" s="1">
        <f t="shared" ca="1" si="6"/>
        <v>2.0747708068081705</v>
      </c>
      <c r="C178" s="1">
        <f t="shared" ca="1" si="7"/>
        <v>2.1204842241038486</v>
      </c>
      <c r="D178" s="1">
        <f t="shared" ca="1" si="8"/>
        <v>2.0747708068081705</v>
      </c>
      <c r="E178" s="1">
        <f ca="1">SUM($B$6:C178)/(2*A178)</f>
        <v>6.397123682551312</v>
      </c>
      <c r="F178" s="1">
        <f ca="1">SUM($E$6:E178)/A178</f>
        <v>6.5618417612881048</v>
      </c>
    </row>
    <row r="179" spans="1:6" x14ac:dyDescent="0.25">
      <c r="A179" s="1">
        <v>174</v>
      </c>
      <c r="B179" s="1">
        <f t="shared" ca="1" si="6"/>
        <v>0.12575136674915721</v>
      </c>
      <c r="C179" s="1">
        <f t="shared" ca="1" si="7"/>
        <v>4.3815325304027768</v>
      </c>
      <c r="D179" s="1">
        <f t="shared" ca="1" si="8"/>
        <v>0.12575136674915721</v>
      </c>
      <c r="E179" s="1">
        <f ca="1">SUM($B$6:C179)/(2*A179)</f>
        <v>6.3733105691376606</v>
      </c>
      <c r="F179" s="1">
        <f ca="1">SUM($E$6:E179)/A179</f>
        <v>6.5607582486895391</v>
      </c>
    </row>
    <row r="180" spans="1:6" x14ac:dyDescent="0.25">
      <c r="A180" s="1">
        <v>175</v>
      </c>
      <c r="B180" s="1">
        <f t="shared" ca="1" si="6"/>
        <v>8.5186066000052509</v>
      </c>
      <c r="C180" s="1">
        <f t="shared" ca="1" si="7"/>
        <v>9.8304800002829964</v>
      </c>
      <c r="D180" s="1">
        <f t="shared" ca="1" si="8"/>
        <v>8.5186066000052509</v>
      </c>
      <c r="E180" s="1">
        <f ca="1">SUM($B$6:C180)/(2*A180)</f>
        <v>6.3893176133148399</v>
      </c>
      <c r="F180" s="1">
        <f ca="1">SUM($E$6:E180)/A180</f>
        <v>6.5597785879159698</v>
      </c>
    </row>
    <row r="181" spans="1:6" x14ac:dyDescent="0.25">
      <c r="A181" s="1">
        <v>176</v>
      </c>
      <c r="B181" s="1">
        <f t="shared" ca="1" si="6"/>
        <v>7.2649045110188384</v>
      </c>
      <c r="C181" s="1">
        <f t="shared" ca="1" si="7"/>
        <v>10.751636822676595</v>
      </c>
      <c r="D181" s="1">
        <f t="shared" ca="1" si="8"/>
        <v>7.2649045110188384</v>
      </c>
      <c r="E181" s="1">
        <f ca="1">SUM($B$6:C181)/(2*A181)</f>
        <v>6.4041980283917317</v>
      </c>
      <c r="F181" s="1">
        <f ca="1">SUM($E$6:E181)/A181</f>
        <v>6.5588946074641266</v>
      </c>
    </row>
    <row r="182" spans="1:6" x14ac:dyDescent="0.25">
      <c r="A182" s="1">
        <v>177</v>
      </c>
      <c r="B182" s="1">
        <f t="shared" ca="1" si="6"/>
        <v>8.2571982857186477</v>
      </c>
      <c r="C182" s="1">
        <f t="shared" ca="1" si="7"/>
        <v>4.8925904348272162</v>
      </c>
      <c r="D182" s="1">
        <f t="shared" ca="1" si="8"/>
        <v>4.8925904348272162</v>
      </c>
      <c r="E182" s="1">
        <f ca="1">SUM($B$6:C182)/(2*A182)</f>
        <v>6.4051624144475561</v>
      </c>
      <c r="F182" s="1">
        <f ca="1">SUM($E$6:E182)/A182</f>
        <v>6.5580260640007575</v>
      </c>
    </row>
    <row r="183" spans="1:6" x14ac:dyDescent="0.25">
      <c r="A183" s="1">
        <v>178</v>
      </c>
      <c r="B183" s="1">
        <f t="shared" ca="1" si="6"/>
        <v>2.6306296609297797</v>
      </c>
      <c r="C183" s="1">
        <f t="shared" ca="1" si="7"/>
        <v>10.003724853198884</v>
      </c>
      <c r="D183" s="1">
        <f t="shared" ca="1" si="8"/>
        <v>2.6306296609297797</v>
      </c>
      <c r="E183" s="1">
        <f ca="1">SUM($B$6:C183)/(2*A183)</f>
        <v>6.4046681158105718</v>
      </c>
      <c r="F183" s="1">
        <f ca="1">SUM($E$6:E183)/A183</f>
        <v>6.5571645024940715</v>
      </c>
    </row>
    <row r="184" spans="1:6" x14ac:dyDescent="0.25">
      <c r="A184" s="1">
        <v>179</v>
      </c>
      <c r="B184" s="1">
        <f t="shared" ca="1" si="6"/>
        <v>5.110371089867459</v>
      </c>
      <c r="C184" s="1">
        <f t="shared" ca="1" si="7"/>
        <v>1.7485326744148411</v>
      </c>
      <c r="D184" s="1">
        <f t="shared" ca="1" si="8"/>
        <v>1.7485326744148411</v>
      </c>
      <c r="E184" s="1">
        <f ca="1">SUM($B$6:C184)/(2*A184)</f>
        <v>6.3880467960694016</v>
      </c>
      <c r="F184" s="1">
        <f ca="1">SUM($E$6:E184)/A184</f>
        <v>6.5562197108380671</v>
      </c>
    </row>
    <row r="185" spans="1:6" x14ac:dyDescent="0.25">
      <c r="A185" s="1">
        <v>180</v>
      </c>
      <c r="B185" s="1">
        <f t="shared" ca="1" si="6"/>
        <v>5.5681419026756949</v>
      </c>
      <c r="C185" s="1">
        <f t="shared" ca="1" si="7"/>
        <v>8.9775337963782924</v>
      </c>
      <c r="D185" s="1">
        <f t="shared" ca="1" si="8"/>
        <v>5.5681419026756949</v>
      </c>
      <c r="E185" s="1">
        <f ca="1">SUM($B$6:C185)/(2*A185)</f>
        <v>6.3929623019219433</v>
      </c>
      <c r="F185" s="1">
        <f ca="1">SUM($E$6:E185)/A185</f>
        <v>6.5553127252329775</v>
      </c>
    </row>
    <row r="186" spans="1:6" x14ac:dyDescent="0.25">
      <c r="A186" s="1">
        <v>181</v>
      </c>
      <c r="B186" s="1">
        <f t="shared" ca="1" si="6"/>
        <v>1.0092737577908961</v>
      </c>
      <c r="C186" s="1">
        <f t="shared" ca="1" si="7"/>
        <v>7.7585335450608071</v>
      </c>
      <c r="D186" s="1">
        <f t="shared" ca="1" si="8"/>
        <v>1.0092737577908961</v>
      </c>
      <c r="E186" s="1">
        <f ca="1">SUM($B$6:C186)/(2*A186)</f>
        <v>6.381862530372242</v>
      </c>
      <c r="F186" s="1">
        <f ca="1">SUM($E$6:E186)/A186</f>
        <v>6.5543544368635809</v>
      </c>
    </row>
    <row r="187" spans="1:6" x14ac:dyDescent="0.25">
      <c r="A187" s="1">
        <v>182</v>
      </c>
      <c r="B187" s="1">
        <f t="shared" ca="1" si="6"/>
        <v>8.4350602372749997</v>
      </c>
      <c r="C187" s="1">
        <f t="shared" ca="1" si="7"/>
        <v>11.707531849408566</v>
      </c>
      <c r="D187" s="1">
        <f t="shared" ca="1" si="8"/>
        <v>8.4350602372749997</v>
      </c>
      <c r="E187" s="1">
        <f ca="1">SUM($B$6:C187)/(2*A187)</f>
        <v>6.4021341430808656</v>
      </c>
      <c r="F187" s="1">
        <f ca="1">SUM($E$6:E187)/A187</f>
        <v>6.5535180616230173</v>
      </c>
    </row>
    <row r="188" spans="1:6" x14ac:dyDescent="0.25">
      <c r="A188" s="1">
        <v>183</v>
      </c>
      <c r="B188" s="1">
        <f t="shared" ca="1" si="6"/>
        <v>9.1106520176638135</v>
      </c>
      <c r="C188" s="1">
        <f t="shared" ca="1" si="7"/>
        <v>5.008563496984114</v>
      </c>
      <c r="D188" s="1">
        <f t="shared" ca="1" si="8"/>
        <v>5.008563496984114</v>
      </c>
      <c r="E188" s="1">
        <f ca="1">SUM($B$6:C188)/(2*A188)</f>
        <v>6.4057268950712647</v>
      </c>
      <c r="F188" s="1">
        <f ca="1">SUM($E$6:E188)/A188</f>
        <v>6.5527104596200019</v>
      </c>
    </row>
    <row r="189" spans="1:6" x14ac:dyDescent="0.25">
      <c r="A189" s="1">
        <v>184</v>
      </c>
      <c r="B189" s="1">
        <f t="shared" ca="1" si="6"/>
        <v>0.31543879094669269</v>
      </c>
      <c r="C189" s="1">
        <f t="shared" ca="1" si="7"/>
        <v>14.877334246243274</v>
      </c>
      <c r="D189" s="1">
        <f t="shared" ca="1" si="8"/>
        <v>0.31543879094669269</v>
      </c>
      <c r="E189" s="1">
        <f ca="1">SUM($B$6:C189)/(2*A189)</f>
        <v>6.4121978712860672</v>
      </c>
      <c r="F189" s="1">
        <f ca="1">SUM($E$6:E189)/A189</f>
        <v>6.5519468042486215</v>
      </c>
    </row>
    <row r="190" spans="1:6" x14ac:dyDescent="0.25">
      <c r="A190" s="1">
        <v>185</v>
      </c>
      <c r="B190" s="1">
        <f t="shared" ca="1" si="6"/>
        <v>0.84283698154413167</v>
      </c>
      <c r="C190" s="1">
        <f t="shared" ca="1" si="7"/>
        <v>9.8119063952450905</v>
      </c>
      <c r="D190" s="1">
        <f t="shared" ca="1" si="8"/>
        <v>0.84283698154413167</v>
      </c>
      <c r="E190" s="1">
        <f ca="1">SUM($B$6:C190)/(2*A190)</f>
        <v>6.4063339459731408</v>
      </c>
      <c r="F190" s="1">
        <f ca="1">SUM($E$6:E190)/A190</f>
        <v>6.5511597077174022</v>
      </c>
    </row>
    <row r="191" spans="1:6" x14ac:dyDescent="0.25">
      <c r="A191" s="1">
        <v>186</v>
      </c>
      <c r="B191" s="1">
        <f t="shared" ca="1" si="6"/>
        <v>2.6620618410807206</v>
      </c>
      <c r="C191" s="1">
        <f t="shared" ca="1" si="7"/>
        <v>2.7079018404050759</v>
      </c>
      <c r="D191" s="1">
        <f t="shared" ca="1" si="8"/>
        <v>2.6620618410807206</v>
      </c>
      <c r="E191" s="1">
        <f ca="1">SUM($B$6:C191)/(2*A191)</f>
        <v>6.3863266765901825</v>
      </c>
      <c r="F191" s="1">
        <f ca="1">SUM($E$6:E191)/A191</f>
        <v>6.5502735086253203</v>
      </c>
    </row>
    <row r="192" spans="1:6" x14ac:dyDescent="0.25">
      <c r="A192" s="1">
        <v>187</v>
      </c>
      <c r="B192" s="1">
        <f t="shared" ca="1" si="6"/>
        <v>2.2574510512775037</v>
      </c>
      <c r="C192" s="1">
        <f t="shared" ca="1" si="7"/>
        <v>6.6151832339446965</v>
      </c>
      <c r="D192" s="1">
        <f t="shared" ca="1" si="8"/>
        <v>2.2574510512775037</v>
      </c>
      <c r="E192" s="1">
        <f ca="1">SUM($B$6:C192)/(2*A192)</f>
        <v>6.3758988181197065</v>
      </c>
      <c r="F192" s="1">
        <f ca="1">SUM($E$6:E192)/A192</f>
        <v>6.5493410236493546</v>
      </c>
    </row>
    <row r="193" spans="1:6" x14ac:dyDescent="0.25">
      <c r="A193" s="1">
        <v>188</v>
      </c>
      <c r="B193" s="1">
        <f t="shared" ca="1" si="6"/>
        <v>0.81837283748605549</v>
      </c>
      <c r="C193" s="1">
        <f t="shared" ca="1" si="7"/>
        <v>12.865673832969151</v>
      </c>
      <c r="D193" s="1">
        <f t="shared" ca="1" si="8"/>
        <v>0.81837283748605549</v>
      </c>
      <c r="E193" s="1">
        <f ca="1">SUM($B$6:C193)/(2*A193)</f>
        <v>6.378378203849004</v>
      </c>
      <c r="F193" s="1">
        <f ca="1">SUM($E$6:E193)/A193</f>
        <v>6.5484316469482886</v>
      </c>
    </row>
    <row r="194" spans="1:6" x14ac:dyDescent="0.25">
      <c r="A194" s="1">
        <v>189</v>
      </c>
      <c r="B194" s="1">
        <f t="shared" ca="1" si="6"/>
        <v>0.16626121335802102</v>
      </c>
      <c r="C194" s="1">
        <f t="shared" ca="1" si="7"/>
        <v>4.149282146963734</v>
      </c>
      <c r="D194" s="1">
        <f t="shared" ca="1" si="8"/>
        <v>0.16626121335802102</v>
      </c>
      <c r="E194" s="1">
        <f ca="1">SUM($B$6:C194)/(2*A194)</f>
        <v>6.3560469524009191</v>
      </c>
      <c r="F194" s="1">
        <f ca="1">SUM($E$6:E194)/A194</f>
        <v>6.5474137385115299</v>
      </c>
    </row>
    <row r="195" spans="1:6" x14ac:dyDescent="0.25">
      <c r="A195" s="1">
        <v>190</v>
      </c>
      <c r="B195" s="1">
        <f t="shared" ca="1" si="6"/>
        <v>6.8233548928407011</v>
      </c>
      <c r="C195" s="1">
        <f t="shared" ca="1" si="7"/>
        <v>6.1930385499447986</v>
      </c>
      <c r="D195" s="1">
        <f t="shared" ca="1" si="8"/>
        <v>6.1930385499447986</v>
      </c>
      <c r="E195" s="1">
        <f ca="1">SUM($B$6:C195)/(2*A195)</f>
        <v>6.3568477406587709</v>
      </c>
      <c r="F195" s="1">
        <f ca="1">SUM($E$6:E195)/A195</f>
        <v>6.5464107595754628</v>
      </c>
    </row>
    <row r="196" spans="1:6" x14ac:dyDescent="0.25">
      <c r="A196" s="1">
        <v>191</v>
      </c>
      <c r="B196" s="1">
        <f t="shared" ca="1" si="6"/>
        <v>1.7667633287306861</v>
      </c>
      <c r="C196" s="1">
        <f t="shared" ca="1" si="7"/>
        <v>11.218181186089479</v>
      </c>
      <c r="D196" s="1">
        <f t="shared" ca="1" si="8"/>
        <v>1.7667633287306861</v>
      </c>
      <c r="E196" s="1">
        <f ca="1">SUM($B$6:C196)/(2*A196)</f>
        <v>6.3575578166627045</v>
      </c>
      <c r="F196" s="1">
        <f ca="1">SUM($E$6:E196)/A196</f>
        <v>6.5454220007120449</v>
      </c>
    </row>
    <row r="197" spans="1:6" x14ac:dyDescent="0.25">
      <c r="A197" s="1">
        <v>192</v>
      </c>
      <c r="B197" s="1">
        <f t="shared" ca="1" si="6"/>
        <v>7.880742134764942</v>
      </c>
      <c r="C197" s="1">
        <f t="shared" ca="1" si="7"/>
        <v>3.3435906575675975</v>
      </c>
      <c r="D197" s="1">
        <f t="shared" ca="1" si="8"/>
        <v>3.3435906575675975</v>
      </c>
      <c r="E197" s="1">
        <f ca="1">SUM($B$6:C197)/(2*A197)</f>
        <v>6.353675569680953</v>
      </c>
      <c r="F197" s="1">
        <f ca="1">SUM($E$6:E197)/A197</f>
        <v>6.5444233213837579</v>
      </c>
    </row>
    <row r="198" spans="1:6" x14ac:dyDescent="0.25">
      <c r="A198" s="1">
        <v>193</v>
      </c>
      <c r="B198" s="1">
        <f t="shared" ca="1" si="6"/>
        <v>2.0292099976061007</v>
      </c>
      <c r="C198" s="1">
        <f t="shared" ca="1" si="7"/>
        <v>9.3349255964851956</v>
      </c>
      <c r="D198" s="1">
        <f t="shared" ca="1" si="8"/>
        <v>2.0292099976061007</v>
      </c>
      <c r="E198" s="1">
        <f ca="1">SUM($B$6:C198)/(2*A198)</f>
        <v>6.3501957366621173</v>
      </c>
      <c r="F198" s="1">
        <f ca="1">SUM($E$6:E198)/A198</f>
        <v>6.5434169608411583</v>
      </c>
    </row>
    <row r="199" spans="1:6" x14ac:dyDescent="0.25">
      <c r="A199" s="1">
        <v>194</v>
      </c>
      <c r="B199" s="1">
        <f t="shared" ref="B199:B262" ca="1" si="9">RAND()*$D$1</f>
        <v>2.4813865182322772</v>
      </c>
      <c r="C199" s="1">
        <f t="shared" ref="C199:C262" ca="1" si="10">RAND()*$D$2</f>
        <v>13.218156792512003</v>
      </c>
      <c r="D199" s="1">
        <f t="shared" ref="D199:D262" ca="1" si="11">MIN(B199:C199)</f>
        <v>2.4813865182322772</v>
      </c>
      <c r="E199" s="1">
        <f ca="1">SUM($B$6:C199)/(2*A199)</f>
        <v>6.3579255094389735</v>
      </c>
      <c r="F199" s="1">
        <f ca="1">SUM($E$6:E199)/A199</f>
        <v>6.5424608193390856</v>
      </c>
    </row>
    <row r="200" spans="1:6" x14ac:dyDescent="0.25">
      <c r="A200" s="1">
        <v>195</v>
      </c>
      <c r="B200" s="1">
        <f t="shared" ca="1" si="9"/>
        <v>8.8103159894077017</v>
      </c>
      <c r="C200" s="1">
        <f t="shared" ca="1" si="10"/>
        <v>14.449472852432583</v>
      </c>
      <c r="D200" s="1">
        <f t="shared" ca="1" si="11"/>
        <v>8.8103159894077017</v>
      </c>
      <c r="E200" s="1">
        <f ca="1">SUM($B$6:C200)/(2*A200)</f>
        <v>6.3849612474465696</v>
      </c>
      <c r="F200" s="1">
        <f ca="1">SUM($E$6:E200)/A200</f>
        <v>6.5416531292268161</v>
      </c>
    </row>
    <row r="201" spans="1:6" x14ac:dyDescent="0.25">
      <c r="A201" s="1">
        <v>196</v>
      </c>
      <c r="B201" s="1">
        <f t="shared" ca="1" si="9"/>
        <v>8.6796192223216568</v>
      </c>
      <c r="C201" s="1">
        <f t="shared" ca="1" si="10"/>
        <v>10.284714942024845</v>
      </c>
      <c r="D201" s="1">
        <f t="shared" ca="1" si="11"/>
        <v>8.6796192223216568</v>
      </c>
      <c r="E201" s="1">
        <f ca="1">SUM($B$6:C201)/(2*A201)</f>
        <v>6.4007633180319097</v>
      </c>
      <c r="F201" s="1">
        <f ca="1">SUM($E$6:E201)/A201</f>
        <v>6.5409343036594958</v>
      </c>
    </row>
    <row r="202" spans="1:6" x14ac:dyDescent="0.25">
      <c r="A202" s="1">
        <v>197</v>
      </c>
      <c r="B202" s="1">
        <f t="shared" ca="1" si="9"/>
        <v>7.0169516298214347</v>
      </c>
      <c r="C202" s="1">
        <f t="shared" ca="1" si="10"/>
        <v>12.069158120377667</v>
      </c>
      <c r="D202" s="1">
        <f t="shared" ca="1" si="11"/>
        <v>7.0169516298214347</v>
      </c>
      <c r="E202" s="1">
        <f ca="1">SUM($B$6:C202)/(2*A202)</f>
        <v>6.4167140365957058</v>
      </c>
      <c r="F202" s="1">
        <f ca="1">SUM($E$6:E202)/A202</f>
        <v>6.5403037439282077</v>
      </c>
    </row>
    <row r="203" spans="1:6" x14ac:dyDescent="0.25">
      <c r="A203" s="1">
        <v>198</v>
      </c>
      <c r="B203" s="1">
        <f t="shared" ca="1" si="9"/>
        <v>3.7831837276088121</v>
      </c>
      <c r="C203" s="1">
        <f t="shared" ca="1" si="10"/>
        <v>2.3172715679642044</v>
      </c>
      <c r="D203" s="1">
        <f t="shared" ca="1" si="11"/>
        <v>2.3172715679642044</v>
      </c>
      <c r="E203" s="1">
        <f ca="1">SUM($B$6:C203)/(2*A203)</f>
        <v>6.3997115800865689</v>
      </c>
      <c r="F203" s="1">
        <f ca="1">SUM($E$6:E203)/A203</f>
        <v>6.5395936824946643</v>
      </c>
    </row>
    <row r="204" spans="1:6" x14ac:dyDescent="0.25">
      <c r="A204" s="1">
        <v>199</v>
      </c>
      <c r="B204" s="1">
        <f t="shared" ca="1" si="9"/>
        <v>1.6085584606147474</v>
      </c>
      <c r="C204" s="1">
        <f t="shared" ca="1" si="10"/>
        <v>12.05426045406864</v>
      </c>
      <c r="D204" s="1">
        <f t="shared" ca="1" si="11"/>
        <v>1.6085584606147474</v>
      </c>
      <c r="E204" s="1">
        <f ca="1">SUM($B$6:C204)/(2*A204)</f>
        <v>6.4018809161531784</v>
      </c>
      <c r="F204" s="1">
        <f ca="1">SUM($E$6:E204)/A204</f>
        <v>6.5389016585432005</v>
      </c>
    </row>
    <row r="205" spans="1:6" x14ac:dyDescent="0.25">
      <c r="A205" s="1">
        <v>200</v>
      </c>
      <c r="B205" s="1">
        <f t="shared" ca="1" si="9"/>
        <v>9.78175464572662</v>
      </c>
      <c r="C205" s="1">
        <f t="shared" ca="1" si="10"/>
        <v>10.878408261383163</v>
      </c>
      <c r="D205" s="1">
        <f t="shared" ca="1" si="11"/>
        <v>9.78175464572662</v>
      </c>
      <c r="E205" s="1">
        <f ca="1">SUM($B$6:C205)/(2*A205)</f>
        <v>6.4215219188401873</v>
      </c>
      <c r="F205" s="1">
        <f ca="1">SUM($E$6:E205)/A205</f>
        <v>6.5383147598446847</v>
      </c>
    </row>
    <row r="206" spans="1:6" x14ac:dyDescent="0.25">
      <c r="A206" s="1">
        <v>201</v>
      </c>
      <c r="B206" s="1">
        <f t="shared" ca="1" si="9"/>
        <v>6.5004955805263887</v>
      </c>
      <c r="C206" s="1">
        <f t="shared" ca="1" si="10"/>
        <v>4.4928951987862158</v>
      </c>
      <c r="D206" s="1">
        <f t="shared" ca="1" si="11"/>
        <v>4.4928951987862158</v>
      </c>
      <c r="E206" s="1">
        <f ca="1">SUM($B$6:C206)/(2*A206)</f>
        <v>6.4169207918293232</v>
      </c>
      <c r="F206" s="1">
        <f ca="1">SUM($E$6:E206)/A206</f>
        <v>6.5377108097550565</v>
      </c>
    </row>
    <row r="207" spans="1:6" x14ac:dyDescent="0.25">
      <c r="A207" s="1">
        <v>202</v>
      </c>
      <c r="B207" s="1">
        <f t="shared" ca="1" si="9"/>
        <v>1.09549563068292</v>
      </c>
      <c r="C207" s="1">
        <f t="shared" ca="1" si="10"/>
        <v>13.247040610744833</v>
      </c>
      <c r="D207" s="1">
        <f t="shared" ca="1" si="11"/>
        <v>1.09549563068292</v>
      </c>
      <c r="E207" s="1">
        <f ca="1">SUM($B$6:C207)/(2*A207)</f>
        <v>6.4206551845465736</v>
      </c>
      <c r="F207" s="1">
        <f ca="1">SUM($E$6:E207)/A207</f>
        <v>6.5371313264619459</v>
      </c>
    </row>
    <row r="208" spans="1:6" x14ac:dyDescent="0.25">
      <c r="A208" s="1">
        <v>203</v>
      </c>
      <c r="B208" s="1">
        <f t="shared" ca="1" si="9"/>
        <v>6.9284900806345417</v>
      </c>
      <c r="C208" s="1">
        <f t="shared" ca="1" si="10"/>
        <v>12.694228518150323</v>
      </c>
      <c r="D208" s="1">
        <f t="shared" ca="1" si="11"/>
        <v>6.9284900806345417</v>
      </c>
      <c r="E208" s="1">
        <f ca="1">SUM($B$6:C208)/(2*A208)</f>
        <v>6.4373581604817751</v>
      </c>
      <c r="F208" s="1">
        <f ca="1">SUM($E$6:E208)/A208</f>
        <v>6.5366398330334725</v>
      </c>
    </row>
    <row r="209" spans="1:6" x14ac:dyDescent="0.25">
      <c r="A209" s="1">
        <v>204</v>
      </c>
      <c r="B209" s="1">
        <f t="shared" ca="1" si="9"/>
        <v>6.9506799226943485</v>
      </c>
      <c r="C209" s="1">
        <f t="shared" ca="1" si="10"/>
        <v>3.7890731144640153</v>
      </c>
      <c r="D209" s="1">
        <f t="shared" ca="1" si="11"/>
        <v>3.7890731144640153</v>
      </c>
      <c r="E209" s="1">
        <f ca="1">SUM($B$6:C209)/(2*A209)</f>
        <v>6.4321254073351932</v>
      </c>
      <c r="F209" s="1">
        <f ca="1">SUM($E$6:E209)/A209</f>
        <v>6.5361275074173042</v>
      </c>
    </row>
    <row r="210" spans="1:6" x14ac:dyDescent="0.25">
      <c r="A210" s="1">
        <v>205</v>
      </c>
      <c r="B210" s="1">
        <f t="shared" ca="1" si="9"/>
        <v>9.1907764904074991</v>
      </c>
      <c r="C210" s="1">
        <f t="shared" ca="1" si="10"/>
        <v>5.8698649532051315</v>
      </c>
      <c r="D210" s="1">
        <f t="shared" ca="1" si="11"/>
        <v>5.8698649532051315</v>
      </c>
      <c r="E210" s="1">
        <f ca="1">SUM($B$6:C210)/(2*A210)</f>
        <v>6.4374824576496872</v>
      </c>
      <c r="F210" s="1">
        <f ca="1">SUM($E$6:E210)/A210</f>
        <v>6.5356463120525836</v>
      </c>
    </row>
    <row r="211" spans="1:6" x14ac:dyDescent="0.25">
      <c r="A211" s="1">
        <v>206</v>
      </c>
      <c r="B211" s="1">
        <f t="shared" ca="1" si="9"/>
        <v>4.5462531979656635</v>
      </c>
      <c r="C211" s="1">
        <f t="shared" ca="1" si="10"/>
        <v>2.9049830494363404</v>
      </c>
      <c r="D211" s="1">
        <f t="shared" ca="1" si="11"/>
        <v>2.9049830494363404</v>
      </c>
      <c r="E211" s="1">
        <f ca="1">SUM($B$6:C211)/(2*A211)</f>
        <v>6.4243180676790628</v>
      </c>
      <c r="F211" s="1">
        <f ca="1">SUM($E$6:E211)/A211</f>
        <v>6.5351058836818385</v>
      </c>
    </row>
    <row r="212" spans="1:6" x14ac:dyDescent="0.25">
      <c r="A212" s="1">
        <v>207</v>
      </c>
      <c r="B212" s="1">
        <f t="shared" ca="1" si="9"/>
        <v>5.9176706074383345</v>
      </c>
      <c r="C212" s="1">
        <f t="shared" ca="1" si="10"/>
        <v>2.7811937903576442</v>
      </c>
      <c r="D212" s="1">
        <f t="shared" ca="1" si="11"/>
        <v>2.7811937903576442</v>
      </c>
      <c r="E212" s="1">
        <f ca="1">SUM($B$6:C212)/(2*A212)</f>
        <v>6.4142944644482354</v>
      </c>
      <c r="F212" s="1">
        <f ca="1">SUM($E$6:E212)/A212</f>
        <v>6.5345222536372312</v>
      </c>
    </row>
    <row r="213" spans="1:6" x14ac:dyDescent="0.25">
      <c r="A213" s="1">
        <v>208</v>
      </c>
      <c r="B213" s="1">
        <f t="shared" ca="1" si="9"/>
        <v>5.8086331826652131</v>
      </c>
      <c r="C213" s="1">
        <f t="shared" ca="1" si="10"/>
        <v>0.22192026856428515</v>
      </c>
      <c r="D213" s="1">
        <f t="shared" ca="1" si="11"/>
        <v>0.22192026856428515</v>
      </c>
      <c r="E213" s="1">
        <f ca="1">SUM($B$6:C213)/(2*A213)</f>
        <v>6.397953033011536</v>
      </c>
      <c r="F213" s="1">
        <f ca="1">SUM($E$6:E213)/A213</f>
        <v>6.5338656708457616</v>
      </c>
    </row>
    <row r="214" spans="1:6" x14ac:dyDescent="0.25">
      <c r="A214" s="1">
        <v>209</v>
      </c>
      <c r="B214" s="1">
        <f t="shared" ca="1" si="9"/>
        <v>5.0833621368433768</v>
      </c>
      <c r="C214" s="1">
        <f t="shared" ca="1" si="10"/>
        <v>7.2064321228429353</v>
      </c>
      <c r="D214" s="1">
        <f t="shared" ca="1" si="11"/>
        <v>5.0833621368433768</v>
      </c>
      <c r="E214" s="1">
        <f ca="1">SUM($B$6:C214)/(2*A214)</f>
        <v>6.3967422392164721</v>
      </c>
      <c r="F214" s="1">
        <f ca="1">SUM($E$6:E214)/A214</f>
        <v>6.5332095778714594</v>
      </c>
    </row>
    <row r="215" spans="1:6" x14ac:dyDescent="0.25">
      <c r="A215" s="1">
        <v>210</v>
      </c>
      <c r="B215" s="1">
        <f t="shared" ca="1" si="9"/>
        <v>8.0920332330915095</v>
      </c>
      <c r="C215" s="1">
        <f t="shared" ca="1" si="10"/>
        <v>4.0821832688056414</v>
      </c>
      <c r="D215" s="1">
        <f t="shared" ca="1" si="11"/>
        <v>4.0821832688056414</v>
      </c>
      <c r="E215" s="1">
        <f ca="1">SUM($B$6:C215)/(2*A215)</f>
        <v>6.3952677916532918</v>
      </c>
      <c r="F215" s="1">
        <f ca="1">SUM($E$6:E215)/A215</f>
        <v>6.5325527122228015</v>
      </c>
    </row>
    <row r="216" spans="1:6" x14ac:dyDescent="0.25">
      <c r="A216" s="1">
        <v>211</v>
      </c>
      <c r="B216" s="1">
        <f t="shared" ca="1" si="9"/>
        <v>3.964724694709878</v>
      </c>
      <c r="C216" s="1">
        <f t="shared" ca="1" si="10"/>
        <v>13.721140705723602</v>
      </c>
      <c r="D216" s="1">
        <f t="shared" ca="1" si="11"/>
        <v>3.964724694709878</v>
      </c>
      <c r="E216" s="1">
        <f ca="1">SUM($B$6:C216)/(2*A216)</f>
        <v>6.4068680992768146</v>
      </c>
      <c r="F216" s="1">
        <f ca="1">SUM($E$6:E216)/A216</f>
        <v>6.5319570505500719</v>
      </c>
    </row>
    <row r="217" spans="1:6" x14ac:dyDescent="0.25">
      <c r="A217" s="1">
        <v>212</v>
      </c>
      <c r="B217" s="1">
        <f t="shared" ca="1" si="9"/>
        <v>4.1127014537868671</v>
      </c>
      <c r="C217" s="1">
        <f t="shared" ca="1" si="10"/>
        <v>2.7971090375674619</v>
      </c>
      <c r="D217" s="1">
        <f t="shared" ca="1" si="11"/>
        <v>2.7971090375674619</v>
      </c>
      <c r="E217" s="1">
        <f ca="1">SUM($B$6:C217)/(2*A217)</f>
        <v>6.3929437461937981</v>
      </c>
      <c r="F217" s="1">
        <f ca="1">SUM($E$6:E217)/A217</f>
        <v>6.5313013274163163</v>
      </c>
    </row>
    <row r="218" spans="1:6" x14ac:dyDescent="0.25">
      <c r="A218" s="1">
        <v>213</v>
      </c>
      <c r="B218" s="1">
        <f t="shared" ca="1" si="9"/>
        <v>2.1285733387516248</v>
      </c>
      <c r="C218" s="1">
        <f t="shared" ca="1" si="10"/>
        <v>12.218334606318138</v>
      </c>
      <c r="D218" s="1">
        <f t="shared" ca="1" si="11"/>
        <v>2.1285733387516248</v>
      </c>
      <c r="E218" s="1">
        <f ca="1">SUM($B$6:C218)/(2*A218)</f>
        <v>6.396608113453615</v>
      </c>
      <c r="F218" s="1">
        <f ca="1">SUM($E$6:E218)/A218</f>
        <v>6.5306689649094487</v>
      </c>
    </row>
    <row r="219" spans="1:6" x14ac:dyDescent="0.25">
      <c r="A219" s="1">
        <v>214</v>
      </c>
      <c r="B219" s="1">
        <f t="shared" ca="1" si="9"/>
        <v>4.0040010449941787</v>
      </c>
      <c r="C219" s="1">
        <f t="shared" ca="1" si="10"/>
        <v>11.538067374344314</v>
      </c>
      <c r="D219" s="1">
        <f t="shared" ca="1" si="11"/>
        <v>4.0040010449941787</v>
      </c>
      <c r="E219" s="1">
        <f ca="1">SUM($B$6:C219)/(2*A219)</f>
        <v>6.4030306653050904</v>
      </c>
      <c r="F219" s="1">
        <f ca="1">SUM($E$6:E219)/A219</f>
        <v>6.5300725242570925</v>
      </c>
    </row>
    <row r="220" spans="1:6" x14ac:dyDescent="0.25">
      <c r="A220" s="1">
        <v>215</v>
      </c>
      <c r="B220" s="1">
        <f t="shared" ca="1" si="9"/>
        <v>4.9616783258289416</v>
      </c>
      <c r="C220" s="1">
        <f t="shared" ca="1" si="10"/>
        <v>3.0956176515957097</v>
      </c>
      <c r="D220" s="1">
        <f t="shared" ca="1" si="11"/>
        <v>3.0956176515957097</v>
      </c>
      <c r="E220" s="1">
        <f ca="1">SUM($B$6:C220)/(2*A220)</f>
        <v>6.3919870249488442</v>
      </c>
      <c r="F220" s="1">
        <f ca="1">SUM($E$6:E220)/A220</f>
        <v>6.5294302661207748</v>
      </c>
    </row>
    <row r="221" spans="1:6" x14ac:dyDescent="0.25">
      <c r="A221" s="1">
        <v>216</v>
      </c>
      <c r="B221" s="1">
        <f t="shared" ca="1" si="9"/>
        <v>6.9527887560931054</v>
      </c>
      <c r="C221" s="1">
        <f t="shared" ca="1" si="10"/>
        <v>7.0263432932001386</v>
      </c>
      <c r="D221" s="1">
        <f t="shared" ca="1" si="11"/>
        <v>6.9527887560931054</v>
      </c>
      <c r="E221" s="1">
        <f ca="1">SUM($B$6:C221)/(2*A221)</f>
        <v>6.3947535943918901</v>
      </c>
      <c r="F221" s="1">
        <f ca="1">SUM($E$6:E221)/A221</f>
        <v>6.5288067630109188</v>
      </c>
    </row>
    <row r="222" spans="1:6" x14ac:dyDescent="0.25">
      <c r="A222" s="1">
        <v>217</v>
      </c>
      <c r="B222" s="1">
        <f t="shared" ca="1" si="9"/>
        <v>0.20037816800888231</v>
      </c>
      <c r="C222" s="1">
        <f t="shared" ca="1" si="10"/>
        <v>4.7334800650659599</v>
      </c>
      <c r="D222" s="1">
        <f t="shared" ca="1" si="11"/>
        <v>0.20037816800888231</v>
      </c>
      <c r="E222" s="1">
        <f ca="1">SUM($B$6:C222)/(2*A222)</f>
        <v>6.376653020761224</v>
      </c>
      <c r="F222" s="1">
        <f ca="1">SUM($E$6:E222)/A222</f>
        <v>6.5281055936917962</v>
      </c>
    </row>
    <row r="223" spans="1:6" x14ac:dyDescent="0.25">
      <c r="A223" s="1">
        <v>218</v>
      </c>
      <c r="B223" s="1">
        <f t="shared" ca="1" si="9"/>
        <v>4.1220380772752927</v>
      </c>
      <c r="C223" s="1">
        <f t="shared" ca="1" si="10"/>
        <v>3.5885683437831837</v>
      </c>
      <c r="D223" s="1">
        <f t="shared" ca="1" si="11"/>
        <v>3.5885683437831837</v>
      </c>
      <c r="E223" s="1">
        <f ca="1">SUM($B$6:C223)/(2*A223)</f>
        <v>6.3650871959436452</v>
      </c>
      <c r="F223" s="1">
        <f ca="1">SUM($E$6:E223)/A223</f>
        <v>6.5273578028764376</v>
      </c>
    </row>
    <row r="224" spans="1:6" x14ac:dyDescent="0.25">
      <c r="A224" s="1">
        <v>219</v>
      </c>
      <c r="B224" s="1">
        <f t="shared" ca="1" si="9"/>
        <v>7.2562519117748892</v>
      </c>
      <c r="C224" s="1">
        <f t="shared" ca="1" si="10"/>
        <v>3.9744337381432304</v>
      </c>
      <c r="D224" s="1">
        <f t="shared" ca="1" si="11"/>
        <v>3.9744337381432304</v>
      </c>
      <c r="E224" s="1">
        <f ca="1">SUM($B$6:C224)/(2*A224)</f>
        <v>6.361663705665177</v>
      </c>
      <c r="F224" s="1">
        <f ca="1">SUM($E$6:E224)/A224</f>
        <v>6.5266012088252454</v>
      </c>
    </row>
    <row r="225" spans="1:6" x14ac:dyDescent="0.25">
      <c r="A225" s="1">
        <v>220</v>
      </c>
      <c r="B225" s="1">
        <f t="shared" ca="1" si="9"/>
        <v>8.978791521398616</v>
      </c>
      <c r="C225" s="1">
        <f t="shared" ca="1" si="10"/>
        <v>4.728651766798972</v>
      </c>
      <c r="D225" s="1">
        <f t="shared" ca="1" si="11"/>
        <v>4.728651766798972</v>
      </c>
      <c r="E225" s="1">
        <f ca="1">SUM($B$6:C225)/(2*A225)</f>
        <v>6.3639003326580577</v>
      </c>
      <c r="F225" s="1">
        <f ca="1">SUM($E$6:E225)/A225</f>
        <v>6.5258616593881209</v>
      </c>
    </row>
    <row r="226" spans="1:6" x14ac:dyDescent="0.25">
      <c r="A226" s="1">
        <v>221</v>
      </c>
      <c r="B226" s="1">
        <f t="shared" ca="1" si="9"/>
        <v>8.4294540703853116E-2</v>
      </c>
      <c r="C226" s="1">
        <f t="shared" ca="1" si="10"/>
        <v>9.3935077276327696</v>
      </c>
      <c r="D226" s="1">
        <f t="shared" ca="1" si="11"/>
        <v>8.4294540703853116E-2</v>
      </c>
      <c r="E226" s="1">
        <f ca="1">SUM($B$6:C226)/(2*A226)</f>
        <v>6.35654739510833</v>
      </c>
      <c r="F226" s="1">
        <f ca="1">SUM($E$6:E226)/A226</f>
        <v>6.5250955314954524</v>
      </c>
    </row>
    <row r="227" spans="1:6" x14ac:dyDescent="0.25">
      <c r="A227" s="1">
        <v>222</v>
      </c>
      <c r="B227" s="1">
        <f t="shared" ca="1" si="9"/>
        <v>7.7404485944512382</v>
      </c>
      <c r="C227" s="1">
        <f t="shared" ca="1" si="10"/>
        <v>5.8390120664311906</v>
      </c>
      <c r="D227" s="1">
        <f t="shared" ca="1" si="11"/>
        <v>5.8390120664311906</v>
      </c>
      <c r="E227" s="1">
        <f ca="1">SUM($B$6:C227)/(2*A227)</f>
        <v>6.3584986695918122</v>
      </c>
      <c r="F227" s="1">
        <f ca="1">SUM($E$6:E227)/A227</f>
        <v>6.5243450951805713</v>
      </c>
    </row>
    <row r="228" spans="1:6" x14ac:dyDescent="0.25">
      <c r="A228" s="1">
        <v>223</v>
      </c>
      <c r="B228" s="1">
        <f t="shared" ca="1" si="9"/>
        <v>4.8030849152551305</v>
      </c>
      <c r="C228" s="1">
        <f t="shared" ca="1" si="10"/>
        <v>13.3404344991506</v>
      </c>
      <c r="D228" s="1">
        <f t="shared" ca="1" si="11"/>
        <v>4.8030849152551305</v>
      </c>
      <c r="E228" s="1">
        <f ca="1">SUM($B$6:C228)/(2*A228)</f>
        <v>6.3706657594465694</v>
      </c>
      <c r="F228" s="1">
        <f ca="1">SUM($E$6:E228)/A228</f>
        <v>6.5236559501772797</v>
      </c>
    </row>
    <row r="229" spans="1:6" x14ac:dyDescent="0.25">
      <c r="A229" s="1">
        <v>224</v>
      </c>
      <c r="B229" s="1">
        <f t="shared" ca="1" si="9"/>
        <v>7.7242193187282382</v>
      </c>
      <c r="C229" s="1">
        <f t="shared" ca="1" si="10"/>
        <v>12.702231525898187</v>
      </c>
      <c r="D229" s="1">
        <f t="shared" ca="1" si="11"/>
        <v>7.7242193187282382</v>
      </c>
      <c r="E229" s="1">
        <f ca="1">SUM($B$6:C229)/(2*A229)</f>
        <v>6.387820043655795</v>
      </c>
      <c r="F229" s="1">
        <f ca="1">SUM($E$6:E229)/A229</f>
        <v>6.5230495398803097</v>
      </c>
    </row>
    <row r="230" spans="1:6" x14ac:dyDescent="0.25">
      <c r="A230" s="1">
        <v>225</v>
      </c>
      <c r="B230" s="1">
        <f t="shared" ca="1" si="9"/>
        <v>4.5356198177518383</v>
      </c>
      <c r="C230" s="1">
        <f t="shared" ca="1" si="10"/>
        <v>13.050850468435439</v>
      </c>
      <c r="D230" s="1">
        <f t="shared" ca="1" si="11"/>
        <v>4.5356198177518383</v>
      </c>
      <c r="E230" s="1">
        <f ca="1">SUM($B$6:C230)/(2*A230)</f>
        <v>6.3985107774310741</v>
      </c>
      <c r="F230" s="1">
        <f ca="1">SUM($E$6:E230)/A230</f>
        <v>6.522496034269424</v>
      </c>
    </row>
    <row r="231" spans="1:6" x14ac:dyDescent="0.25">
      <c r="A231" s="1">
        <v>226</v>
      </c>
      <c r="B231" s="1">
        <f t="shared" ca="1" si="9"/>
        <v>6.6018544978369276</v>
      </c>
      <c r="C231" s="1">
        <f t="shared" ca="1" si="10"/>
        <v>13.040790472889313</v>
      </c>
      <c r="D231" s="1">
        <f t="shared" ca="1" si="11"/>
        <v>6.6018544978369276</v>
      </c>
      <c r="E231" s="1">
        <f ca="1">SUM($B$6:C231)/(2*A231)</f>
        <v>6.4136559619794467</v>
      </c>
      <c r="F231" s="1">
        <f ca="1">SUM($E$6:E231)/A231</f>
        <v>6.5220144410292029</v>
      </c>
    </row>
    <row r="232" spans="1:6" x14ac:dyDescent="0.25">
      <c r="A232" s="1">
        <v>227</v>
      </c>
      <c r="B232" s="1">
        <f t="shared" ca="1" si="9"/>
        <v>6.2060633611733813</v>
      </c>
      <c r="C232" s="1">
        <f t="shared" ca="1" si="10"/>
        <v>3.4658451008388869</v>
      </c>
      <c r="D232" s="1">
        <f t="shared" ca="1" si="11"/>
        <v>3.4658451008388869</v>
      </c>
      <c r="E232" s="1">
        <f ca="1">SUM($B$6:C232)/(2*A232)</f>
        <v>6.4067057340896962</v>
      </c>
      <c r="F232" s="1">
        <f ca="1">SUM($E$6:E232)/A232</f>
        <v>6.5215064731572223</v>
      </c>
    </row>
    <row r="233" spans="1:6" x14ac:dyDescent="0.25">
      <c r="A233" s="1">
        <v>228</v>
      </c>
      <c r="B233" s="1">
        <f t="shared" ca="1" si="9"/>
        <v>6.9855024100871379</v>
      </c>
      <c r="C233" s="1">
        <f t="shared" ca="1" si="10"/>
        <v>8.0950738584433939</v>
      </c>
      <c r="D233" s="1">
        <f t="shared" ca="1" si="11"/>
        <v>6.9855024100871379</v>
      </c>
      <c r="E233" s="1">
        <f ca="1">SUM($B$6:C233)/(2*A233)</f>
        <v>6.4116775867220452</v>
      </c>
      <c r="F233" s="1">
        <f ca="1">SUM($E$6:E233)/A233</f>
        <v>6.5210247675149633</v>
      </c>
    </row>
    <row r="234" spans="1:6" x14ac:dyDescent="0.25">
      <c r="A234" s="1">
        <v>229</v>
      </c>
      <c r="B234" s="1">
        <f t="shared" ca="1" si="9"/>
        <v>4.1526027204876499</v>
      </c>
      <c r="C234" s="1">
        <f t="shared" ca="1" si="10"/>
        <v>10.565081328876666</v>
      </c>
      <c r="D234" s="1">
        <f t="shared" ca="1" si="11"/>
        <v>4.1526027204876499</v>
      </c>
      <c r="E234" s="1">
        <f ca="1">SUM($B$6:C234)/(2*A234)</f>
        <v>6.4158136759707798</v>
      </c>
      <c r="F234" s="1">
        <f ca="1">SUM($E$6:E234)/A234</f>
        <v>6.5205653304339846</v>
      </c>
    </row>
    <row r="235" spans="1:6" x14ac:dyDescent="0.25">
      <c r="A235" s="1">
        <v>230</v>
      </c>
      <c r="B235" s="1">
        <f t="shared" ca="1" si="9"/>
        <v>4.3682770715653643</v>
      </c>
      <c r="C235" s="1">
        <f t="shared" ca="1" si="10"/>
        <v>13.598412988715488</v>
      </c>
      <c r="D235" s="1">
        <f t="shared" ca="1" si="11"/>
        <v>4.3682770715653643</v>
      </c>
      <c r="E235" s="1">
        <f ca="1">SUM($B$6:C235)/(2*A235)</f>
        <v>6.4269768557715174</v>
      </c>
      <c r="F235" s="1">
        <f ca="1">SUM($E$6:E235)/A235</f>
        <v>6.5201584240224086</v>
      </c>
    </row>
    <row r="236" spans="1:6" x14ac:dyDescent="0.25">
      <c r="A236" s="1">
        <v>231</v>
      </c>
      <c r="B236" s="1">
        <f t="shared" ca="1" si="9"/>
        <v>3.8544305452850969</v>
      </c>
      <c r="C236" s="1">
        <f t="shared" ca="1" si="10"/>
        <v>10.092066896887086</v>
      </c>
      <c r="D236" s="1">
        <f t="shared" ca="1" si="11"/>
        <v>3.8544305452850969</v>
      </c>
      <c r="E236" s="1">
        <f ca="1">SUM($B$6:C236)/(2*A236)</f>
        <v>6.4293416690412775</v>
      </c>
      <c r="F236" s="1">
        <f ca="1">SUM($E$6:E236)/A236</f>
        <v>6.5197652778969495</v>
      </c>
    </row>
    <row r="237" spans="1:6" x14ac:dyDescent="0.25">
      <c r="A237" s="1">
        <v>232</v>
      </c>
      <c r="B237" s="1">
        <f t="shared" ca="1" si="9"/>
        <v>8.0711274333941425</v>
      </c>
      <c r="C237" s="1">
        <f t="shared" ca="1" si="10"/>
        <v>7.5256535800295863</v>
      </c>
      <c r="D237" s="1">
        <f t="shared" ca="1" si="11"/>
        <v>7.5256535800295863</v>
      </c>
      <c r="E237" s="1">
        <f ca="1">SUM($B$6:C237)/(2*A237)</f>
        <v>6.4352427416174427</v>
      </c>
      <c r="F237" s="1">
        <f ca="1">SUM($E$6:E237)/A237</f>
        <v>6.5194009566198829</v>
      </c>
    </row>
    <row r="238" spans="1:6" x14ac:dyDescent="0.25">
      <c r="A238" s="1">
        <v>233</v>
      </c>
      <c r="B238" s="1">
        <f t="shared" ca="1" si="9"/>
        <v>1.6248329337215117</v>
      </c>
      <c r="C238" s="1">
        <f t="shared" ca="1" si="10"/>
        <v>11.044219087449806</v>
      </c>
      <c r="D238" s="1">
        <f t="shared" ca="1" si="11"/>
        <v>1.6248329337215117</v>
      </c>
      <c r="E238" s="1">
        <f ca="1">SUM($B$6:C238)/(2*A238)</f>
        <v>6.4348104809692375</v>
      </c>
      <c r="F238" s="1">
        <f ca="1">SUM($E$6:E238)/A238</f>
        <v>6.5190379073681628</v>
      </c>
    </row>
    <row r="239" spans="1:6" x14ac:dyDescent="0.25">
      <c r="A239" s="1">
        <v>234</v>
      </c>
      <c r="B239" s="1">
        <f t="shared" ca="1" si="9"/>
        <v>9.8597863278610589</v>
      </c>
      <c r="C239" s="1">
        <f t="shared" ca="1" si="10"/>
        <v>12.422053548112633</v>
      </c>
      <c r="D239" s="1">
        <f t="shared" ca="1" si="11"/>
        <v>9.8597863278610589</v>
      </c>
      <c r="E239" s="1">
        <f ca="1">SUM($B$6:C239)/(2*A239)</f>
        <v>6.4549220598453809</v>
      </c>
      <c r="F239" s="1">
        <f ca="1">SUM($E$6:E239)/A239</f>
        <v>6.5187639080197748</v>
      </c>
    </row>
    <row r="240" spans="1:6" x14ac:dyDescent="0.25">
      <c r="A240" s="1">
        <v>235</v>
      </c>
      <c r="B240" s="1">
        <f t="shared" ca="1" si="9"/>
        <v>8.6001492594700419</v>
      </c>
      <c r="C240" s="1">
        <f t="shared" ca="1" si="10"/>
        <v>8.9724368063434969</v>
      </c>
      <c r="D240" s="1">
        <f t="shared" ca="1" si="11"/>
        <v>8.6001492594700419</v>
      </c>
      <c r="E240" s="1">
        <f ca="1">SUM($B$6:C240)/(2*A240)</f>
        <v>6.4648427873903227</v>
      </c>
      <c r="F240" s="1">
        <f ca="1">SUM($E$6:E240)/A240</f>
        <v>6.5185344564426284</v>
      </c>
    </row>
    <row r="241" spans="1:6" x14ac:dyDescent="0.25">
      <c r="A241" s="1">
        <v>236</v>
      </c>
      <c r="B241" s="1">
        <f t="shared" ca="1" si="9"/>
        <v>7.4483878627437399</v>
      </c>
      <c r="C241" s="1">
        <f t="shared" ca="1" si="10"/>
        <v>4.5758193933153049</v>
      </c>
      <c r="D241" s="1">
        <f t="shared" ca="1" si="11"/>
        <v>4.5758193933153049</v>
      </c>
      <c r="E241" s="1">
        <f ca="1">SUM($B$6:C241)/(2*A241)</f>
        <v>6.4629244011218452</v>
      </c>
      <c r="F241" s="1">
        <f ca="1">SUM($E$6:E241)/A241</f>
        <v>6.5182988206149979</v>
      </c>
    </row>
    <row r="242" spans="1:6" x14ac:dyDescent="0.25">
      <c r="A242" s="1">
        <v>237</v>
      </c>
      <c r="B242" s="1">
        <f t="shared" ca="1" si="9"/>
        <v>1.0000793106361894</v>
      </c>
      <c r="C242" s="1">
        <f t="shared" ca="1" si="10"/>
        <v>1.3397713255055703</v>
      </c>
      <c r="D242" s="1">
        <f t="shared" ca="1" si="11"/>
        <v>1.0000793106361894</v>
      </c>
      <c r="E242" s="1">
        <f ca="1">SUM($B$6:C242)/(2*A242)</f>
        <v>6.4405910716574937</v>
      </c>
      <c r="F242" s="1">
        <f ca="1">SUM($E$6:E242)/A242</f>
        <v>6.517970939817709</v>
      </c>
    </row>
    <row r="243" spans="1:6" x14ac:dyDescent="0.25">
      <c r="A243" s="1">
        <v>238</v>
      </c>
      <c r="B243" s="1">
        <f t="shared" ca="1" si="9"/>
        <v>4.3017165350988904</v>
      </c>
      <c r="C243" s="1">
        <f t="shared" ca="1" si="10"/>
        <v>5.7401867299343028</v>
      </c>
      <c r="D243" s="1">
        <f t="shared" ca="1" si="11"/>
        <v>4.3017165350988904</v>
      </c>
      <c r="E243" s="1">
        <f ca="1">SUM($B$6:C243)/(2*A243)</f>
        <v>6.4346262000644652</v>
      </c>
      <c r="F243" s="1">
        <f ca="1">SUM($E$6:E243)/A243</f>
        <v>6.5176207518355529</v>
      </c>
    </row>
    <row r="244" spans="1:6" x14ac:dyDescent="0.25">
      <c r="A244" s="1">
        <v>239</v>
      </c>
      <c r="B244" s="1">
        <f t="shared" ca="1" si="9"/>
        <v>0.24158717116045558</v>
      </c>
      <c r="C244" s="1">
        <f t="shared" ca="1" si="10"/>
        <v>1.8935281762868499</v>
      </c>
      <c r="D244" s="1">
        <f t="shared" ca="1" si="11"/>
        <v>0.24158717116045558</v>
      </c>
      <c r="E244" s="1">
        <f ca="1">SUM($B$6:C244)/(2*A244)</f>
        <v>6.4121698463977683</v>
      </c>
      <c r="F244" s="1">
        <f ca="1">SUM($E$6:E244)/A244</f>
        <v>6.5171795346579886</v>
      </c>
    </row>
    <row r="245" spans="1:6" x14ac:dyDescent="0.25">
      <c r="A245" s="1">
        <v>240</v>
      </c>
      <c r="B245" s="1">
        <f t="shared" ca="1" si="9"/>
        <v>7.7631953027538785</v>
      </c>
      <c r="C245" s="1">
        <f t="shared" ca="1" si="10"/>
        <v>4.7489145184380641</v>
      </c>
      <c r="D245" s="1">
        <f t="shared" ca="1" si="11"/>
        <v>4.7489145184380641</v>
      </c>
      <c r="E245" s="1">
        <f ca="1">SUM($B$6:C245)/(2*A245)</f>
        <v>6.4115193674985944</v>
      </c>
      <c r="F245" s="1">
        <f ca="1">SUM($E$6:E245)/A245</f>
        <v>6.516739283961491</v>
      </c>
    </row>
    <row r="246" spans="1:6" x14ac:dyDescent="0.25">
      <c r="A246" s="1">
        <v>241</v>
      </c>
      <c r="B246" s="1">
        <f t="shared" ca="1" si="9"/>
        <v>6.399184285979139</v>
      </c>
      <c r="C246" s="1">
        <f t="shared" ca="1" si="10"/>
        <v>14.387622532291314</v>
      </c>
      <c r="D246" s="1">
        <f t="shared" ca="1" si="11"/>
        <v>6.399184285979139</v>
      </c>
      <c r="E246" s="1">
        <f ca="1">SUM($B$6:C246)/(2*A246)</f>
        <v>6.4280417079203236</v>
      </c>
      <c r="F246" s="1">
        <f ca="1">SUM($E$6:E246)/A246</f>
        <v>6.5163712442268809</v>
      </c>
    </row>
    <row r="247" spans="1:6" x14ac:dyDescent="0.25">
      <c r="A247" s="1">
        <v>242</v>
      </c>
      <c r="B247" s="1">
        <f t="shared" ca="1" si="9"/>
        <v>9.1052540177720012</v>
      </c>
      <c r="C247" s="1">
        <f t="shared" ca="1" si="10"/>
        <v>9.2619590504851601</v>
      </c>
      <c r="D247" s="1">
        <f t="shared" ca="1" si="11"/>
        <v>9.1052540177720012</v>
      </c>
      <c r="E247" s="1">
        <f ca="1">SUM($B$6:C247)/(2*A247)</f>
        <v>6.4394283394335803</v>
      </c>
      <c r="F247" s="1">
        <f ca="1">SUM($E$6:E247)/A247</f>
        <v>6.5160532983393047</v>
      </c>
    </row>
    <row r="248" spans="1:6" x14ac:dyDescent="0.25">
      <c r="A248" s="1">
        <v>243</v>
      </c>
      <c r="B248" s="1">
        <f t="shared" ca="1" si="9"/>
        <v>2.5046564445089023</v>
      </c>
      <c r="C248" s="1">
        <f t="shared" ca="1" si="10"/>
        <v>14.615881048894654</v>
      </c>
      <c r="D248" s="1">
        <f t="shared" ca="1" si="11"/>
        <v>2.5046564445089023</v>
      </c>
      <c r="E248" s="1">
        <f ca="1">SUM($B$6:C248)/(2*A248)</f>
        <v>6.4481560777350957</v>
      </c>
      <c r="F248" s="1">
        <f ca="1">SUM($E$6:E248)/A248</f>
        <v>6.5157738859088354</v>
      </c>
    </row>
    <row r="249" spans="1:6" x14ac:dyDescent="0.25">
      <c r="A249" s="1">
        <v>244</v>
      </c>
      <c r="B249" s="1">
        <f t="shared" ca="1" si="9"/>
        <v>0.4841552773235458</v>
      </c>
      <c r="C249" s="1">
        <f t="shared" ca="1" si="10"/>
        <v>1.4869567801108534</v>
      </c>
      <c r="D249" s="1">
        <f t="shared" ca="1" si="11"/>
        <v>0.4841552773235458</v>
      </c>
      <c r="E249" s="1">
        <f ca="1">SUM($B$6:C249)/(2*A249)</f>
        <v>6.4257683726161696</v>
      </c>
      <c r="F249" s="1">
        <f ca="1">SUM($E$6:E249)/A249</f>
        <v>6.5154050108543569</v>
      </c>
    </row>
    <row r="250" spans="1:6" x14ac:dyDescent="0.25">
      <c r="A250" s="1">
        <v>245</v>
      </c>
      <c r="B250" s="1">
        <f t="shared" ca="1" si="9"/>
        <v>3.1449294082045398</v>
      </c>
      <c r="C250" s="1">
        <f t="shared" ca="1" si="10"/>
        <v>4.6541023475862984</v>
      </c>
      <c r="D250" s="1">
        <f t="shared" ca="1" si="11"/>
        <v>3.1449294082045398</v>
      </c>
      <c r="E250" s="1">
        <f ca="1">SUM($B$6:C250)/(2*A250)</f>
        <v>6.4154571379438394</v>
      </c>
      <c r="F250" s="1">
        <f ca="1">SUM($E$6:E250)/A250</f>
        <v>6.5149970603526812</v>
      </c>
    </row>
    <row r="251" spans="1:6" x14ac:dyDescent="0.25">
      <c r="A251" s="1">
        <v>246</v>
      </c>
      <c r="B251" s="1">
        <f t="shared" ca="1" si="9"/>
        <v>0.98027728176473317</v>
      </c>
      <c r="C251" s="1">
        <f t="shared" ca="1" si="10"/>
        <v>5.387933721426343</v>
      </c>
      <c r="D251" s="1">
        <f t="shared" ca="1" si="11"/>
        <v>0.98027728176473317</v>
      </c>
      <c r="E251" s="1">
        <f ca="1">SUM($B$6:C251)/(2*A251)</f>
        <v>6.4023215621863256</v>
      </c>
      <c r="F251" s="1">
        <f ca="1">SUM($E$6:E251)/A251</f>
        <v>6.5145390298723296</v>
      </c>
    </row>
    <row r="252" spans="1:6" x14ac:dyDescent="0.25">
      <c r="A252" s="1">
        <v>247</v>
      </c>
      <c r="B252" s="1">
        <f t="shared" ca="1" si="9"/>
        <v>7.8292958934641774</v>
      </c>
      <c r="C252" s="1">
        <f t="shared" ca="1" si="10"/>
        <v>13.713618335110016</v>
      </c>
      <c r="D252" s="1">
        <f t="shared" ca="1" si="11"/>
        <v>7.8292958934641774</v>
      </c>
      <c r="E252" s="1">
        <f ca="1">SUM($B$6:C252)/(2*A252)</f>
        <v>6.4200103700895674</v>
      </c>
      <c r="F252" s="1">
        <f ca="1">SUM($E$6:E252)/A252</f>
        <v>6.5141563227477031</v>
      </c>
    </row>
    <row r="253" spans="1:6" x14ac:dyDescent="0.25">
      <c r="A253" s="1">
        <v>248</v>
      </c>
      <c r="B253" s="1">
        <f t="shared" ca="1" si="9"/>
        <v>0.54749259339122336</v>
      </c>
      <c r="C253" s="1">
        <f t="shared" ca="1" si="10"/>
        <v>12.947574842141796</v>
      </c>
      <c r="D253" s="1">
        <f t="shared" ca="1" si="11"/>
        <v>0.54749259339122336</v>
      </c>
      <c r="E253" s="1">
        <f ca="1">SUM($B$6:C253)/(2*A253)</f>
        <v>6.421331028749556</v>
      </c>
      <c r="F253" s="1">
        <f ca="1">SUM($E$6:E253)/A253</f>
        <v>6.5137820272073883</v>
      </c>
    </row>
    <row r="254" spans="1:6" x14ac:dyDescent="0.25">
      <c r="A254" s="1">
        <v>249</v>
      </c>
      <c r="B254" s="1">
        <f t="shared" ca="1" si="9"/>
        <v>8.0791631212399277</v>
      </c>
      <c r="C254" s="1">
        <f t="shared" ca="1" si="10"/>
        <v>10.722873684382936</v>
      </c>
      <c r="D254" s="1">
        <f t="shared" ca="1" si="11"/>
        <v>8.0791631212399277</v>
      </c>
      <c r="E254" s="1">
        <f ca="1">SUM($B$6:C254)/(2*A254)</f>
        <v>6.4332976447096444</v>
      </c>
      <c r="F254" s="1">
        <f ca="1">SUM($E$6:E254)/A254</f>
        <v>6.5134587967555904</v>
      </c>
    </row>
    <row r="255" spans="1:6" x14ac:dyDescent="0.25">
      <c r="A255" s="1">
        <v>250</v>
      </c>
      <c r="B255" s="1">
        <f t="shared" ca="1" si="9"/>
        <v>7.0683862117460938</v>
      </c>
      <c r="C255" s="1">
        <f t="shared" ca="1" si="10"/>
        <v>3.1068897580061057</v>
      </c>
      <c r="D255" s="1">
        <f t="shared" ca="1" si="11"/>
        <v>3.1068897580061057</v>
      </c>
      <c r="E255" s="1">
        <f ca="1">SUM($B$6:C255)/(2*A255)</f>
        <v>6.4279150060703101</v>
      </c>
      <c r="F255" s="1">
        <f ca="1">SUM($E$6:E255)/A255</f>
        <v>6.5131166215928493</v>
      </c>
    </row>
    <row r="256" spans="1:6" x14ac:dyDescent="0.25">
      <c r="A256" s="1">
        <v>251</v>
      </c>
      <c r="B256" s="1">
        <f t="shared" ca="1" si="9"/>
        <v>2.7381642608806667</v>
      </c>
      <c r="C256" s="1">
        <f t="shared" ca="1" si="10"/>
        <v>9.6849107383228858</v>
      </c>
      <c r="D256" s="1">
        <f t="shared" ca="1" si="11"/>
        <v>2.7381642608806667</v>
      </c>
      <c r="E256" s="1">
        <f ca="1">SUM($B$6:C256)/(2*A256)</f>
        <v>6.4270529442915514</v>
      </c>
      <c r="F256" s="1">
        <f ca="1">SUM($E$6:E256)/A256</f>
        <v>6.5127737384163504</v>
      </c>
    </row>
    <row r="257" spans="1:6" x14ac:dyDescent="0.25">
      <c r="A257" s="1">
        <v>252</v>
      </c>
      <c r="B257" s="1">
        <f t="shared" ca="1" si="9"/>
        <v>7.1952324208220384</v>
      </c>
      <c r="C257" s="1">
        <f t="shared" ca="1" si="10"/>
        <v>11.703933014249822</v>
      </c>
      <c r="D257" s="1">
        <f t="shared" ca="1" si="11"/>
        <v>7.1952324208220384</v>
      </c>
      <c r="E257" s="1">
        <f ca="1">SUM($B$6:C257)/(2*A257)</f>
        <v>6.439047110058393</v>
      </c>
      <c r="F257" s="1">
        <f ca="1">SUM($E$6:E257)/A257</f>
        <v>6.5124811724308032</v>
      </c>
    </row>
    <row r="258" spans="1:6" x14ac:dyDescent="0.25">
      <c r="A258" s="1">
        <v>253</v>
      </c>
      <c r="B258" s="1">
        <f t="shared" ca="1" si="9"/>
        <v>4.983999790960068</v>
      </c>
      <c r="C258" s="1">
        <f t="shared" ca="1" si="10"/>
        <v>1.3281342031671746</v>
      </c>
      <c r="D258" s="1">
        <f t="shared" ca="1" si="11"/>
        <v>1.3281342031671746</v>
      </c>
      <c r="E258" s="1">
        <f ca="1">SUM($B$6:C258)/(2*A258)</f>
        <v>6.4260709040781769</v>
      </c>
      <c r="F258" s="1">
        <f ca="1">SUM($E$6:E258)/A258</f>
        <v>6.5121396298681447</v>
      </c>
    </row>
    <row r="259" spans="1:6" x14ac:dyDescent="0.25">
      <c r="A259" s="1">
        <v>254</v>
      </c>
      <c r="B259" s="1">
        <f t="shared" ca="1" si="9"/>
        <v>5.5613189881540279</v>
      </c>
      <c r="C259" s="1">
        <f t="shared" ca="1" si="10"/>
        <v>14.958424989607245</v>
      </c>
      <c r="D259" s="1">
        <f t="shared" ca="1" si="11"/>
        <v>5.5613189881540279</v>
      </c>
      <c r="E259" s="1">
        <f ca="1">SUM($B$6:C259)/(2*A259)</f>
        <v>6.4411646091364547</v>
      </c>
      <c r="F259" s="1">
        <f ca="1">SUM($E$6:E259)/A259</f>
        <v>6.5118602006526656</v>
      </c>
    </row>
    <row r="260" spans="1:6" x14ac:dyDescent="0.25">
      <c r="A260" s="1">
        <v>255</v>
      </c>
      <c r="B260" s="1">
        <f t="shared" ca="1" si="9"/>
        <v>8.6584297307723812</v>
      </c>
      <c r="C260" s="1">
        <f t="shared" ca="1" si="10"/>
        <v>5.3331592711918461</v>
      </c>
      <c r="D260" s="1">
        <f t="shared" ca="1" si="11"/>
        <v>5.3331592711918461</v>
      </c>
      <c r="E260" s="1">
        <f ca="1">SUM($B$6:C260)/(2*A260)</f>
        <v>6.4433396283201638</v>
      </c>
      <c r="F260" s="1">
        <f ca="1">SUM($E$6:E260)/A260</f>
        <v>6.5115914925258718</v>
      </c>
    </row>
    <row r="261" spans="1:6" x14ac:dyDescent="0.25">
      <c r="A261" s="1">
        <v>256</v>
      </c>
      <c r="B261" s="1">
        <f t="shared" ca="1" si="9"/>
        <v>5.9787868559767512</v>
      </c>
      <c r="C261" s="1">
        <f t="shared" ca="1" si="10"/>
        <v>3.7028083217034737</v>
      </c>
      <c r="D261" s="1">
        <f t="shared" ca="1" si="11"/>
        <v>3.7028083217034737</v>
      </c>
      <c r="E261" s="1">
        <f ca="1">SUM($B$6:C261)/(2*A261)</f>
        <v>6.4370796984784446</v>
      </c>
      <c r="F261" s="1">
        <f ca="1">SUM($E$6:E261)/A261</f>
        <v>6.5113004308303744</v>
      </c>
    </row>
    <row r="262" spans="1:6" x14ac:dyDescent="0.25">
      <c r="A262" s="1">
        <v>257</v>
      </c>
      <c r="B262" s="1">
        <f t="shared" ca="1" si="9"/>
        <v>3.3095847375771581</v>
      </c>
      <c r="C262" s="1">
        <f t="shared" ca="1" si="10"/>
        <v>11.665552217772424</v>
      </c>
      <c r="D262" s="1">
        <f t="shared" ca="1" si="11"/>
        <v>3.3095847375771581</v>
      </c>
      <c r="E262" s="1">
        <f ca="1">SUM($B$6:C262)/(2*A262)</f>
        <v>6.441167203455862</v>
      </c>
      <c r="F262" s="1">
        <f ca="1">SUM($E$6:E262)/A262</f>
        <v>6.5110275388950649</v>
      </c>
    </row>
    <row r="263" spans="1:6" x14ac:dyDescent="0.25">
      <c r="A263" s="1">
        <v>258</v>
      </c>
      <c r="B263" s="1">
        <f t="shared" ref="B263:B326" ca="1" si="12">RAND()*$D$1</f>
        <v>2.878741475371267</v>
      </c>
      <c r="C263" s="1">
        <f t="shared" ref="C263:C326" ca="1" si="13">RAND()*$D$2</f>
        <v>9.035132794176242</v>
      </c>
      <c r="D263" s="1">
        <f t="shared" ref="D263:D326" ca="1" si="14">MIN(B263:C263)</f>
        <v>2.878741475371267</v>
      </c>
      <c r="E263" s="1">
        <f ca="1">SUM($B$6:C263)/(2*A263)</f>
        <v>6.4392903427245356</v>
      </c>
      <c r="F263" s="1">
        <f ca="1">SUM($E$6:E263)/A263</f>
        <v>6.510749487747117</v>
      </c>
    </row>
    <row r="264" spans="1:6" x14ac:dyDescent="0.25">
      <c r="A264" s="1">
        <v>259</v>
      </c>
      <c r="B264" s="1">
        <f t="shared" ca="1" si="12"/>
        <v>4.2475325731461169</v>
      </c>
      <c r="C264" s="1">
        <f t="shared" ca="1" si="13"/>
        <v>5.5821742650395318</v>
      </c>
      <c r="D264" s="1">
        <f t="shared" ca="1" si="14"/>
        <v>4.2475325731461169</v>
      </c>
      <c r="E264" s="1">
        <f ca="1">SUM($B$6:C264)/(2*A264)</f>
        <v>6.4334044858765376</v>
      </c>
      <c r="F264" s="1">
        <f ca="1">SUM($E$6:E264)/A264</f>
        <v>6.5104508583962657</v>
      </c>
    </row>
    <row r="265" spans="1:6" x14ac:dyDescent="0.25">
      <c r="A265" s="1">
        <v>260</v>
      </c>
      <c r="B265" s="1">
        <f t="shared" ca="1" si="12"/>
        <v>3.014907903693933</v>
      </c>
      <c r="C265" s="1">
        <f t="shared" ca="1" si="13"/>
        <v>2.51978314503567</v>
      </c>
      <c r="D265" s="1">
        <f t="shared" ca="1" si="14"/>
        <v>2.51978314503567</v>
      </c>
      <c r="E265" s="1">
        <f ca="1">SUM($B$6:C265)/(2*A265)</f>
        <v>6.4193042591014917</v>
      </c>
      <c r="F265" s="1">
        <f ca="1">SUM($E$6:E265)/A265</f>
        <v>6.5101002945528235</v>
      </c>
    </row>
    <row r="266" spans="1:6" x14ac:dyDescent="0.25">
      <c r="A266" s="1">
        <v>261</v>
      </c>
      <c r="B266" s="1">
        <f t="shared" ca="1" si="12"/>
        <v>6.4154390309045493</v>
      </c>
      <c r="C266" s="1">
        <f t="shared" ca="1" si="13"/>
        <v>8.8273891343304687</v>
      </c>
      <c r="D266" s="1">
        <f t="shared" ca="1" si="14"/>
        <v>6.4154390309045493</v>
      </c>
      <c r="E266" s="1">
        <f ca="1">SUM($B$6:C266)/(2*A266)</f>
        <v>6.4239100438659209</v>
      </c>
      <c r="F266" s="1">
        <f ca="1">SUM($E$6:E266)/A266</f>
        <v>6.50977006370728</v>
      </c>
    </row>
    <row r="267" spans="1:6" x14ac:dyDescent="0.25">
      <c r="A267" s="1">
        <v>262</v>
      </c>
      <c r="B267" s="1">
        <f t="shared" ca="1" si="12"/>
        <v>6.4007359397666539</v>
      </c>
      <c r="C267" s="1">
        <f t="shared" ca="1" si="13"/>
        <v>12.51137524551169</v>
      </c>
      <c r="D267" s="1">
        <f t="shared" ca="1" si="14"/>
        <v>6.4007359397666539</v>
      </c>
      <c r="E267" s="1">
        <f ca="1">SUM($B$6:C267)/(2*A267)</f>
        <v>6.4354831184795591</v>
      </c>
      <c r="F267" s="1">
        <f ca="1">SUM($E$6:E267)/A267</f>
        <v>6.5094865257483958</v>
      </c>
    </row>
    <row r="268" spans="1:6" x14ac:dyDescent="0.25">
      <c r="A268" s="1">
        <v>263</v>
      </c>
      <c r="B268" s="1">
        <f t="shared" ca="1" si="12"/>
        <v>3.3239519508460158</v>
      </c>
      <c r="C268" s="1">
        <f t="shared" ca="1" si="13"/>
        <v>6.5824596311246069</v>
      </c>
      <c r="D268" s="1">
        <f t="shared" ca="1" si="14"/>
        <v>3.3239519508460158</v>
      </c>
      <c r="E268" s="1">
        <f ca="1">SUM($B$6:C268)/(2*A268)</f>
        <v>6.4298470830138008</v>
      </c>
      <c r="F268" s="1">
        <f ca="1">SUM($E$6:E268)/A268</f>
        <v>6.5091837141790627</v>
      </c>
    </row>
    <row r="269" spans="1:6" x14ac:dyDescent="0.25">
      <c r="A269" s="1">
        <v>264</v>
      </c>
      <c r="B269" s="1">
        <f t="shared" ca="1" si="12"/>
        <v>4.209022339725391</v>
      </c>
      <c r="C269" s="1">
        <f t="shared" ca="1" si="13"/>
        <v>9.2698807129451453</v>
      </c>
      <c r="D269" s="1">
        <f t="shared" ca="1" si="14"/>
        <v>4.209022339725391</v>
      </c>
      <c r="E269" s="1">
        <f ca="1">SUM($B$6:C269)/(2*A269)</f>
        <v>6.4310198271172911</v>
      </c>
      <c r="F269" s="1">
        <f ca="1">SUM($E$6:E269)/A269</f>
        <v>6.5088876388492833</v>
      </c>
    </row>
    <row r="270" spans="1:6" x14ac:dyDescent="0.25">
      <c r="A270" s="1">
        <v>265</v>
      </c>
      <c r="B270" s="1">
        <f t="shared" ca="1" si="12"/>
        <v>6.1209381336551685</v>
      </c>
      <c r="C270" s="1">
        <f t="shared" ca="1" si="13"/>
        <v>9.3913778991511858</v>
      </c>
      <c r="D270" s="1">
        <f t="shared" ca="1" si="14"/>
        <v>6.1209381336551685</v>
      </c>
      <c r="E270" s="1">
        <f ca="1">SUM($B$6:C270)/(2*A270)</f>
        <v>6.436020348586295</v>
      </c>
      <c r="F270" s="1">
        <f ca="1">SUM($E$6:E270)/A270</f>
        <v>6.5086126679426304</v>
      </c>
    </row>
    <row r="271" spans="1:6" x14ac:dyDescent="0.25">
      <c r="A271" s="1">
        <v>266</v>
      </c>
      <c r="B271" s="1">
        <f t="shared" ca="1" si="12"/>
        <v>5.1129814157810616</v>
      </c>
      <c r="C271" s="1">
        <f t="shared" ca="1" si="13"/>
        <v>8.5650399490787521</v>
      </c>
      <c r="D271" s="1">
        <f t="shared" ca="1" si="14"/>
        <v>5.1129814157810616</v>
      </c>
      <c r="E271" s="1">
        <f ca="1">SUM($B$6:C271)/(2*A271)</f>
        <v>6.4375353498413466</v>
      </c>
      <c r="F271" s="1">
        <f ca="1">SUM($E$6:E271)/A271</f>
        <v>6.5083454599798429</v>
      </c>
    </row>
    <row r="272" spans="1:6" x14ac:dyDescent="0.25">
      <c r="A272" s="1">
        <v>267</v>
      </c>
      <c r="B272" s="1">
        <f t="shared" ca="1" si="12"/>
        <v>4.1155927707596884</v>
      </c>
      <c r="C272" s="1">
        <f t="shared" ca="1" si="13"/>
        <v>8.54116836223292</v>
      </c>
      <c r="D272" s="1">
        <f t="shared" ca="1" si="14"/>
        <v>4.1155927707596884</v>
      </c>
      <c r="E272" s="1">
        <f ca="1">SUM($B$6:C272)/(2*A272)</f>
        <v>6.4371265304280687</v>
      </c>
      <c r="F272" s="1">
        <f ca="1">SUM($E$6:E272)/A272</f>
        <v>6.5080787224159788</v>
      </c>
    </row>
    <row r="273" spans="1:6" x14ac:dyDescent="0.25">
      <c r="A273" s="1">
        <v>268</v>
      </c>
      <c r="B273" s="1">
        <f t="shared" ca="1" si="12"/>
        <v>1.6505732725921241</v>
      </c>
      <c r="C273" s="1">
        <f t="shared" ca="1" si="13"/>
        <v>1.3726946593396478</v>
      </c>
      <c r="D273" s="1">
        <f t="shared" ca="1" si="14"/>
        <v>1.3726946593396478</v>
      </c>
      <c r="E273" s="1">
        <f ca="1">SUM($B$6:C273)/(2*A273)</f>
        <v>6.4187478268293301</v>
      </c>
      <c r="F273" s="1">
        <f ca="1">SUM($E$6:E273)/A273</f>
        <v>6.5077453981787148</v>
      </c>
    </row>
    <row r="274" spans="1:6" x14ac:dyDescent="0.25">
      <c r="A274" s="1">
        <v>269</v>
      </c>
      <c r="B274" s="1">
        <f t="shared" ca="1" si="12"/>
        <v>7.2931621685883066</v>
      </c>
      <c r="C274" s="1">
        <f t="shared" ca="1" si="13"/>
        <v>3.5933388479295791</v>
      </c>
      <c r="D274" s="1">
        <f t="shared" ca="1" si="14"/>
        <v>3.5933388479295791</v>
      </c>
      <c r="E274" s="1">
        <f ca="1">SUM($B$6:C274)/(2*A274)</f>
        <v>6.4151214427454253</v>
      </c>
      <c r="F274" s="1">
        <f ca="1">SUM($E$6:E274)/A274</f>
        <v>6.5074010712068437</v>
      </c>
    </row>
    <row r="275" spans="1:6" x14ac:dyDescent="0.25">
      <c r="A275" s="1">
        <v>270</v>
      </c>
      <c r="B275" s="1">
        <f t="shared" ca="1" si="12"/>
        <v>8.7278702001740562</v>
      </c>
      <c r="C275" s="1">
        <f t="shared" ca="1" si="13"/>
        <v>2.174239478622471</v>
      </c>
      <c r="D275" s="1">
        <f t="shared" ca="1" si="14"/>
        <v>2.174239478622471</v>
      </c>
      <c r="E275" s="1">
        <f ca="1">SUM($B$6:C275)/(2*A275)</f>
        <v>6.4115508256959917</v>
      </c>
      <c r="F275" s="1">
        <f ca="1">SUM($E$6:E275)/A275</f>
        <v>6.5070460702975437</v>
      </c>
    </row>
    <row r="276" spans="1:6" x14ac:dyDescent="0.25">
      <c r="A276" s="1">
        <v>271</v>
      </c>
      <c r="B276" s="1">
        <f t="shared" ca="1" si="12"/>
        <v>4.2744718708673286</v>
      </c>
      <c r="C276" s="1">
        <f t="shared" ca="1" si="13"/>
        <v>6.7531705299250184</v>
      </c>
      <c r="D276" s="1">
        <f t="shared" ca="1" si="14"/>
        <v>4.2744718708673286</v>
      </c>
      <c r="E276" s="1">
        <f ca="1">SUM($B$6:C276)/(2*A276)</f>
        <v>6.4082381702520808</v>
      </c>
      <c r="F276" s="1">
        <f ca="1">SUM($E$6:E276)/A276</f>
        <v>6.5066814655003284</v>
      </c>
    </row>
    <row r="277" spans="1:6" x14ac:dyDescent="0.25">
      <c r="A277" s="1">
        <v>272</v>
      </c>
      <c r="B277" s="1">
        <f t="shared" ca="1" si="12"/>
        <v>5.3279845584765511</v>
      </c>
      <c r="C277" s="1">
        <f t="shared" ca="1" si="13"/>
        <v>14.180526611967192</v>
      </c>
      <c r="D277" s="1">
        <f t="shared" ca="1" si="14"/>
        <v>5.3279845584765511</v>
      </c>
      <c r="E277" s="1">
        <f ca="1">SUM($B$6:C277)/(2*A277)</f>
        <v>6.4205397048659405</v>
      </c>
      <c r="F277" s="1">
        <f ca="1">SUM($E$6:E277)/A277</f>
        <v>6.5063647678509371</v>
      </c>
    </row>
    <row r="278" spans="1:6" x14ac:dyDescent="0.25">
      <c r="A278" s="1">
        <v>273</v>
      </c>
      <c r="B278" s="1">
        <f t="shared" ca="1" si="12"/>
        <v>0.51586285742246107</v>
      </c>
      <c r="C278" s="1">
        <f t="shared" ca="1" si="13"/>
        <v>0.78815220257011542</v>
      </c>
      <c r="D278" s="1">
        <f t="shared" ca="1" si="14"/>
        <v>0.51586285742246107</v>
      </c>
      <c r="E278" s="1">
        <f ca="1">SUM($B$6:C278)/(2*A278)</f>
        <v>6.3994095503792385</v>
      </c>
      <c r="F278" s="1">
        <f ca="1">SUM($E$6:E278)/A278</f>
        <v>6.5059729904975612</v>
      </c>
    </row>
    <row r="279" spans="1:6" x14ac:dyDescent="0.25">
      <c r="A279" s="1">
        <v>274</v>
      </c>
      <c r="B279" s="1">
        <f t="shared" ca="1" si="12"/>
        <v>6.0210341540819527</v>
      </c>
      <c r="C279" s="1">
        <f t="shared" ca="1" si="13"/>
        <v>4.3710335399247926</v>
      </c>
      <c r="D279" s="1">
        <f t="shared" ca="1" si="14"/>
        <v>4.3710335399247926</v>
      </c>
      <c r="E279" s="1">
        <f ca="1">SUM($B$6:C279)/(2*A279)</f>
        <v>6.3950176682501292</v>
      </c>
      <c r="F279" s="1">
        <f ca="1">SUM($E$6:E279)/A279</f>
        <v>6.5055680440660009</v>
      </c>
    </row>
    <row r="280" spans="1:6" x14ac:dyDescent="0.25">
      <c r="A280" s="1">
        <v>275</v>
      </c>
      <c r="B280" s="1">
        <f t="shared" ca="1" si="12"/>
        <v>8.760549416810532</v>
      </c>
      <c r="C280" s="1">
        <f t="shared" ca="1" si="13"/>
        <v>7.984471875773151</v>
      </c>
      <c r="D280" s="1">
        <f t="shared" ca="1" si="14"/>
        <v>7.984471875773151</v>
      </c>
      <c r="E280" s="1">
        <f ca="1">SUM($B$6:C280)/(2*A280)</f>
        <v>6.4022085518066438</v>
      </c>
      <c r="F280" s="1">
        <f ca="1">SUM($E$6:E280)/A280</f>
        <v>6.5051921913668762</v>
      </c>
    </row>
    <row r="281" spans="1:6" x14ac:dyDescent="0.25">
      <c r="A281" s="1">
        <v>276</v>
      </c>
      <c r="B281" s="1">
        <f t="shared" ca="1" si="12"/>
        <v>8.9585330468261173</v>
      </c>
      <c r="C281" s="1">
        <f t="shared" ca="1" si="13"/>
        <v>14.679017378811064</v>
      </c>
      <c r="D281" s="1">
        <f t="shared" ca="1" si="14"/>
        <v>8.9585330468261173</v>
      </c>
      <c r="E281" s="1">
        <f ca="1">SUM($B$6:C281)/(2*A281)</f>
        <v>6.4218337933320493</v>
      </c>
      <c r="F281" s="1">
        <f ca="1">SUM($E$6:E281)/A281</f>
        <v>6.5048901681855904</v>
      </c>
    </row>
    <row r="282" spans="1:6" x14ac:dyDescent="0.25">
      <c r="A282" s="1">
        <v>277</v>
      </c>
      <c r="B282" s="1">
        <f t="shared" ca="1" si="12"/>
        <v>1.5791605957174193</v>
      </c>
      <c r="C282" s="1">
        <f t="shared" ca="1" si="13"/>
        <v>14.646660730326934</v>
      </c>
      <c r="D282" s="1">
        <f t="shared" ca="1" si="14"/>
        <v>1.5791605957174193</v>
      </c>
      <c r="E282" s="1">
        <f ca="1">SUM($B$6:C282)/(2*A282)</f>
        <v>6.4279387639807499</v>
      </c>
      <c r="F282" s="1">
        <f ca="1">SUM($E$6:E282)/A282</f>
        <v>6.5046123652823242</v>
      </c>
    </row>
    <row r="283" spans="1:6" x14ac:dyDescent="0.25">
      <c r="A283" s="1">
        <v>278</v>
      </c>
      <c r="B283" s="1">
        <f t="shared" ca="1" si="12"/>
        <v>6.9546609361152623</v>
      </c>
      <c r="C283" s="1">
        <f t="shared" ca="1" si="13"/>
        <v>6.3295876046969788</v>
      </c>
      <c r="D283" s="1">
        <f t="shared" ca="1" si="14"/>
        <v>6.3295876046969788</v>
      </c>
      <c r="E283" s="1">
        <f ca="1">SUM($B$6:C283)/(2*A283)</f>
        <v>6.4287092154427121</v>
      </c>
      <c r="F283" s="1">
        <f ca="1">SUM($E$6:E283)/A283</f>
        <v>6.5043393323692325</v>
      </c>
    </row>
    <row r="284" spans="1:6" x14ac:dyDescent="0.25">
      <c r="A284" s="1">
        <v>279</v>
      </c>
      <c r="B284" s="1">
        <f t="shared" ca="1" si="12"/>
        <v>0.12217252177794902</v>
      </c>
      <c r="C284" s="1">
        <f t="shared" ca="1" si="13"/>
        <v>3.3625380148402768</v>
      </c>
      <c r="D284" s="1">
        <f t="shared" ca="1" si="14"/>
        <v>0.12217252177794902</v>
      </c>
      <c r="E284" s="1">
        <f ca="1">SUM($B$6:C284)/(2*A284)</f>
        <v>6.4119122478902613</v>
      </c>
      <c r="F284" s="1">
        <f ca="1">SUM($E$6:E284)/A284</f>
        <v>6.5040080524965473</v>
      </c>
    </row>
    <row r="285" spans="1:6" x14ac:dyDescent="0.25">
      <c r="A285" s="1">
        <v>280</v>
      </c>
      <c r="B285" s="1">
        <f t="shared" ca="1" si="12"/>
        <v>9.6352015579626347</v>
      </c>
      <c r="C285" s="1">
        <f t="shared" ca="1" si="13"/>
        <v>0.68594592983069413</v>
      </c>
      <c r="D285" s="1">
        <f t="shared" ca="1" si="14"/>
        <v>0.68594592983069413</v>
      </c>
      <c r="E285" s="1">
        <f ca="1">SUM($B$6:C285)/(2*A285)</f>
        <v>6.4074431818045703</v>
      </c>
      <c r="F285" s="1">
        <f ca="1">SUM($E$6:E285)/A285</f>
        <v>6.5036631779583622</v>
      </c>
    </row>
    <row r="286" spans="1:6" x14ac:dyDescent="0.25">
      <c r="A286" s="1">
        <v>281</v>
      </c>
      <c r="B286" s="1">
        <f t="shared" ca="1" si="12"/>
        <v>7.0529461784128555</v>
      </c>
      <c r="C286" s="1">
        <f t="shared" ca="1" si="13"/>
        <v>11.39624825183226</v>
      </c>
      <c r="D286" s="1">
        <f t="shared" ca="1" si="14"/>
        <v>7.0529461784128555</v>
      </c>
      <c r="E286" s="1">
        <f ca="1">SUM($B$6:C286)/(2*A286)</f>
        <v>6.4174686409978721</v>
      </c>
      <c r="F286" s="1">
        <f ca="1">SUM($E$6:E286)/A286</f>
        <v>6.5033564358339477</v>
      </c>
    </row>
    <row r="287" spans="1:6" x14ac:dyDescent="0.25">
      <c r="A287" s="1">
        <v>282</v>
      </c>
      <c r="B287" s="1">
        <f t="shared" ca="1" si="12"/>
        <v>0.52996182179275486</v>
      </c>
      <c r="C287" s="1">
        <f t="shared" ca="1" si="13"/>
        <v>3.659503425580128</v>
      </c>
      <c r="D287" s="1">
        <f t="shared" ca="1" si="14"/>
        <v>0.52996182179275486</v>
      </c>
      <c r="E287" s="1">
        <f ca="1">SUM($B$6:C287)/(2*A287)</f>
        <v>6.4021397898726544</v>
      </c>
      <c r="F287" s="1">
        <f ca="1">SUM($E$6:E287)/A287</f>
        <v>6.5029975115574894</v>
      </c>
    </row>
    <row r="288" spans="1:6" x14ac:dyDescent="0.25">
      <c r="A288" s="1">
        <v>283</v>
      </c>
      <c r="B288" s="1">
        <f t="shared" ca="1" si="12"/>
        <v>8.1299493085786718</v>
      </c>
      <c r="C288" s="1">
        <f t="shared" ca="1" si="13"/>
        <v>0.88034482537069858</v>
      </c>
      <c r="D288" s="1">
        <f t="shared" ca="1" si="14"/>
        <v>0.88034482537069858</v>
      </c>
      <c r="E288" s="1">
        <f ca="1">SUM($B$6:C288)/(2*A288)</f>
        <v>6.3954366353747814</v>
      </c>
      <c r="F288" s="1">
        <f ca="1">SUM($E$6:E288)/A288</f>
        <v>6.5026174377900601</v>
      </c>
    </row>
    <row r="289" spans="1:6" x14ac:dyDescent="0.25">
      <c r="A289" s="1">
        <v>284</v>
      </c>
      <c r="B289" s="1">
        <f t="shared" ca="1" si="12"/>
        <v>8.1604889988961222</v>
      </c>
      <c r="C289" s="1">
        <f t="shared" ca="1" si="13"/>
        <v>4.2663727175687081</v>
      </c>
      <c r="D289" s="1">
        <f t="shared" ca="1" si="14"/>
        <v>4.2663727175687081</v>
      </c>
      <c r="E289" s="1">
        <f ca="1">SUM($B$6:C289)/(2*A289)</f>
        <v>6.3947957699623084</v>
      </c>
      <c r="F289" s="1">
        <f ca="1">SUM($E$6:E289)/A289</f>
        <v>6.5022377840301022</v>
      </c>
    </row>
    <row r="290" spans="1:6" x14ac:dyDescent="0.25">
      <c r="A290" s="1">
        <v>285</v>
      </c>
      <c r="B290" s="1">
        <f t="shared" ca="1" si="12"/>
        <v>9.488721126358616</v>
      </c>
      <c r="C290" s="1">
        <f t="shared" ca="1" si="13"/>
        <v>8.2217047030800163</v>
      </c>
      <c r="D290" s="1">
        <f t="shared" ca="1" si="14"/>
        <v>8.2217047030800163</v>
      </c>
      <c r="E290" s="1">
        <f ca="1">SUM($B$6:C290)/(2*A290)</f>
        <v>6.4034288125754903</v>
      </c>
      <c r="F290" s="1">
        <f ca="1">SUM($E$6:E290)/A290</f>
        <v>6.5018910858846475</v>
      </c>
    </row>
    <row r="291" spans="1:6" x14ac:dyDescent="0.25">
      <c r="A291" s="1">
        <v>286</v>
      </c>
      <c r="B291" s="1">
        <f t="shared" ca="1" si="12"/>
        <v>4.8315208110696091</v>
      </c>
      <c r="C291" s="1">
        <f t="shared" ca="1" si="13"/>
        <v>14.307847968160104</v>
      </c>
      <c r="D291" s="1">
        <f t="shared" ca="1" si="14"/>
        <v>4.8315208110696091</v>
      </c>
      <c r="E291" s="1">
        <f ca="1">SUM($B$6:C291)/(2*A291)</f>
        <v>6.414499636271433</v>
      </c>
      <c r="F291" s="1">
        <f ca="1">SUM($E$6:E291)/A291</f>
        <v>6.5015855213755103</v>
      </c>
    </row>
    <row r="292" spans="1:6" x14ac:dyDescent="0.25">
      <c r="A292" s="1">
        <v>287</v>
      </c>
      <c r="B292" s="1">
        <f t="shared" ca="1" si="12"/>
        <v>6.0855825714400593</v>
      </c>
      <c r="C292" s="1">
        <f t="shared" ca="1" si="13"/>
        <v>3.2500082283063083</v>
      </c>
      <c r="D292" s="1">
        <f t="shared" ca="1" si="14"/>
        <v>3.2500082283063083</v>
      </c>
      <c r="E292" s="1">
        <f ca="1">SUM($B$6:C292)/(2*A292)</f>
        <v>6.4084135587926943</v>
      </c>
      <c r="F292" s="1">
        <f ca="1">SUM($E$6:E292)/A292</f>
        <v>6.5012608803909009</v>
      </c>
    </row>
    <row r="293" spans="1:6" x14ac:dyDescent="0.25">
      <c r="A293" s="1">
        <v>288</v>
      </c>
      <c r="B293" s="1">
        <f t="shared" ca="1" si="12"/>
        <v>3.7292471108523007</v>
      </c>
      <c r="C293" s="1">
        <f t="shared" ca="1" si="13"/>
        <v>4.2098651231904016</v>
      </c>
      <c r="D293" s="1">
        <f t="shared" ca="1" si="14"/>
        <v>3.7292471108523007</v>
      </c>
      <c r="E293" s="1">
        <f ca="1">SUM($B$6:C293)/(2*A293)</f>
        <v>6.3999453037865432</v>
      </c>
      <c r="F293" s="1">
        <f ca="1">SUM($E$6:E293)/A293</f>
        <v>6.5009090901943587</v>
      </c>
    </row>
    <row r="294" spans="1:6" x14ac:dyDescent="0.25">
      <c r="A294" s="1">
        <v>289</v>
      </c>
      <c r="B294" s="1">
        <f t="shared" ca="1" si="12"/>
        <v>8.0590806651178521</v>
      </c>
      <c r="C294" s="1">
        <f t="shared" ca="1" si="13"/>
        <v>3.5960832518196635</v>
      </c>
      <c r="D294" s="1">
        <f t="shared" ca="1" si="14"/>
        <v>3.5960832518196635</v>
      </c>
      <c r="E294" s="1">
        <f ca="1">SUM($B$6:C294)/(2*A294)</f>
        <v>6.3979648077819835</v>
      </c>
      <c r="F294" s="1">
        <f ca="1">SUM($E$6:E294)/A294</f>
        <v>6.5005528816046967</v>
      </c>
    </row>
    <row r="295" spans="1:6" x14ac:dyDescent="0.25">
      <c r="A295" s="1">
        <v>290</v>
      </c>
      <c r="B295" s="1">
        <f t="shared" ca="1" si="12"/>
        <v>8.0650276256160129</v>
      </c>
      <c r="C295" s="1">
        <f t="shared" ca="1" si="13"/>
        <v>13.749391599554217</v>
      </c>
      <c r="D295" s="1">
        <f t="shared" ca="1" si="14"/>
        <v>8.0650276256160129</v>
      </c>
      <c r="E295" s="1">
        <f ca="1">SUM($B$6:C295)/(2*A295)</f>
        <v>6.4135139277985465</v>
      </c>
      <c r="F295" s="1">
        <f ca="1">SUM($E$6:E295)/A295</f>
        <v>6.5002527472812268</v>
      </c>
    </row>
    <row r="296" spans="1:6" x14ac:dyDescent="0.25">
      <c r="A296" s="1">
        <v>291</v>
      </c>
      <c r="B296" s="1">
        <f t="shared" ca="1" si="12"/>
        <v>3.3749168868359893</v>
      </c>
      <c r="C296" s="1">
        <f t="shared" ca="1" si="13"/>
        <v>14.81684173586557</v>
      </c>
      <c r="D296" s="1">
        <f t="shared" ca="1" si="14"/>
        <v>3.3749168868359893</v>
      </c>
      <c r="E296" s="1">
        <f ca="1">SUM($B$6:C296)/(2*A296)</f>
        <v>6.4227316782574881</v>
      </c>
      <c r="F296" s="1">
        <f ca="1">SUM($E$6:E296)/A296</f>
        <v>6.4999863518550276</v>
      </c>
    </row>
    <row r="297" spans="1:6" x14ac:dyDescent="0.25">
      <c r="A297" s="1">
        <v>292</v>
      </c>
      <c r="B297" s="1">
        <f t="shared" ca="1" si="12"/>
        <v>9.535101756406295</v>
      </c>
      <c r="C297" s="1">
        <f t="shared" ca="1" si="13"/>
        <v>4.4742036470805395</v>
      </c>
      <c r="D297" s="1">
        <f t="shared" ca="1" si="14"/>
        <v>4.4742036470805395</v>
      </c>
      <c r="E297" s="1">
        <f ca="1">SUM($B$6:C297)/(2*A297)</f>
        <v>6.4247245584749058</v>
      </c>
      <c r="F297" s="1">
        <f ca="1">SUM($E$6:E297)/A297</f>
        <v>6.4997286059872881</v>
      </c>
    </row>
    <row r="298" spans="1:6" x14ac:dyDescent="0.25">
      <c r="A298" s="1">
        <v>293</v>
      </c>
      <c r="B298" s="1">
        <f t="shared" ca="1" si="12"/>
        <v>3.7953632361375886</v>
      </c>
      <c r="C298" s="1">
        <f t="shared" ca="1" si="13"/>
        <v>10.73203601190221</v>
      </c>
      <c r="D298" s="1">
        <f t="shared" ca="1" si="14"/>
        <v>3.7953632361375886</v>
      </c>
      <c r="E298" s="1">
        <f ca="1">SUM($B$6:C298)/(2*A298)</f>
        <v>6.4275879546030454</v>
      </c>
      <c r="F298" s="1">
        <f ca="1">SUM($E$6:E298)/A298</f>
        <v>6.4994823921600382</v>
      </c>
    </row>
    <row r="299" spans="1:6" x14ac:dyDescent="0.25">
      <c r="A299" s="1">
        <v>294</v>
      </c>
      <c r="B299" s="1">
        <f t="shared" ca="1" si="12"/>
        <v>5.0895411335142828</v>
      </c>
      <c r="C299" s="1">
        <f t="shared" ca="1" si="13"/>
        <v>10.017746542084506</v>
      </c>
      <c r="D299" s="1">
        <f t="shared" ca="1" si="14"/>
        <v>5.0895411335142828</v>
      </c>
      <c r="E299" s="1">
        <f ca="1">SUM($B$6:C299)/(2*A299)</f>
        <v>6.4314180766547331</v>
      </c>
      <c r="F299" s="1">
        <f ca="1">SUM($E$6:E299)/A299</f>
        <v>6.4992508808828093</v>
      </c>
    </row>
    <row r="300" spans="1:6" x14ac:dyDescent="0.25">
      <c r="A300" s="1">
        <v>295</v>
      </c>
      <c r="B300" s="1">
        <f t="shared" ca="1" si="12"/>
        <v>1.1574211933116418</v>
      </c>
      <c r="C300" s="1">
        <f t="shared" ca="1" si="13"/>
        <v>7.0325398449196648</v>
      </c>
      <c r="D300" s="1">
        <f t="shared" ca="1" si="14"/>
        <v>1.1574211933116418</v>
      </c>
      <c r="E300" s="1">
        <f ca="1">SUM($B$6:C300)/(2*A300)</f>
        <v>6.4234979493410407</v>
      </c>
      <c r="F300" s="1">
        <f ca="1">SUM($E$6:E300)/A300</f>
        <v>6.4989940912843629</v>
      </c>
    </row>
    <row r="301" spans="1:6" x14ac:dyDescent="0.25">
      <c r="A301" s="1">
        <v>296</v>
      </c>
      <c r="B301" s="1">
        <f t="shared" ca="1" si="12"/>
        <v>9.1919357129960186</v>
      </c>
      <c r="C301" s="1">
        <f t="shared" ca="1" si="13"/>
        <v>13.342713399785643</v>
      </c>
      <c r="D301" s="1">
        <f t="shared" ca="1" si="14"/>
        <v>9.1919357129960186</v>
      </c>
      <c r="E301" s="1">
        <f ca="1">SUM($B$6:C301)/(2*A301)</f>
        <v>6.439862228418912</v>
      </c>
      <c r="F301" s="1">
        <f ca="1">SUM($E$6:E301)/A301</f>
        <v>6.4987943214773845</v>
      </c>
    </row>
    <row r="302" spans="1:6" x14ac:dyDescent="0.25">
      <c r="A302" s="1">
        <v>297</v>
      </c>
      <c r="B302" s="1">
        <f t="shared" ca="1" si="12"/>
        <v>3.2791021243497811</v>
      </c>
      <c r="C302" s="1">
        <f t="shared" ca="1" si="13"/>
        <v>12.25046679260017</v>
      </c>
      <c r="D302" s="1">
        <f t="shared" ca="1" si="14"/>
        <v>3.2791021243497811</v>
      </c>
      <c r="E302" s="1">
        <f ca="1">SUM($B$6:C302)/(2*A302)</f>
        <v>6.444323246028528</v>
      </c>
      <c r="F302" s="1">
        <f ca="1">SUM($E$6:E302)/A302</f>
        <v>6.498610917182944</v>
      </c>
    </row>
    <row r="303" spans="1:6" x14ac:dyDescent="0.25">
      <c r="A303" s="1">
        <v>298</v>
      </c>
      <c r="B303" s="1">
        <f t="shared" ca="1" si="12"/>
        <v>2.0193297595316553</v>
      </c>
      <c r="C303" s="1">
        <f t="shared" ca="1" si="13"/>
        <v>8.7524356183571843</v>
      </c>
      <c r="D303" s="1">
        <f t="shared" ca="1" si="14"/>
        <v>2.0193297595316553</v>
      </c>
      <c r="E303" s="1">
        <f ca="1">SUM($B$6:C303)/(2*A303)</f>
        <v>6.4407714320785807</v>
      </c>
      <c r="F303" s="1">
        <f ca="1">SUM($E$6:E303)/A303</f>
        <v>6.4984168249510503</v>
      </c>
    </row>
    <row r="304" spans="1:6" x14ac:dyDescent="0.25">
      <c r="A304" s="1">
        <v>299</v>
      </c>
      <c r="B304" s="1">
        <f t="shared" ca="1" si="12"/>
        <v>9.2798976896648266</v>
      </c>
      <c r="C304" s="1">
        <f t="shared" ca="1" si="13"/>
        <v>0.79488194792956657</v>
      </c>
      <c r="D304" s="1">
        <f t="shared" ca="1" si="14"/>
        <v>0.79488194792956657</v>
      </c>
      <c r="E304" s="1">
        <f ca="1">SUM($B$6:C304)/(2*A304)</f>
        <v>6.4360778480876739</v>
      </c>
      <c r="F304" s="1">
        <f ca="1">SUM($E$6:E304)/A304</f>
        <v>6.498208333389635</v>
      </c>
    </row>
    <row r="305" spans="1:6" x14ac:dyDescent="0.25">
      <c r="A305" s="1">
        <v>300</v>
      </c>
      <c r="B305" s="1">
        <f t="shared" ca="1" si="12"/>
        <v>9.9437785900680034</v>
      </c>
      <c r="C305" s="1">
        <f t="shared" ca="1" si="13"/>
        <v>3.3861820002696854</v>
      </c>
      <c r="D305" s="1">
        <f t="shared" ca="1" si="14"/>
        <v>3.3861820002696854</v>
      </c>
      <c r="E305" s="1">
        <f ca="1">SUM($B$6:C305)/(2*A305)</f>
        <v>6.4368408562446113</v>
      </c>
      <c r="F305" s="1">
        <f ca="1">SUM($E$6:E305)/A305</f>
        <v>6.4980037751324842</v>
      </c>
    </row>
    <row r="306" spans="1:6" x14ac:dyDescent="0.25">
      <c r="A306" s="1">
        <v>301</v>
      </c>
      <c r="B306" s="1">
        <f t="shared" ca="1" si="12"/>
        <v>2.9624806563981423</v>
      </c>
      <c r="C306" s="1">
        <f t="shared" ca="1" si="13"/>
        <v>5.272170549605149</v>
      </c>
      <c r="D306" s="1">
        <f t="shared" ca="1" si="14"/>
        <v>2.9624806563981423</v>
      </c>
      <c r="E306" s="1">
        <f ca="1">SUM($B$6:C306)/(2*A306)</f>
        <v>6.4291348255029401</v>
      </c>
      <c r="F306" s="1">
        <f ca="1">SUM($E$6:E306)/A306</f>
        <v>6.4977749746353757</v>
      </c>
    </row>
    <row r="307" spans="1:6" x14ac:dyDescent="0.25">
      <c r="A307" s="1">
        <v>302</v>
      </c>
      <c r="B307" s="1">
        <f t="shared" ca="1" si="12"/>
        <v>5.207822059766027</v>
      </c>
      <c r="C307" s="1">
        <f t="shared" ca="1" si="13"/>
        <v>13.563367716429287</v>
      </c>
      <c r="D307" s="1">
        <f t="shared" ca="1" si="14"/>
        <v>5.207822059766027</v>
      </c>
      <c r="E307" s="1">
        <f ca="1">SUM($B$6:C307)/(2*A307)</f>
        <v>6.4389244283592131</v>
      </c>
      <c r="F307" s="1">
        <f ca="1">SUM($E$6:E307)/A307</f>
        <v>6.497580105276846</v>
      </c>
    </row>
    <row r="308" spans="1:6" x14ac:dyDescent="0.25">
      <c r="A308" s="1">
        <v>303</v>
      </c>
      <c r="B308" s="1">
        <f t="shared" ca="1" si="12"/>
        <v>5.8230671559673404</v>
      </c>
      <c r="C308" s="1">
        <f t="shared" ca="1" si="13"/>
        <v>12.444439931494246</v>
      </c>
      <c r="D308" s="1">
        <f t="shared" ca="1" si="14"/>
        <v>5.8230671559673404</v>
      </c>
      <c r="E308" s="1">
        <f ca="1">SUM($B$6:C308)/(2*A308)</f>
        <v>6.4478182538224864</v>
      </c>
      <c r="F308" s="1">
        <f ca="1">SUM($E$6:E308)/A308</f>
        <v>6.497415874743993</v>
      </c>
    </row>
    <row r="309" spans="1:6" x14ac:dyDescent="0.25">
      <c r="A309" s="1">
        <v>304</v>
      </c>
      <c r="B309" s="1">
        <f t="shared" ca="1" si="12"/>
        <v>5.0112101248257552</v>
      </c>
      <c r="C309" s="1">
        <f t="shared" ca="1" si="13"/>
        <v>0.93780535099789508</v>
      </c>
      <c r="D309" s="1">
        <f t="shared" ca="1" si="14"/>
        <v>0.93780535099789508</v>
      </c>
      <c r="E309" s="1">
        <f ca="1">SUM($B$6:C309)/(2*A309)</f>
        <v>6.4363928902833054</v>
      </c>
      <c r="F309" s="1">
        <f ca="1">SUM($E$6:E309)/A309</f>
        <v>6.4972151412424779</v>
      </c>
    </row>
    <row r="310" spans="1:6" x14ac:dyDescent="0.25">
      <c r="A310" s="1">
        <v>305</v>
      </c>
      <c r="B310" s="1">
        <f t="shared" ca="1" si="12"/>
        <v>3.4526086885266274</v>
      </c>
      <c r="C310" s="1">
        <f t="shared" ca="1" si="13"/>
        <v>4.3019775824159066</v>
      </c>
      <c r="D310" s="1">
        <f t="shared" ca="1" si="14"/>
        <v>3.4526086885266274</v>
      </c>
      <c r="E310" s="1">
        <f ca="1">SUM($B$6:C310)/(2*A310)</f>
        <v>6.4280023992839217</v>
      </c>
      <c r="F310" s="1">
        <f ca="1">SUM($E$6:E310)/A310</f>
        <v>6.4969882142196633</v>
      </c>
    </row>
    <row r="311" spans="1:6" x14ac:dyDescent="0.25">
      <c r="A311" s="1">
        <v>306</v>
      </c>
      <c r="B311" s="1">
        <f t="shared" ca="1" si="12"/>
        <v>5.6895145388326007</v>
      </c>
      <c r="C311" s="1">
        <f t="shared" ca="1" si="13"/>
        <v>12.028777625655104</v>
      </c>
      <c r="D311" s="1">
        <f t="shared" ca="1" si="14"/>
        <v>5.6895145388326007</v>
      </c>
      <c r="E311" s="1">
        <f ca="1">SUM($B$6:C311)/(2*A311)</f>
        <v>6.4359473132805229</v>
      </c>
      <c r="F311" s="1">
        <f ca="1">SUM($E$6:E311)/A311</f>
        <v>6.4967887341512345</v>
      </c>
    </row>
    <row r="312" spans="1:6" x14ac:dyDescent="0.25">
      <c r="A312" s="1">
        <v>307</v>
      </c>
      <c r="B312" s="1">
        <f t="shared" ca="1" si="12"/>
        <v>6.4972625284086192</v>
      </c>
      <c r="C312" s="1">
        <f t="shared" ca="1" si="13"/>
        <v>0.57564358506174362</v>
      </c>
      <c r="D312" s="1">
        <f t="shared" ca="1" si="14"/>
        <v>0.57564358506174362</v>
      </c>
      <c r="E312" s="1">
        <f ca="1">SUM($B$6:C312)/(2*A312)</f>
        <v>6.4265027065816778</v>
      </c>
      <c r="F312" s="1">
        <f ca="1">SUM($E$6:E312)/A312</f>
        <v>6.4965597894360245</v>
      </c>
    </row>
    <row r="313" spans="1:6" x14ac:dyDescent="0.25">
      <c r="A313" s="1">
        <v>308</v>
      </c>
      <c r="B313" s="1">
        <f t="shared" ca="1" si="12"/>
        <v>2.2939765552400635</v>
      </c>
      <c r="C313" s="1">
        <f t="shared" ca="1" si="13"/>
        <v>9.046310267978436</v>
      </c>
      <c r="D313" s="1">
        <f t="shared" ca="1" si="14"/>
        <v>2.2939765552400635</v>
      </c>
      <c r="E313" s="1">
        <f ca="1">SUM($B$6:C313)/(2*A313)</f>
        <v>6.424046994585014</v>
      </c>
      <c r="F313" s="1">
        <f ca="1">SUM($E$6:E313)/A313</f>
        <v>6.4963243582839114</v>
      </c>
    </row>
    <row r="314" spans="1:6" x14ac:dyDescent="0.25">
      <c r="A314" s="1">
        <v>309</v>
      </c>
      <c r="B314" s="1">
        <f t="shared" ca="1" si="12"/>
        <v>2.1388771442797427</v>
      </c>
      <c r="C314" s="1">
        <f t="shared" ca="1" si="13"/>
        <v>3.8775923347541301</v>
      </c>
      <c r="D314" s="1">
        <f t="shared" ca="1" si="14"/>
        <v>2.1388771442797427</v>
      </c>
      <c r="E314" s="1">
        <f ca="1">SUM($B$6:C314)/(2*A314)</f>
        <v>6.4129925859925612</v>
      </c>
      <c r="F314" s="1">
        <f ca="1">SUM($E$6:E314)/A314</f>
        <v>6.4960546761729354</v>
      </c>
    </row>
    <row r="315" spans="1:6" x14ac:dyDescent="0.25">
      <c r="A315" s="1">
        <v>310</v>
      </c>
      <c r="B315" s="1">
        <f t="shared" ca="1" si="12"/>
        <v>5.6134853313141164E-2</v>
      </c>
      <c r="C315" s="1">
        <f t="shared" ca="1" si="13"/>
        <v>1.8812335497064754</v>
      </c>
      <c r="D315" s="1">
        <f t="shared" ca="1" si="14"/>
        <v>5.6134853313141164E-2</v>
      </c>
      <c r="E315" s="1">
        <f ca="1">SUM($B$6:C315)/(2*A315)</f>
        <v>6.3954303008813262</v>
      </c>
      <c r="F315" s="1">
        <f ca="1">SUM($E$6:E315)/A315</f>
        <v>6.4957300814139307</v>
      </c>
    </row>
    <row r="316" spans="1:6" x14ac:dyDescent="0.25">
      <c r="A316" s="1">
        <v>311</v>
      </c>
      <c r="B316" s="1">
        <f t="shared" ca="1" si="12"/>
        <v>4.4754300701539265</v>
      </c>
      <c r="C316" s="1">
        <f t="shared" ca="1" si="13"/>
        <v>1.615645797453487</v>
      </c>
      <c r="D316" s="1">
        <f t="shared" ca="1" si="14"/>
        <v>1.615645797453487</v>
      </c>
      <c r="E316" s="1">
        <f ca="1">SUM($B$6:C316)/(2*A316)</f>
        <v>6.3846589427878291</v>
      </c>
      <c r="F316" s="1">
        <f ca="1">SUM($E$6:E316)/A316</f>
        <v>6.495372939489088</v>
      </c>
    </row>
    <row r="317" spans="1:6" x14ac:dyDescent="0.25">
      <c r="A317" s="1">
        <v>312</v>
      </c>
      <c r="B317" s="1">
        <f t="shared" ca="1" si="12"/>
        <v>3.083135404949966</v>
      </c>
      <c r="C317" s="1">
        <f t="shared" ca="1" si="13"/>
        <v>7.2674906385353353</v>
      </c>
      <c r="D317" s="1">
        <f t="shared" ca="1" si="14"/>
        <v>3.083135404949966</v>
      </c>
      <c r="E317" s="1">
        <f ca="1">SUM($B$6:C317)/(2*A317)</f>
        <v>6.3807828340665305</v>
      </c>
      <c r="F317" s="1">
        <f ca="1">SUM($E$6:E317)/A317</f>
        <v>6.4950056635101694</v>
      </c>
    </row>
    <row r="318" spans="1:6" x14ac:dyDescent="0.25">
      <c r="A318" s="1">
        <v>313</v>
      </c>
      <c r="B318" s="1">
        <f t="shared" ca="1" si="12"/>
        <v>9.7738557094111371</v>
      </c>
      <c r="C318" s="1">
        <f t="shared" ca="1" si="13"/>
        <v>4.3313264507862526</v>
      </c>
      <c r="D318" s="1">
        <f t="shared" ca="1" si="14"/>
        <v>4.3313264507862526</v>
      </c>
      <c r="E318" s="1">
        <f ca="1">SUM($B$6:C318)/(2*A318)</f>
        <v>6.3829291862902755</v>
      </c>
      <c r="F318" s="1">
        <f ca="1">SUM($E$6:E318)/A318</f>
        <v>6.4946475916979658</v>
      </c>
    </row>
    <row r="319" spans="1:6" x14ac:dyDescent="0.25">
      <c r="A319" s="1">
        <v>314</v>
      </c>
      <c r="B319" s="1">
        <f t="shared" ca="1" si="12"/>
        <v>2.252879532287384</v>
      </c>
      <c r="C319" s="1">
        <f t="shared" ca="1" si="13"/>
        <v>1.7704859416350627</v>
      </c>
      <c r="D319" s="1">
        <f t="shared" ca="1" si="14"/>
        <v>1.7704859416350627</v>
      </c>
      <c r="E319" s="1">
        <f ca="1">SUM($B$6:C319)/(2*A319)</f>
        <v>6.3690080192541956</v>
      </c>
      <c r="F319" s="1">
        <f ca="1">SUM($E$6:E319)/A319</f>
        <v>6.4942474656710747</v>
      </c>
    </row>
    <row r="320" spans="1:6" x14ac:dyDescent="0.25">
      <c r="A320" s="1">
        <v>315</v>
      </c>
      <c r="B320" s="1">
        <f t="shared" ca="1" si="12"/>
        <v>4.4099511230944586</v>
      </c>
      <c r="C320" s="1">
        <f t="shared" ca="1" si="13"/>
        <v>0.43005002552822247</v>
      </c>
      <c r="D320" s="1">
        <f t="shared" ca="1" si="14"/>
        <v>0.43005002552822247</v>
      </c>
      <c r="E320" s="1">
        <f ca="1">SUM($B$6:C320)/(2*A320)</f>
        <v>6.3564714876829482</v>
      </c>
      <c r="F320" s="1">
        <f ca="1">SUM($E$6:E320)/A320</f>
        <v>6.4938100816139688</v>
      </c>
    </row>
    <row r="321" spans="1:6" x14ac:dyDescent="0.25">
      <c r="A321" s="1">
        <v>316</v>
      </c>
      <c r="B321" s="1">
        <f t="shared" ca="1" si="12"/>
        <v>4.6042906921642155</v>
      </c>
      <c r="C321" s="1">
        <f t="shared" ca="1" si="13"/>
        <v>7.2283238530737197</v>
      </c>
      <c r="D321" s="1">
        <f t="shared" ca="1" si="14"/>
        <v>4.6042906921642155</v>
      </c>
      <c r="E321" s="1">
        <f ca="1">SUM($B$6:C321)/(2*A321)</f>
        <v>6.355078562951733</v>
      </c>
      <c r="F321" s="1">
        <f ca="1">SUM($E$6:E321)/A321</f>
        <v>6.4933710578207346</v>
      </c>
    </row>
    <row r="322" spans="1:6" x14ac:dyDescent="0.25">
      <c r="A322" s="1">
        <v>317</v>
      </c>
      <c r="B322" s="1">
        <f t="shared" ca="1" si="12"/>
        <v>3.3214141869381386</v>
      </c>
      <c r="C322" s="1">
        <f t="shared" ca="1" si="13"/>
        <v>0.17974663545637815</v>
      </c>
      <c r="D322" s="1">
        <f t="shared" ca="1" si="14"/>
        <v>0.17974663545637815</v>
      </c>
      <c r="E322" s="1">
        <f ca="1">SUM($B$6:C322)/(2*A322)</f>
        <v>6.3405533321891001</v>
      </c>
      <c r="F322" s="1">
        <f ca="1">SUM($E$6:E322)/A322</f>
        <v>6.4928889829764715</v>
      </c>
    </row>
    <row r="323" spans="1:6" x14ac:dyDescent="0.25">
      <c r="A323" s="1">
        <v>318</v>
      </c>
      <c r="B323" s="1">
        <f t="shared" ca="1" si="12"/>
        <v>3.0383977181271558</v>
      </c>
      <c r="C323" s="1">
        <f t="shared" ca="1" si="13"/>
        <v>12.972731523961125</v>
      </c>
      <c r="D323" s="1">
        <f t="shared" ca="1" si="14"/>
        <v>3.0383977181271558</v>
      </c>
      <c r="E323" s="1">
        <f ca="1">SUM($B$6:C323)/(2*A323)</f>
        <v>6.3457892167452483</v>
      </c>
      <c r="F323" s="1">
        <f ca="1">SUM($E$6:E323)/A323</f>
        <v>6.4924264050952409</v>
      </c>
    </row>
    <row r="324" spans="1:6" x14ac:dyDescent="0.25">
      <c r="A324" s="1">
        <v>319</v>
      </c>
      <c r="B324" s="1">
        <f t="shared" ca="1" si="12"/>
        <v>9.6561590113382625</v>
      </c>
      <c r="C324" s="1">
        <f t="shared" ca="1" si="13"/>
        <v>12.782603236062956</v>
      </c>
      <c r="D324" s="1">
        <f t="shared" ca="1" si="14"/>
        <v>9.6561590113382625</v>
      </c>
      <c r="E324" s="1">
        <f ca="1">SUM($B$6:C324)/(2*A324)</f>
        <v>6.3610669343219115</v>
      </c>
      <c r="F324" s="1">
        <f ca="1">SUM($E$6:E324)/A324</f>
        <v>6.4920146199204032</v>
      </c>
    </row>
    <row r="325" spans="1:6" x14ac:dyDescent="0.25">
      <c r="A325" s="1">
        <v>320</v>
      </c>
      <c r="B325" s="1">
        <f t="shared" ca="1" si="12"/>
        <v>8.8147220981998835</v>
      </c>
      <c r="C325" s="1">
        <f t="shared" ca="1" si="13"/>
        <v>10.707474999167117</v>
      </c>
      <c r="D325" s="1">
        <f t="shared" ca="1" si="14"/>
        <v>8.8147220981998835</v>
      </c>
      <c r="E325" s="1">
        <f ca="1">SUM($B$6:C325)/(2*A325)</f>
        <v>6.3716920331167914</v>
      </c>
      <c r="F325" s="1">
        <f ca="1">SUM($E$6:E325)/A325</f>
        <v>6.4916386118366418</v>
      </c>
    </row>
    <row r="326" spans="1:6" x14ac:dyDescent="0.25">
      <c r="A326" s="1">
        <v>321</v>
      </c>
      <c r="B326" s="1">
        <f t="shared" ca="1" si="12"/>
        <v>6.2229323008323867</v>
      </c>
      <c r="C326" s="1">
        <f t="shared" ca="1" si="13"/>
        <v>11.795104364539345</v>
      </c>
      <c r="D326" s="1">
        <f t="shared" ca="1" si="14"/>
        <v>6.2229323008323867</v>
      </c>
      <c r="E326" s="1">
        <f ca="1">SUM($B$6:C326)/(2*A326)</f>
        <v>6.3799080028973805</v>
      </c>
      <c r="F326" s="1">
        <f ca="1">SUM($E$6:E326)/A326</f>
        <v>6.49129054140381</v>
      </c>
    </row>
    <row r="327" spans="1:6" x14ac:dyDescent="0.25">
      <c r="A327" s="1">
        <v>322</v>
      </c>
      <c r="B327" s="1">
        <f t="shared" ref="B327:B370" ca="1" si="15">RAND()*$D$1</f>
        <v>5.4209041488348113</v>
      </c>
      <c r="C327" s="1">
        <f t="shared" ref="C327:C370" ca="1" si="16">RAND()*$D$2</f>
        <v>9.4366530776789403</v>
      </c>
      <c r="D327" s="1">
        <f t="shared" ref="D327:D370" ca="1" si="17">MIN(B327:C327)</f>
        <v>5.4209041488348113</v>
      </c>
      <c r="E327" s="1">
        <f ca="1">SUM($B$6:C327)/(2*A327)</f>
        <v>6.3831653650413545</v>
      </c>
      <c r="F327" s="1">
        <f ca="1">SUM($E$6:E327)/A327</f>
        <v>6.4909547489306343</v>
      </c>
    </row>
    <row r="328" spans="1:6" x14ac:dyDescent="0.25">
      <c r="A328" s="1">
        <v>323</v>
      </c>
      <c r="B328" s="1">
        <f t="shared" ca="1" si="15"/>
        <v>5.5959781444633991</v>
      </c>
      <c r="C328" s="1">
        <f t="shared" ca="1" si="16"/>
        <v>5.5155795997024768</v>
      </c>
      <c r="D328" s="1">
        <f t="shared" ca="1" si="17"/>
        <v>5.5155795997024768</v>
      </c>
      <c r="E328" s="1">
        <f ca="1">SUM($B$6:C328)/(2*A328)</f>
        <v>6.3806037969517</v>
      </c>
      <c r="F328" s="1">
        <f ca="1">SUM($E$6:E328)/A328</f>
        <v>6.4906131051164575</v>
      </c>
    </row>
    <row r="329" spans="1:6" x14ac:dyDescent="0.25">
      <c r="A329" s="1">
        <v>324</v>
      </c>
      <c r="B329" s="1">
        <f t="shared" ca="1" si="15"/>
        <v>7.3689706597039271</v>
      </c>
      <c r="C329" s="1">
        <f t="shared" ca="1" si="16"/>
        <v>13.835992743627479</v>
      </c>
      <c r="D329" s="1">
        <f t="shared" ca="1" si="17"/>
        <v>7.3689706597039271</v>
      </c>
      <c r="E329" s="1">
        <f ca="1">SUM($B$6:C329)/(2*A329)</f>
        <v>6.3936342843119292</v>
      </c>
      <c r="F329" s="1">
        <f ca="1">SUM($E$6:E329)/A329</f>
        <v>6.4903137877682964</v>
      </c>
    </row>
    <row r="330" spans="1:6" x14ac:dyDescent="0.25">
      <c r="A330" s="1">
        <v>325</v>
      </c>
      <c r="B330" s="1">
        <f t="shared" ca="1" si="15"/>
        <v>8.2578316447961537</v>
      </c>
      <c r="C330" s="1">
        <f t="shared" ca="1" si="16"/>
        <v>8.8331467255340677</v>
      </c>
      <c r="D330" s="1">
        <f t="shared" ca="1" si="17"/>
        <v>8.2578316447961537</v>
      </c>
      <c r="E330" s="1">
        <f ca="1">SUM($B$6:C330)/(2*A330)</f>
        <v>6.4002553763145542</v>
      </c>
      <c r="F330" s="1">
        <f ca="1">SUM($E$6:E330)/A330</f>
        <v>6.4900366849638225</v>
      </c>
    </row>
    <row r="331" spans="1:6" x14ac:dyDescent="0.25">
      <c r="A331" s="1">
        <v>326</v>
      </c>
      <c r="B331" s="1">
        <f t="shared" ca="1" si="15"/>
        <v>3.2267235284817075</v>
      </c>
      <c r="C331" s="1">
        <f t="shared" ca="1" si="16"/>
        <v>7.2202103401591948</v>
      </c>
      <c r="D331" s="1">
        <f t="shared" ca="1" si="17"/>
        <v>3.2267235284817075</v>
      </c>
      <c r="E331" s="1">
        <f ca="1">SUM($B$6:C331)/(2*A331)</f>
        <v>6.39664559581764</v>
      </c>
      <c r="F331" s="1">
        <f ca="1">SUM($E$6:E331)/A331</f>
        <v>6.4897502092302455</v>
      </c>
    </row>
    <row r="332" spans="1:6" x14ac:dyDescent="0.25">
      <c r="A332" s="1">
        <v>327</v>
      </c>
      <c r="B332" s="1">
        <f t="shared" ca="1" si="15"/>
        <v>0.37058491517688474</v>
      </c>
      <c r="C332" s="1">
        <f t="shared" ca="1" si="16"/>
        <v>13.286122861868604</v>
      </c>
      <c r="D332" s="1">
        <f t="shared" ca="1" si="17"/>
        <v>0.37058491517688474</v>
      </c>
      <c r="E332" s="1">
        <f ca="1">SUM($B$6:C332)/(2*A332)</f>
        <v>6.3979658046638326</v>
      </c>
      <c r="F332" s="1">
        <f ca="1">SUM($E$6:E332)/A332</f>
        <v>6.4894695229777479</v>
      </c>
    </row>
    <row r="333" spans="1:6" x14ac:dyDescent="0.25">
      <c r="A333" s="1">
        <v>328</v>
      </c>
      <c r="B333" s="1">
        <f t="shared" ca="1" si="15"/>
        <v>6.0505336198778306</v>
      </c>
      <c r="C333" s="1">
        <f t="shared" ca="1" si="16"/>
        <v>2.489013156011386</v>
      </c>
      <c r="D333" s="1">
        <f t="shared" ca="1" si="17"/>
        <v>2.489013156011386</v>
      </c>
      <c r="E333" s="1">
        <f ca="1">SUM($B$6:C333)/(2*A333)</f>
        <v>6.3914774131494445</v>
      </c>
      <c r="F333" s="1">
        <f ca="1">SUM($E$6:E333)/A333</f>
        <v>6.4891707665453451</v>
      </c>
    </row>
    <row r="334" spans="1:6" x14ac:dyDescent="0.25">
      <c r="A334" s="1">
        <v>329</v>
      </c>
      <c r="B334" s="1">
        <f t="shared" ca="1" si="15"/>
        <v>8.0054999869725165</v>
      </c>
      <c r="C334" s="1">
        <f t="shared" ca="1" si="16"/>
        <v>2.7732447626253984</v>
      </c>
      <c r="D334" s="1">
        <f t="shared" ca="1" si="17"/>
        <v>2.7732447626253984</v>
      </c>
      <c r="E334" s="1">
        <f ca="1">SUM($B$6:C334)/(2*A334)</f>
        <v>6.3884315011787747</v>
      </c>
      <c r="F334" s="1">
        <f ca="1">SUM($E$6:E334)/A334</f>
        <v>6.4888645681703707</v>
      </c>
    </row>
    <row r="335" spans="1:6" x14ac:dyDescent="0.25">
      <c r="A335" s="1">
        <v>330</v>
      </c>
      <c r="B335" s="1">
        <f t="shared" ca="1" si="15"/>
        <v>8.7201671472945819</v>
      </c>
      <c r="C335" s="1">
        <f t="shared" ca="1" si="16"/>
        <v>3.3960133571425093</v>
      </c>
      <c r="D335" s="1">
        <f t="shared" ca="1" si="17"/>
        <v>3.3960133571425093</v>
      </c>
      <c r="E335" s="1">
        <f ca="1">SUM($B$6:C335)/(2*A335)</f>
        <v>6.3874304670910176</v>
      </c>
      <c r="F335" s="1">
        <f ca="1">SUM($E$6:E335)/A335</f>
        <v>6.4885571921064944</v>
      </c>
    </row>
    <row r="336" spans="1:6" x14ac:dyDescent="0.25">
      <c r="A336" s="1">
        <v>331</v>
      </c>
      <c r="B336" s="1">
        <f t="shared" ca="1" si="15"/>
        <v>0.50635273216004473</v>
      </c>
      <c r="C336" s="1">
        <f t="shared" ca="1" si="16"/>
        <v>11.567658829227423</v>
      </c>
      <c r="D336" s="1">
        <f t="shared" ca="1" si="17"/>
        <v>0.50635273216004473</v>
      </c>
      <c r="E336" s="1">
        <f ca="1">SUM($B$6:C336)/(2*A336)</f>
        <v>6.3863717822378527</v>
      </c>
      <c r="F336" s="1">
        <f ca="1">SUM($E$6:E336)/A336</f>
        <v>6.4882484748561353</v>
      </c>
    </row>
    <row r="337" spans="1:6" x14ac:dyDescent="0.25">
      <c r="A337" s="1">
        <v>332</v>
      </c>
      <c r="B337" s="1">
        <f t="shared" ca="1" si="15"/>
        <v>5.8760072670300456</v>
      </c>
      <c r="C337" s="1">
        <f t="shared" ca="1" si="16"/>
        <v>8.9026509410028414</v>
      </c>
      <c r="D337" s="1">
        <f t="shared" ca="1" si="17"/>
        <v>5.8760072670300456</v>
      </c>
      <c r="E337" s="1">
        <f ca="1">SUM($B$6:C337)/(2*A337)</f>
        <v>6.3893927380263431</v>
      </c>
      <c r="F337" s="1">
        <f ca="1">SUM($E$6:E337)/A337</f>
        <v>6.487950716612672</v>
      </c>
    </row>
    <row r="338" spans="1:6" x14ac:dyDescent="0.25">
      <c r="A338" s="1">
        <v>333</v>
      </c>
      <c r="B338" s="1">
        <f t="shared" ca="1" si="15"/>
        <v>0.33639764958699025</v>
      </c>
      <c r="C338" s="1">
        <f t="shared" ca="1" si="16"/>
        <v>1.1005453786200703</v>
      </c>
      <c r="D338" s="1">
        <f t="shared" ca="1" si="17"/>
        <v>0.33639764958699025</v>
      </c>
      <c r="E338" s="1">
        <f ca="1">SUM($B$6:C338)/(2*A338)</f>
        <v>6.3723629445611092</v>
      </c>
      <c r="F338" s="1">
        <f ca="1">SUM($E$6:E338)/A338</f>
        <v>6.4876036061860916</v>
      </c>
    </row>
    <row r="339" spans="1:6" x14ac:dyDescent="0.25">
      <c r="A339" s="1">
        <v>334</v>
      </c>
      <c r="B339" s="1">
        <f t="shared" ca="1" si="15"/>
        <v>8.8756172073465738</v>
      </c>
      <c r="C339" s="1">
        <f t="shared" ca="1" si="16"/>
        <v>14.989975958392625</v>
      </c>
      <c r="D339" s="1">
        <f t="shared" ca="1" si="17"/>
        <v>8.8756172073465738</v>
      </c>
      <c r="E339" s="1">
        <f ca="1">SUM($B$6:C339)/(2*A339)</f>
        <v>6.3890109494662237</v>
      </c>
      <c r="F339" s="1">
        <f ca="1">SUM($E$6:E339)/A339</f>
        <v>6.4873084185911223</v>
      </c>
    </row>
    <row r="340" spans="1:6" x14ac:dyDescent="0.25">
      <c r="A340" s="1">
        <v>335</v>
      </c>
      <c r="B340" s="1">
        <f t="shared" ca="1" si="15"/>
        <v>8.5439217872241002</v>
      </c>
      <c r="C340" s="1">
        <f t="shared" ca="1" si="16"/>
        <v>5.2496182182652671</v>
      </c>
      <c r="D340" s="1">
        <f t="shared" ca="1" si="17"/>
        <v>5.2496182182652671</v>
      </c>
      <c r="E340" s="1">
        <f ca="1">SUM($B$6:C340)/(2*A340)</f>
        <v>6.3905266481327265</v>
      </c>
      <c r="F340" s="1">
        <f ca="1">SUM($E$6:E340)/A340</f>
        <v>6.4870195177837839</v>
      </c>
    </row>
    <row r="341" spans="1:6" x14ac:dyDescent="0.25">
      <c r="A341" s="1">
        <v>336</v>
      </c>
      <c r="B341" s="1">
        <f t="shared" ca="1" si="15"/>
        <v>9.8217400018486458</v>
      </c>
      <c r="C341" s="1">
        <f t="shared" ca="1" si="16"/>
        <v>13.616706268923714</v>
      </c>
      <c r="D341" s="1">
        <f t="shared" ca="1" si="17"/>
        <v>9.8217400018486458</v>
      </c>
      <c r="E341" s="1">
        <f ca="1">SUM($B$6:C341)/(2*A341)</f>
        <v>6.4063858638686</v>
      </c>
      <c r="F341" s="1">
        <f ca="1">SUM($E$6:E341)/A341</f>
        <v>6.4867795366709418</v>
      </c>
    </row>
    <row r="342" spans="1:6" x14ac:dyDescent="0.25">
      <c r="A342" s="1">
        <v>337</v>
      </c>
      <c r="B342" s="1">
        <f t="shared" ca="1" si="15"/>
        <v>7.9528420224317786</v>
      </c>
      <c r="C342" s="1">
        <f t="shared" ca="1" si="16"/>
        <v>7.188821514679967</v>
      </c>
      <c r="D342" s="1">
        <f t="shared" ca="1" si="17"/>
        <v>7.188821514679967</v>
      </c>
      <c r="E342" s="1">
        <f ca="1">SUM($B$6:C342)/(2*A342)</f>
        <v>6.4098411929626264</v>
      </c>
      <c r="F342" s="1">
        <f ca="1">SUM($E$6:E342)/A342</f>
        <v>6.4865512329804131</v>
      </c>
    </row>
    <row r="343" spans="1:6" x14ac:dyDescent="0.25">
      <c r="A343" s="1">
        <v>338</v>
      </c>
      <c r="B343" s="1">
        <f t="shared" ca="1" si="15"/>
        <v>5.7418662344213551</v>
      </c>
      <c r="C343" s="1">
        <f t="shared" ca="1" si="16"/>
        <v>12.500394768223977</v>
      </c>
      <c r="D343" s="1">
        <f t="shared" ca="1" si="17"/>
        <v>5.7418662344213551</v>
      </c>
      <c r="E343" s="1">
        <f ca="1">SUM($B$6:C343)/(2*A343)</f>
        <v>6.4178627589636932</v>
      </c>
      <c r="F343" s="1">
        <f ca="1">SUM($E$6:E343)/A343</f>
        <v>6.4863480126430852</v>
      </c>
    </row>
    <row r="344" spans="1:6" x14ac:dyDescent="0.25">
      <c r="A344" s="1">
        <v>339</v>
      </c>
      <c r="B344" s="1">
        <f t="shared" ca="1" si="15"/>
        <v>3.085697673566016</v>
      </c>
      <c r="C344" s="1">
        <f t="shared" ca="1" si="16"/>
        <v>13.308872444893707</v>
      </c>
      <c r="D344" s="1">
        <f t="shared" ca="1" si="17"/>
        <v>3.085697673566016</v>
      </c>
      <c r="E344" s="1">
        <f ca="1">SUM($B$6:C344)/(2*A344)</f>
        <v>6.4231117922978109</v>
      </c>
      <c r="F344" s="1">
        <f ca="1">SUM($E$6:E344)/A344</f>
        <v>6.4861614751199426</v>
      </c>
    </row>
    <row r="345" spans="1:6" x14ac:dyDescent="0.25">
      <c r="A345" s="1">
        <v>340</v>
      </c>
      <c r="B345" s="1">
        <f t="shared" ca="1" si="15"/>
        <v>6.6578304258834624</v>
      </c>
      <c r="C345" s="1">
        <f t="shared" ca="1" si="16"/>
        <v>14.048564218933965</v>
      </c>
      <c r="D345" s="1">
        <f t="shared" ca="1" si="17"/>
        <v>6.6578304258834624</v>
      </c>
      <c r="E345" s="1">
        <f ca="1">SUM($B$6:C345)/(2*A345)</f>
        <v>6.4346708673863731</v>
      </c>
      <c r="F345" s="1">
        <f ca="1">SUM($E$6:E345)/A345</f>
        <v>6.4860100321560203</v>
      </c>
    </row>
    <row r="346" spans="1:6" x14ac:dyDescent="0.25">
      <c r="A346" s="1">
        <v>341</v>
      </c>
      <c r="B346" s="1">
        <f t="shared" ca="1" si="15"/>
        <v>9.8456193428172138</v>
      </c>
      <c r="C346" s="1">
        <f t="shared" ca="1" si="16"/>
        <v>12.937301012198903</v>
      </c>
      <c r="D346" s="1">
        <f t="shared" ca="1" si="17"/>
        <v>9.8456193428172138</v>
      </c>
      <c r="E346" s="1">
        <f ca="1">SUM($B$6:C346)/(2*A346)</f>
        <v>6.4492069064189881</v>
      </c>
      <c r="F346" s="1">
        <f ca="1">SUM($E$6:E346)/A346</f>
        <v>6.485902105101073</v>
      </c>
    </row>
    <row r="347" spans="1:6" x14ac:dyDescent="0.25">
      <c r="A347" s="1">
        <v>342</v>
      </c>
      <c r="B347" s="1">
        <f t="shared" ca="1" si="15"/>
        <v>5.1486603080372078</v>
      </c>
      <c r="C347" s="1">
        <f t="shared" ca="1" si="16"/>
        <v>5.3681631739607116</v>
      </c>
      <c r="D347" s="1">
        <f t="shared" ca="1" si="17"/>
        <v>5.1486603080372078</v>
      </c>
      <c r="E347" s="1">
        <f ca="1">SUM($B$6:C347)/(2*A347)</f>
        <v>6.445725049210159</v>
      </c>
      <c r="F347" s="1">
        <f ca="1">SUM($E$6:E347)/A347</f>
        <v>6.485784628329462</v>
      </c>
    </row>
    <row r="348" spans="1:6" x14ac:dyDescent="0.25">
      <c r="A348" s="1">
        <v>343</v>
      </c>
      <c r="B348" s="1">
        <f t="shared" ca="1" si="15"/>
        <v>2.0372840694751715</v>
      </c>
      <c r="C348" s="1">
        <f t="shared" ca="1" si="16"/>
        <v>1.8364220022443019</v>
      </c>
      <c r="D348" s="1">
        <f t="shared" ca="1" si="17"/>
        <v>1.8364220022443019</v>
      </c>
      <c r="E348" s="1">
        <f ca="1">SUM($B$6:C348)/(2*A348)</f>
        <v>6.4325796497543264</v>
      </c>
      <c r="F348" s="1">
        <f ca="1">SUM($E$6:E348)/A348</f>
        <v>6.4856295117738494</v>
      </c>
    </row>
    <row r="349" spans="1:6" x14ac:dyDescent="0.25">
      <c r="A349" s="1">
        <v>344</v>
      </c>
      <c r="B349" s="1">
        <f t="shared" ca="1" si="15"/>
        <v>8.3280052327163503</v>
      </c>
      <c r="C349" s="1">
        <f t="shared" ca="1" si="16"/>
        <v>1.7212628152818377</v>
      </c>
      <c r="D349" s="1">
        <f t="shared" ca="1" si="17"/>
        <v>1.7212628152818377</v>
      </c>
      <c r="E349" s="1">
        <f ca="1">SUM($B$6:C349)/(2*A349)</f>
        <v>6.4284867845631775</v>
      </c>
      <c r="F349" s="1">
        <f ca="1">SUM($E$6:E349)/A349</f>
        <v>6.4854633991947486</v>
      </c>
    </row>
    <row r="350" spans="1:6" x14ac:dyDescent="0.25">
      <c r="A350" s="1">
        <v>345</v>
      </c>
      <c r="B350" s="1">
        <f t="shared" ca="1" si="15"/>
        <v>7.8354505773338579</v>
      </c>
      <c r="C350" s="1">
        <f t="shared" ca="1" si="16"/>
        <v>12.13149571262263</v>
      </c>
      <c r="D350" s="1">
        <f t="shared" ca="1" si="17"/>
        <v>7.8354505773338579</v>
      </c>
      <c r="E350" s="1">
        <f ca="1">SUM($B$6:C350)/(2*A350)</f>
        <v>6.4387910928542365</v>
      </c>
      <c r="F350" s="1">
        <f ca="1">SUM($E$6:E350)/A350</f>
        <v>6.4853281171473851</v>
      </c>
    </row>
    <row r="351" spans="1:6" x14ac:dyDescent="0.25">
      <c r="A351" s="1">
        <v>346</v>
      </c>
      <c r="B351" s="1">
        <f t="shared" ca="1" si="15"/>
        <v>5.6161171886561521</v>
      </c>
      <c r="C351" s="1">
        <f t="shared" ca="1" si="16"/>
        <v>14.678925472311747</v>
      </c>
      <c r="D351" s="1">
        <f t="shared" ca="1" si="17"/>
        <v>5.6161171886561521</v>
      </c>
      <c r="E351" s="1">
        <f ca="1">SUM($B$6:C351)/(2*A351)</f>
        <v>6.4495099663733972</v>
      </c>
      <c r="F351" s="1">
        <f ca="1">SUM($E$6:E351)/A351</f>
        <v>6.4852245964804078</v>
      </c>
    </row>
    <row r="352" spans="1:6" x14ac:dyDescent="0.25">
      <c r="A352" s="1">
        <v>347</v>
      </c>
      <c r="B352" s="1">
        <f t="shared" ca="1" si="15"/>
        <v>0.2875860669434116</v>
      </c>
      <c r="C352" s="1">
        <f t="shared" ca="1" si="16"/>
        <v>3.5363932322596865</v>
      </c>
      <c r="D352" s="1">
        <f t="shared" ca="1" si="17"/>
        <v>0.2875860669434116</v>
      </c>
      <c r="E352" s="1">
        <f ca="1">SUM($B$6:C352)/(2*A352)</f>
        <v>6.4364335389475418</v>
      </c>
      <c r="F352" s="1">
        <f ca="1">SUM($E$6:E352)/A352</f>
        <v>6.4850839882454432</v>
      </c>
    </row>
    <row r="353" spans="1:6" x14ac:dyDescent="0.25">
      <c r="A353" s="1">
        <v>348</v>
      </c>
      <c r="B353" s="1">
        <f t="shared" ca="1" si="15"/>
        <v>0.45843987405800868</v>
      </c>
      <c r="C353" s="1">
        <f t="shared" ca="1" si="16"/>
        <v>11.534798755996745</v>
      </c>
      <c r="D353" s="1">
        <f t="shared" ca="1" si="17"/>
        <v>0.45843987405800868</v>
      </c>
      <c r="E353" s="1">
        <f ca="1">SUM($B$6:C353)/(2*A353)</f>
        <v>6.4351697049707601</v>
      </c>
      <c r="F353" s="1">
        <f ca="1">SUM($E$6:E353)/A353</f>
        <v>6.4849405563969524</v>
      </c>
    </row>
    <row r="354" spans="1:6" x14ac:dyDescent="0.25">
      <c r="A354" s="1">
        <v>349</v>
      </c>
      <c r="B354" s="1">
        <f t="shared" ca="1" si="15"/>
        <v>6.7612535884365963</v>
      </c>
      <c r="C354" s="1">
        <f t="shared" ca="1" si="16"/>
        <v>6.6674038583811059</v>
      </c>
      <c r="D354" s="1">
        <f t="shared" ca="1" si="17"/>
        <v>6.6674038583811059</v>
      </c>
      <c r="E354" s="1">
        <f ca="1">SUM($B$6:C354)/(2*A354)</f>
        <v>6.435969587545082</v>
      </c>
      <c r="F354" s="1">
        <f ca="1">SUM($E$6:E354)/A354</f>
        <v>6.4848002384346257</v>
      </c>
    </row>
    <row r="355" spans="1:6" x14ac:dyDescent="0.25">
      <c r="A355" s="1">
        <v>350</v>
      </c>
      <c r="B355" s="1">
        <f t="shared" ca="1" si="15"/>
        <v>1.4722956713173829</v>
      </c>
      <c r="C355" s="1">
        <f t="shared" ca="1" si="16"/>
        <v>14.945006847361496</v>
      </c>
      <c r="D355" s="1">
        <f t="shared" ca="1" si="17"/>
        <v>1.4722956713173829</v>
      </c>
      <c r="E355" s="1">
        <f ca="1">SUM($B$6:C355)/(2*A355)</f>
        <v>6.4410343923216375</v>
      </c>
      <c r="F355" s="1">
        <f ca="1">SUM($E$6:E355)/A355</f>
        <v>6.4846751931600179</v>
      </c>
    </row>
    <row r="356" spans="1:6" x14ac:dyDescent="0.25">
      <c r="A356" s="1">
        <v>351</v>
      </c>
      <c r="B356" s="1">
        <f t="shared" ca="1" si="15"/>
        <v>8.1504514938349271</v>
      </c>
      <c r="C356" s="1">
        <f t="shared" ca="1" si="16"/>
        <v>7.1601946559198071</v>
      </c>
      <c r="D356" s="1">
        <f t="shared" ca="1" si="17"/>
        <v>7.1601946559198071</v>
      </c>
      <c r="E356" s="1">
        <f ca="1">SUM($B$6:C356)/(2*A356)</f>
        <v>6.4444939042377509</v>
      </c>
      <c r="F356" s="1">
        <f ca="1">SUM($E$6:E356)/A356</f>
        <v>6.4845607165534016</v>
      </c>
    </row>
    <row r="357" spans="1:6" x14ac:dyDescent="0.25">
      <c r="A357" s="1">
        <v>352</v>
      </c>
      <c r="B357" s="1">
        <f t="shared" ca="1" si="15"/>
        <v>1.9586199589787689</v>
      </c>
      <c r="C357" s="1">
        <f t="shared" ca="1" si="16"/>
        <v>8.9514661753483988</v>
      </c>
      <c r="D357" s="1">
        <f t="shared" ca="1" si="17"/>
        <v>1.9586199589787689</v>
      </c>
      <c r="E357" s="1">
        <f ca="1">SUM($B$6:C357)/(2*A357)</f>
        <v>6.4416829643596989</v>
      </c>
      <c r="F357" s="1">
        <f ca="1">SUM($E$6:E357)/A357</f>
        <v>6.4844389047573969</v>
      </c>
    </row>
    <row r="358" spans="1:6" x14ac:dyDescent="0.25">
      <c r="A358" s="1">
        <v>353</v>
      </c>
      <c r="B358" s="1">
        <f t="shared" ca="1" si="15"/>
        <v>6.259637062471052</v>
      </c>
      <c r="C358" s="1">
        <f t="shared" ca="1" si="16"/>
        <v>1.241378590744131</v>
      </c>
      <c r="D358" s="1">
        <f t="shared" ca="1" si="17"/>
        <v>1.241378590744131</v>
      </c>
      <c r="E358" s="1">
        <f ca="1">SUM($B$6:C358)/(2*A358)</f>
        <v>6.4340592387570013</v>
      </c>
      <c r="F358" s="1">
        <f ca="1">SUM($E$6:E358)/A358</f>
        <v>6.4842961861568291</v>
      </c>
    </row>
    <row r="359" spans="1:6" x14ac:dyDescent="0.25">
      <c r="A359" s="1">
        <v>354</v>
      </c>
      <c r="B359" s="1">
        <f t="shared" ca="1" si="15"/>
        <v>3.7405835569387702</v>
      </c>
      <c r="C359" s="1">
        <f t="shared" ca="1" si="16"/>
        <v>14.297495420912062</v>
      </c>
      <c r="D359" s="1">
        <f t="shared" ca="1" si="17"/>
        <v>3.7405835569387702</v>
      </c>
      <c r="E359" s="1">
        <f ca="1">SUM($B$6:C359)/(2*A359)</f>
        <v>6.4413614428535224</v>
      </c>
      <c r="F359" s="1">
        <f ca="1">SUM($E$6:E359)/A359</f>
        <v>6.4841749015712269</v>
      </c>
    </row>
    <row r="360" spans="1:6" x14ac:dyDescent="0.25">
      <c r="A360" s="1">
        <v>355</v>
      </c>
      <c r="B360" s="1">
        <f t="shared" ca="1" si="15"/>
        <v>6.040469884449732</v>
      </c>
      <c r="C360" s="1">
        <f t="shared" ca="1" si="16"/>
        <v>14.573118096670228</v>
      </c>
      <c r="D360" s="1">
        <f t="shared" ca="1" si="17"/>
        <v>6.040469884449732</v>
      </c>
      <c r="E360" s="1">
        <f ca="1">SUM($B$6:C360)/(2*A360)</f>
        <v>6.4522499852414281</v>
      </c>
      <c r="F360" s="1">
        <f ca="1">SUM($E$6:E360)/A360</f>
        <v>6.4840849722294527</v>
      </c>
    </row>
    <row r="361" spans="1:6" x14ac:dyDescent="0.25">
      <c r="A361" s="1">
        <v>356</v>
      </c>
      <c r="B361" s="1">
        <f t="shared" ca="1" si="15"/>
        <v>3.925532277512743</v>
      </c>
      <c r="C361" s="1">
        <f t="shared" ca="1" si="16"/>
        <v>13.720550665087247</v>
      </c>
      <c r="D361" s="1">
        <f t="shared" ca="1" si="17"/>
        <v>3.925532277512743</v>
      </c>
      <c r="E361" s="1">
        <f ca="1">SUM($B$6:C361)/(2*A361)</f>
        <v>6.4589095118876596</v>
      </c>
      <c r="F361" s="1">
        <f ca="1">SUM($E$6:E361)/A361</f>
        <v>6.4840142546442232</v>
      </c>
    </row>
    <row r="362" spans="1:6" x14ac:dyDescent="0.25">
      <c r="A362" s="1">
        <v>357</v>
      </c>
      <c r="B362" s="1">
        <f t="shared" ca="1" si="15"/>
        <v>9.2706914138283771</v>
      </c>
      <c r="C362" s="1">
        <f t="shared" ca="1" si="16"/>
        <v>13.399128406326824</v>
      </c>
      <c r="D362" s="1">
        <f t="shared" ca="1" si="17"/>
        <v>9.2706914138283771</v>
      </c>
      <c r="E362" s="1">
        <f ca="1">SUM($B$6:C362)/(2*A362)</f>
        <v>6.4725677763083587</v>
      </c>
      <c r="F362" s="1">
        <f ca="1">SUM($E$6:E362)/A362</f>
        <v>6.483982191679698</v>
      </c>
    </row>
    <row r="363" spans="1:6" x14ac:dyDescent="0.25">
      <c r="A363" s="1">
        <v>358</v>
      </c>
      <c r="B363" s="1">
        <f t="shared" ca="1" si="15"/>
        <v>6.9262895848540307</v>
      </c>
      <c r="C363" s="1">
        <f t="shared" ca="1" si="16"/>
        <v>12.215607275383169</v>
      </c>
      <c r="D363" s="1">
        <f t="shared" ca="1" si="17"/>
        <v>6.9262895848540307</v>
      </c>
      <c r="E363" s="1">
        <f ca="1">SUM($B$6:C363)/(2*A363)</f>
        <v>6.4812224708720754</v>
      </c>
      <c r="F363" s="1">
        <f ca="1">SUM($E$6:E363)/A363</f>
        <v>6.483974482962358</v>
      </c>
    </row>
    <row r="364" spans="1:6" x14ac:dyDescent="0.25">
      <c r="A364" s="1">
        <v>359</v>
      </c>
      <c r="B364" s="1">
        <f t="shared" ca="1" si="15"/>
        <v>8.2540364821941488</v>
      </c>
      <c r="C364" s="1">
        <f t="shared" ca="1" si="16"/>
        <v>12.777064852266903</v>
      </c>
      <c r="D364" s="1">
        <f t="shared" ca="1" si="17"/>
        <v>8.2540364821941488</v>
      </c>
      <c r="E364" s="1">
        <f ca="1">SUM($B$6:C364)/(2*A364)</f>
        <v>6.4924601538702893</v>
      </c>
      <c r="F364" s="1">
        <f ca="1">SUM($E$6:E364)/A364</f>
        <v>6.4839981199286747</v>
      </c>
    </row>
    <row r="365" spans="1:6" x14ac:dyDescent="0.25">
      <c r="A365" s="1">
        <v>360</v>
      </c>
      <c r="B365" s="1">
        <f t="shared" ca="1" si="15"/>
        <v>7.3835742123927108</v>
      </c>
      <c r="C365" s="1">
        <f t="shared" ca="1" si="16"/>
        <v>8.0461230405290074</v>
      </c>
      <c r="D365" s="1">
        <f t="shared" ca="1" si="17"/>
        <v>7.3835742123927108</v>
      </c>
      <c r="E365" s="1">
        <f ca="1">SUM($B$6:C365)/(2*A365)</f>
        <v>6.4958556774052632</v>
      </c>
      <c r="F365" s="1">
        <f ca="1">SUM($E$6:E365)/A365</f>
        <v>6.4840310575883322</v>
      </c>
    </row>
    <row r="366" spans="1:6" x14ac:dyDescent="0.25">
      <c r="A366" s="1">
        <v>361</v>
      </c>
      <c r="B366" s="1">
        <f t="shared" ca="1" si="15"/>
        <v>4.1970014994627833</v>
      </c>
      <c r="C366" s="1">
        <f t="shared" ca="1" si="16"/>
        <v>3.0112871652460287</v>
      </c>
      <c r="D366" s="1">
        <f t="shared" ca="1" si="17"/>
        <v>3.0112871652460287</v>
      </c>
      <c r="E366" s="1">
        <f ca="1">SUM($B$6:C366)/(2*A366)</f>
        <v>6.4878453966710508</v>
      </c>
      <c r="F366" s="1">
        <f ca="1">SUM($E$6:E366)/A366</f>
        <v>6.4840416236245728</v>
      </c>
    </row>
    <row r="367" spans="1:6" x14ac:dyDescent="0.25">
      <c r="A367" s="1">
        <v>362</v>
      </c>
      <c r="B367" s="1">
        <f t="shared" ca="1" si="15"/>
        <v>4.9460470579331295</v>
      </c>
      <c r="C367" s="1">
        <f t="shared" ca="1" si="16"/>
        <v>12.9074844385311</v>
      </c>
      <c r="D367" s="1">
        <f t="shared" ca="1" si="17"/>
        <v>4.9460470579331295</v>
      </c>
      <c r="E367" s="1">
        <f ca="1">SUM($B$6:C367)/(2*A367)</f>
        <v>6.494582745708513</v>
      </c>
      <c r="F367" s="1">
        <f ca="1">SUM($E$6:E367)/A367</f>
        <v>6.4840707427463524</v>
      </c>
    </row>
    <row r="368" spans="1:6" x14ac:dyDescent="0.25">
      <c r="A368" s="1">
        <v>363</v>
      </c>
      <c r="B368" s="1">
        <f t="shared" ca="1" si="15"/>
        <v>1.0585458540723003</v>
      </c>
      <c r="C368" s="1">
        <f t="shared" ca="1" si="16"/>
        <v>14.765053889596011</v>
      </c>
      <c r="D368" s="1">
        <f t="shared" ca="1" si="17"/>
        <v>1.0585458540723003</v>
      </c>
      <c r="E368" s="1">
        <f ca="1">SUM($B$6:C368)/(2*A368)</f>
        <v>6.4984869251193285</v>
      </c>
      <c r="F368" s="1">
        <f ca="1">SUM($E$6:E368)/A368</f>
        <v>6.4841104567473797</v>
      </c>
    </row>
    <row r="369" spans="1:6" x14ac:dyDescent="0.25">
      <c r="A369" s="1">
        <v>364</v>
      </c>
      <c r="B369" s="1">
        <f t="shared" ca="1" si="15"/>
        <v>4.91424321812271</v>
      </c>
      <c r="C369" s="1">
        <f t="shared" ca="1" si="16"/>
        <v>2.433879471612781</v>
      </c>
      <c r="D369" s="1">
        <f t="shared" ca="1" si="17"/>
        <v>2.433879471612781</v>
      </c>
      <c r="E369" s="1">
        <f ca="1">SUM($B$6:C369)/(2*A369)</f>
        <v>6.4907275141845711</v>
      </c>
      <c r="F369" s="1">
        <f ca="1">SUM($E$6:E369)/A369</f>
        <v>6.4841286354766021</v>
      </c>
    </row>
    <row r="370" spans="1:6" x14ac:dyDescent="0.25">
      <c r="A370" s="1">
        <v>365</v>
      </c>
      <c r="B370" s="1">
        <f t="shared" ca="1" si="15"/>
        <v>0.68819786388820692</v>
      </c>
      <c r="C370" s="1">
        <f t="shared" ca="1" si="16"/>
        <v>4.3806228702628243</v>
      </c>
      <c r="D370" s="1">
        <f t="shared" ca="1" si="17"/>
        <v>0.68819786388820692</v>
      </c>
      <c r="E370" s="1">
        <f ca="1">SUM($B$6:C370)/(2*A370)</f>
        <v>6.4798882891239984</v>
      </c>
      <c r="F370" s="1">
        <f ca="1">SUM($E$6:E370)/A370</f>
        <v>6.4841170180893357</v>
      </c>
    </row>
  </sheetData>
  <mergeCells count="2">
    <mergeCell ref="A1:A2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CE9FF-1A6F-4C67-A836-5596C355CC39}">
  <dimension ref="A1"/>
  <sheetViews>
    <sheetView workbookViewId="0">
      <selection activeCell="F35" sqref="F3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74CDF-B7C0-490F-95B4-6BDEA7F609EE}">
  <dimension ref="A1:I29"/>
  <sheetViews>
    <sheetView workbookViewId="0">
      <selection activeCell="I17" sqref="I17"/>
    </sheetView>
  </sheetViews>
  <sheetFormatPr defaultRowHeight="15" x14ac:dyDescent="0.25"/>
  <cols>
    <col min="1" max="1" width="19.140625" bestFit="1" customWidth="1"/>
    <col min="2" max="2" width="11.5703125" bestFit="1" customWidth="1"/>
    <col min="3" max="3" width="9.5703125" bestFit="1" customWidth="1"/>
    <col min="4" max="4" width="10.5703125" bestFit="1" customWidth="1"/>
    <col min="7" max="7" width="9.5703125" bestFit="1" customWidth="1"/>
    <col min="8" max="8" width="34.42578125" bestFit="1" customWidth="1"/>
    <col min="9" max="9" width="10" bestFit="1" customWidth="1"/>
  </cols>
  <sheetData>
    <row r="1" spans="1:9" x14ac:dyDescent="0.25">
      <c r="A1" s="6" t="s">
        <v>13</v>
      </c>
      <c r="B1" s="6"/>
      <c r="C1" s="6"/>
      <c r="D1" s="6"/>
    </row>
    <row r="3" spans="1:9" x14ac:dyDescent="0.25">
      <c r="A3" s="7" t="s">
        <v>14</v>
      </c>
    </row>
    <row r="4" spans="1:9" x14ac:dyDescent="0.25">
      <c r="A4" s="1" t="s">
        <v>15</v>
      </c>
      <c r="B4" s="1">
        <v>10</v>
      </c>
      <c r="C4" s="1" t="s">
        <v>18</v>
      </c>
      <c r="D4" s="1">
        <v>10</v>
      </c>
    </row>
    <row r="5" spans="1:9" x14ac:dyDescent="0.25">
      <c r="A5" s="7" t="s">
        <v>16</v>
      </c>
      <c r="F5" s="6" t="s">
        <v>26</v>
      </c>
      <c r="G5" s="6"/>
      <c r="H5" s="6"/>
      <c r="I5" s="6"/>
    </row>
    <row r="6" spans="1:9" x14ac:dyDescent="0.25">
      <c r="A6" s="1" t="s">
        <v>17</v>
      </c>
      <c r="B6" s="1" t="s">
        <v>19</v>
      </c>
      <c r="C6" s="1" t="s">
        <v>20</v>
      </c>
      <c r="D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</row>
    <row r="7" spans="1:9" x14ac:dyDescent="0.25">
      <c r="A7" s="1">
        <f ca="1">IF(RAND()&lt;0.5,1,0)</f>
        <v>0</v>
      </c>
      <c r="B7" s="1">
        <f ca="1">IF(A7=1, $B$4+$D$4,$B$4-$D$4)</f>
        <v>0</v>
      </c>
      <c r="C7" s="1" t="str">
        <f ca="1">IF(B7&lt;2*$B$4,"-","банк")</f>
        <v>-</v>
      </c>
      <c r="D7" s="1" t="str">
        <f ca="1">IF(B7&gt;0, "-","банкрот")</f>
        <v>банкрот</v>
      </c>
      <c r="F7" s="1">
        <v>1</v>
      </c>
      <c r="G7" s="1">
        <v>1</v>
      </c>
      <c r="H7" s="1">
        <v>14</v>
      </c>
      <c r="I7" s="1" t="s">
        <v>28</v>
      </c>
    </row>
    <row r="8" spans="1:9" x14ac:dyDescent="0.25">
      <c r="A8" s="1">
        <f t="shared" ref="A8:A29" ca="1" si="0">IF(RAND()&lt;0.5,1,0)</f>
        <v>0</v>
      </c>
      <c r="B8" s="1">
        <f ca="1">IF(A8=1, B7+$D$4,B7-$D$4)</f>
        <v>-10</v>
      </c>
      <c r="C8" s="1" t="str">
        <f t="shared" ref="C8:C29" ca="1" si="1">IF(B8&lt;2*$B$4,"-","банк")</f>
        <v>-</v>
      </c>
      <c r="D8" s="1" t="str">
        <f t="shared" ref="D8:D15" ca="1" si="2">IF(B8&gt;0, "-","банкрот")</f>
        <v>банкрот</v>
      </c>
      <c r="F8" s="1">
        <v>2</v>
      </c>
      <c r="G8" s="1">
        <v>2</v>
      </c>
      <c r="H8" s="1">
        <v>11</v>
      </c>
      <c r="I8" s="1" t="s">
        <v>27</v>
      </c>
    </row>
    <row r="9" spans="1:9" x14ac:dyDescent="0.25">
      <c r="A9" s="1">
        <f t="shared" ca="1" si="0"/>
        <v>1</v>
      </c>
      <c r="B9" s="1">
        <f t="shared" ref="B9:B29" ca="1" si="3">IF(A9=1, B8+$D$4,B8-$D$4)</f>
        <v>0</v>
      </c>
      <c r="C9" s="1" t="str">
        <f t="shared" ca="1" si="1"/>
        <v>-</v>
      </c>
      <c r="D9" s="1" t="str">
        <f t="shared" ref="D9:D29" ca="1" si="4">IF(B9&gt;0, "-","банкрот")</f>
        <v>банкрот</v>
      </c>
      <c r="F9" s="1">
        <v>3</v>
      </c>
      <c r="G9" s="1">
        <v>3</v>
      </c>
      <c r="H9" s="1">
        <v>8</v>
      </c>
      <c r="I9" s="1" t="s">
        <v>27</v>
      </c>
    </row>
    <row r="10" spans="1:9" x14ac:dyDescent="0.25">
      <c r="A10" s="1">
        <f t="shared" ca="1" si="0"/>
        <v>1</v>
      </c>
      <c r="B10" s="1">
        <f t="shared" ca="1" si="3"/>
        <v>10</v>
      </c>
      <c r="C10" s="1" t="str">
        <f t="shared" ca="1" si="1"/>
        <v>-</v>
      </c>
      <c r="D10" s="1" t="str">
        <f t="shared" ca="1" si="4"/>
        <v>-</v>
      </c>
      <c r="F10" s="1">
        <v>4</v>
      </c>
      <c r="G10" s="1">
        <v>4</v>
      </c>
      <c r="H10" s="1">
        <v>13</v>
      </c>
      <c r="I10" s="1" t="s">
        <v>28</v>
      </c>
    </row>
    <row r="11" spans="1:9" x14ac:dyDescent="0.25">
      <c r="A11" s="1">
        <f t="shared" ca="1" si="0"/>
        <v>0</v>
      </c>
      <c r="B11" s="1">
        <f t="shared" ca="1" si="3"/>
        <v>0</v>
      </c>
      <c r="C11" s="1" t="str">
        <f t="shared" ca="1" si="1"/>
        <v>-</v>
      </c>
      <c r="D11" s="1" t="str">
        <f t="shared" ca="1" si="4"/>
        <v>банкрот</v>
      </c>
      <c r="F11" s="1">
        <v>5</v>
      </c>
      <c r="G11" s="1">
        <v>5</v>
      </c>
      <c r="H11" s="1">
        <v>8</v>
      </c>
      <c r="I11" s="1" t="s">
        <v>28</v>
      </c>
    </row>
    <row r="12" spans="1:9" x14ac:dyDescent="0.25">
      <c r="A12" s="1">
        <f t="shared" ca="1" si="0"/>
        <v>1</v>
      </c>
      <c r="B12" s="1">
        <f t="shared" ca="1" si="3"/>
        <v>10</v>
      </c>
      <c r="C12" s="1" t="str">
        <f t="shared" ca="1" si="1"/>
        <v>-</v>
      </c>
      <c r="D12" s="1" t="str">
        <f t="shared" ca="1" si="4"/>
        <v>-</v>
      </c>
      <c r="F12" s="1">
        <v>6</v>
      </c>
      <c r="G12" s="1">
        <v>6</v>
      </c>
      <c r="H12" s="1">
        <v>2</v>
      </c>
      <c r="I12" s="1" t="s">
        <v>27</v>
      </c>
    </row>
    <row r="13" spans="1:9" x14ac:dyDescent="0.25">
      <c r="A13" s="1">
        <f t="shared" ca="1" si="0"/>
        <v>0</v>
      </c>
      <c r="B13" s="1">
        <f t="shared" ca="1" si="3"/>
        <v>0</v>
      </c>
      <c r="C13" s="1" t="str">
        <f t="shared" ca="1" si="1"/>
        <v>-</v>
      </c>
      <c r="D13" s="1" t="str">
        <f t="shared" ca="1" si="4"/>
        <v>банкрот</v>
      </c>
      <c r="F13" s="1">
        <v>7</v>
      </c>
      <c r="G13" s="1">
        <v>7</v>
      </c>
      <c r="H13" s="1">
        <v>14</v>
      </c>
      <c r="I13" s="1" t="s">
        <v>28</v>
      </c>
    </row>
    <row r="14" spans="1:9" x14ac:dyDescent="0.25">
      <c r="A14" s="1">
        <f t="shared" ca="1" si="0"/>
        <v>1</v>
      </c>
      <c r="B14" s="1">
        <f t="shared" ca="1" si="3"/>
        <v>10</v>
      </c>
      <c r="C14" s="1" t="str">
        <f t="shared" ca="1" si="1"/>
        <v>-</v>
      </c>
      <c r="D14" s="1" t="str">
        <f t="shared" ca="1" si="4"/>
        <v>-</v>
      </c>
      <c r="F14" s="1">
        <v>8</v>
      </c>
      <c r="G14" s="1">
        <v>8</v>
      </c>
      <c r="H14" s="1">
        <v>2</v>
      </c>
      <c r="I14" s="1" t="s">
        <v>27</v>
      </c>
    </row>
    <row r="15" spans="1:9" x14ac:dyDescent="0.25">
      <c r="A15" s="1">
        <f t="shared" ca="1" si="0"/>
        <v>1</v>
      </c>
      <c r="B15" s="1">
        <f t="shared" ca="1" si="3"/>
        <v>20</v>
      </c>
      <c r="C15" s="1" t="str">
        <f t="shared" ca="1" si="1"/>
        <v>банк</v>
      </c>
      <c r="D15" s="1" t="str">
        <f t="shared" ca="1" si="4"/>
        <v>-</v>
      </c>
      <c r="F15" s="1">
        <v>9</v>
      </c>
      <c r="G15" s="1">
        <v>9</v>
      </c>
      <c r="H15" s="1">
        <v>6</v>
      </c>
      <c r="I15" s="1" t="s">
        <v>27</v>
      </c>
    </row>
    <row r="16" spans="1:9" x14ac:dyDescent="0.25">
      <c r="A16" s="1">
        <f t="shared" ca="1" si="0"/>
        <v>1</v>
      </c>
      <c r="B16" s="1">
        <f t="shared" ca="1" si="3"/>
        <v>30</v>
      </c>
      <c r="C16" s="1" t="str">
        <f t="shared" ca="1" si="1"/>
        <v>банк</v>
      </c>
      <c r="D16" s="1" t="str">
        <f t="shared" ca="1" si="4"/>
        <v>-</v>
      </c>
      <c r="F16" s="1">
        <v>10</v>
      </c>
      <c r="G16" s="1">
        <v>10</v>
      </c>
      <c r="H16" s="1">
        <v>1</v>
      </c>
      <c r="I16" s="1" t="s">
        <v>27</v>
      </c>
    </row>
    <row r="17" spans="1:4" x14ac:dyDescent="0.25">
      <c r="A17" s="1">
        <f t="shared" ca="1" si="0"/>
        <v>1</v>
      </c>
      <c r="B17" s="1">
        <f t="shared" ca="1" si="3"/>
        <v>40</v>
      </c>
      <c r="C17" s="1" t="str">
        <f t="shared" ca="1" si="1"/>
        <v>банк</v>
      </c>
      <c r="D17" s="1" t="str">
        <f t="shared" ca="1" si="4"/>
        <v>-</v>
      </c>
    </row>
    <row r="18" spans="1:4" x14ac:dyDescent="0.25">
      <c r="A18" s="1">
        <f t="shared" ca="1" si="0"/>
        <v>0</v>
      </c>
      <c r="B18" s="1">
        <f t="shared" ca="1" si="3"/>
        <v>30</v>
      </c>
      <c r="C18" s="1" t="str">
        <f t="shared" ca="1" si="1"/>
        <v>банк</v>
      </c>
      <c r="D18" s="1" t="str">
        <f t="shared" ca="1" si="4"/>
        <v>-</v>
      </c>
    </row>
    <row r="19" spans="1:4" x14ac:dyDescent="0.25">
      <c r="A19" s="1">
        <f t="shared" ca="1" si="0"/>
        <v>0</v>
      </c>
      <c r="B19" s="1">
        <f t="shared" ca="1" si="3"/>
        <v>20</v>
      </c>
      <c r="C19" s="1" t="str">
        <f t="shared" ca="1" si="1"/>
        <v>банк</v>
      </c>
      <c r="D19" s="1" t="str">
        <f t="shared" ca="1" si="4"/>
        <v>-</v>
      </c>
    </row>
    <row r="20" spans="1:4" x14ac:dyDescent="0.25">
      <c r="A20" s="1">
        <f t="shared" ca="1" si="0"/>
        <v>1</v>
      </c>
      <c r="B20" s="1">
        <f t="shared" ca="1" si="3"/>
        <v>30</v>
      </c>
      <c r="C20" s="1" t="str">
        <f t="shared" ca="1" si="1"/>
        <v>банк</v>
      </c>
      <c r="D20" s="1" t="str">
        <f t="shared" ca="1" si="4"/>
        <v>-</v>
      </c>
    </row>
    <row r="21" spans="1:4" x14ac:dyDescent="0.25">
      <c r="A21" s="1">
        <f t="shared" ca="1" si="0"/>
        <v>1</v>
      </c>
      <c r="B21" s="1">
        <f t="shared" ca="1" si="3"/>
        <v>40</v>
      </c>
      <c r="C21" s="1" t="str">
        <f t="shared" ca="1" si="1"/>
        <v>банк</v>
      </c>
      <c r="D21" s="1" t="str">
        <f t="shared" ca="1" si="4"/>
        <v>-</v>
      </c>
    </row>
    <row r="22" spans="1:4" x14ac:dyDescent="0.25">
      <c r="A22" s="1">
        <f t="shared" ca="1" si="0"/>
        <v>1</v>
      </c>
      <c r="B22" s="1">
        <f t="shared" ca="1" si="3"/>
        <v>50</v>
      </c>
      <c r="C22" s="1" t="str">
        <f t="shared" ca="1" si="1"/>
        <v>банк</v>
      </c>
      <c r="D22" s="1" t="str">
        <f t="shared" ca="1" si="4"/>
        <v>-</v>
      </c>
    </row>
    <row r="23" spans="1:4" x14ac:dyDescent="0.25">
      <c r="A23" s="1">
        <f t="shared" ca="1" si="0"/>
        <v>0</v>
      </c>
      <c r="B23" s="1">
        <f t="shared" ca="1" si="3"/>
        <v>40</v>
      </c>
      <c r="C23" s="1" t="str">
        <f t="shared" ca="1" si="1"/>
        <v>банк</v>
      </c>
      <c r="D23" s="1" t="str">
        <f t="shared" ca="1" si="4"/>
        <v>-</v>
      </c>
    </row>
    <row r="24" spans="1:4" x14ac:dyDescent="0.25">
      <c r="A24" s="1">
        <f t="shared" ca="1" si="0"/>
        <v>0</v>
      </c>
      <c r="B24" s="1">
        <f t="shared" ca="1" si="3"/>
        <v>30</v>
      </c>
      <c r="C24" s="1" t="str">
        <f t="shared" ca="1" si="1"/>
        <v>банк</v>
      </c>
      <c r="D24" s="1" t="str">
        <f t="shared" ca="1" si="4"/>
        <v>-</v>
      </c>
    </row>
    <row r="25" spans="1:4" x14ac:dyDescent="0.25">
      <c r="A25" s="1">
        <f t="shared" ca="1" si="0"/>
        <v>0</v>
      </c>
      <c r="B25" s="1">
        <f t="shared" ca="1" si="3"/>
        <v>20</v>
      </c>
      <c r="C25" s="1" t="str">
        <f t="shared" ca="1" si="1"/>
        <v>банк</v>
      </c>
      <c r="D25" s="1" t="str">
        <f t="shared" ca="1" si="4"/>
        <v>-</v>
      </c>
    </row>
    <row r="26" spans="1:4" x14ac:dyDescent="0.25">
      <c r="A26" s="1">
        <f t="shared" ca="1" si="0"/>
        <v>0</v>
      </c>
      <c r="B26" s="1">
        <f t="shared" ca="1" si="3"/>
        <v>10</v>
      </c>
      <c r="C26" s="1" t="str">
        <f t="shared" ca="1" si="1"/>
        <v>-</v>
      </c>
      <c r="D26" s="1" t="str">
        <f t="shared" ca="1" si="4"/>
        <v>-</v>
      </c>
    </row>
    <row r="27" spans="1:4" x14ac:dyDescent="0.25">
      <c r="A27" s="1">
        <f t="shared" ca="1" si="0"/>
        <v>1</v>
      </c>
      <c r="B27" s="1">
        <f t="shared" ca="1" si="3"/>
        <v>20</v>
      </c>
      <c r="C27" s="1" t="str">
        <f t="shared" ca="1" si="1"/>
        <v>банк</v>
      </c>
      <c r="D27" s="1" t="str">
        <f t="shared" ca="1" si="4"/>
        <v>-</v>
      </c>
    </row>
    <row r="28" spans="1:4" x14ac:dyDescent="0.25">
      <c r="A28" s="1">
        <f t="shared" ca="1" si="0"/>
        <v>1</v>
      </c>
      <c r="B28" s="1">
        <f t="shared" ca="1" si="3"/>
        <v>30</v>
      </c>
      <c r="C28" s="1" t="str">
        <f t="shared" ca="1" si="1"/>
        <v>банк</v>
      </c>
      <c r="D28" s="1" t="str">
        <f t="shared" ca="1" si="4"/>
        <v>-</v>
      </c>
    </row>
    <row r="29" spans="1:4" x14ac:dyDescent="0.25">
      <c r="A29" s="1">
        <f t="shared" ca="1" si="0"/>
        <v>0</v>
      </c>
      <c r="B29" s="1">
        <f t="shared" ca="1" si="3"/>
        <v>20</v>
      </c>
      <c r="C29" s="1" t="str">
        <f t="shared" ca="1" si="1"/>
        <v>банк</v>
      </c>
      <c r="D29" s="1" t="str">
        <f t="shared" ca="1" si="4"/>
        <v>-</v>
      </c>
    </row>
  </sheetData>
  <mergeCells count="2">
    <mergeCell ref="A1:D1"/>
    <mergeCell ref="F5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7A3B-EECB-4044-AFAA-C1AE6F5A9B93}">
  <dimension ref="A1:G25"/>
  <sheetViews>
    <sheetView tabSelected="1" workbookViewId="0">
      <selection activeCell="D29" sqref="D29"/>
    </sheetView>
  </sheetViews>
  <sheetFormatPr defaultRowHeight="15" x14ac:dyDescent="0.25"/>
  <cols>
    <col min="1" max="1" width="18.5703125" customWidth="1"/>
    <col min="2" max="2" width="17.7109375" customWidth="1"/>
    <col min="3" max="3" width="18.5703125" customWidth="1"/>
    <col min="4" max="4" width="19.28515625" customWidth="1"/>
    <col min="5" max="5" width="10" bestFit="1" customWidth="1"/>
    <col min="7" max="7" width="11.42578125" bestFit="1" customWidth="1"/>
  </cols>
  <sheetData>
    <row r="1" spans="1:7" x14ac:dyDescent="0.25">
      <c r="A1" s="6" t="s">
        <v>31</v>
      </c>
      <c r="B1" s="6"/>
      <c r="C1" s="6"/>
      <c r="D1" s="6"/>
      <c r="E1" s="6"/>
    </row>
    <row r="3" spans="1:7" ht="47.25" customHeight="1" x14ac:dyDescent="0.25">
      <c r="A3" s="2" t="s">
        <v>32</v>
      </c>
      <c r="B3" s="2" t="s">
        <v>34</v>
      </c>
      <c r="C3" s="2" t="s">
        <v>35</v>
      </c>
      <c r="D3" s="2" t="s">
        <v>33</v>
      </c>
      <c r="E3" s="2" t="s">
        <v>29</v>
      </c>
      <c r="F3" s="2" t="s">
        <v>30</v>
      </c>
      <c r="G3" s="2" t="s">
        <v>25</v>
      </c>
    </row>
    <row r="4" spans="1:7" x14ac:dyDescent="0.25">
      <c r="A4" s="1">
        <f ca="1">INT(1+6*RAND())</f>
        <v>5</v>
      </c>
      <c r="B4" s="1">
        <f ca="1">INT(1+6*RAND())</f>
        <v>4</v>
      </c>
      <c r="C4" s="1">
        <f ca="1">INT(1+6*RAND())</f>
        <v>2</v>
      </c>
      <c r="D4" s="1">
        <f ca="1">INT(1+6*RAND())</f>
        <v>1</v>
      </c>
      <c r="E4" s="1">
        <f ca="1">SUM(A4:B4)</f>
        <v>9</v>
      </c>
      <c r="F4" s="1">
        <f ca="1">SUM(C4:D4)</f>
        <v>3</v>
      </c>
      <c r="G4" s="1" t="str">
        <f ca="1">IF(OR(E4&gt;101, F4&gt;101), "конец игры", "-")</f>
        <v>-</v>
      </c>
    </row>
    <row r="5" spans="1:7" x14ac:dyDescent="0.25">
      <c r="A5" s="1">
        <f ca="1">INT(1+6*RAND())</f>
        <v>3</v>
      </c>
      <c r="B5" s="1">
        <f t="shared" ref="A5:D22" ca="1" si="0">INT(1+6*RAND())</f>
        <v>5</v>
      </c>
      <c r="C5" s="1">
        <f t="shared" ca="1" si="0"/>
        <v>1</v>
      </c>
      <c r="D5" s="1">
        <f t="shared" ca="1" si="0"/>
        <v>5</v>
      </c>
      <c r="E5" s="1">
        <f ca="1">SUM(A5:B5)+E4</f>
        <v>17</v>
      </c>
      <c r="F5" s="1">
        <f ca="1">SUM(C5:D5)+F4</f>
        <v>9</v>
      </c>
      <c r="G5" s="1" t="str">
        <f ca="1">IF(OR(E5&gt;101, F5&gt;101), "конец игры", "-")</f>
        <v>-</v>
      </c>
    </row>
    <row r="6" spans="1:7" x14ac:dyDescent="0.25">
      <c r="A6" s="1">
        <f ca="1">INT(1+6*RAND())</f>
        <v>6</v>
      </c>
      <c r="B6" s="1">
        <f t="shared" ca="1" si="0"/>
        <v>2</v>
      </c>
      <c r="C6" s="1">
        <f t="shared" ca="1" si="0"/>
        <v>1</v>
      </c>
      <c r="D6" s="1">
        <f t="shared" ca="1" si="0"/>
        <v>2</v>
      </c>
      <c r="E6" s="1">
        <f t="shared" ref="E6:E13" ca="1" si="1">SUM(A6:B6)+E5</f>
        <v>25</v>
      </c>
      <c r="F6" s="1">
        <f t="shared" ref="F6:F13" ca="1" si="2">SUM(C6:D6)+F5</f>
        <v>12</v>
      </c>
      <c r="G6" s="1" t="str">
        <f ca="1">IF(OR(E6&gt;101, F6&gt;101), "конец игры", "-")</f>
        <v>-</v>
      </c>
    </row>
    <row r="7" spans="1:7" x14ac:dyDescent="0.25">
      <c r="A7" s="1">
        <f ca="1">INT(1+6*RAND())</f>
        <v>6</v>
      </c>
      <c r="B7" s="1">
        <f t="shared" ca="1" si="0"/>
        <v>5</v>
      </c>
      <c r="C7" s="1">
        <f t="shared" ca="1" si="0"/>
        <v>2</v>
      </c>
      <c r="D7" s="1">
        <f t="shared" ca="1" si="0"/>
        <v>2</v>
      </c>
      <c r="E7" s="1">
        <f t="shared" ca="1" si="1"/>
        <v>36</v>
      </c>
      <c r="F7" s="1">
        <f t="shared" ca="1" si="2"/>
        <v>16</v>
      </c>
      <c r="G7" s="1" t="str">
        <f ca="1">IF(OR(E7&gt;101, F7&gt;101), "конец игры", "-")</f>
        <v>-</v>
      </c>
    </row>
    <row r="8" spans="1:7" x14ac:dyDescent="0.25">
      <c r="A8" s="1">
        <f ca="1">INT(1+6*RAND())</f>
        <v>6</v>
      </c>
      <c r="B8" s="1">
        <f t="shared" ca="1" si="0"/>
        <v>6</v>
      </c>
      <c r="C8" s="1">
        <f t="shared" ca="1" si="0"/>
        <v>5</v>
      </c>
      <c r="D8" s="1">
        <f t="shared" ca="1" si="0"/>
        <v>4</v>
      </c>
      <c r="E8" s="1">
        <f t="shared" ca="1" si="1"/>
        <v>48</v>
      </c>
      <c r="F8" s="1">
        <f t="shared" ca="1" si="2"/>
        <v>25</v>
      </c>
      <c r="G8" s="1" t="str">
        <f ca="1">IF(OR(E8&gt;101, F8&gt;101), "конец игры", "-")</f>
        <v>-</v>
      </c>
    </row>
    <row r="9" spans="1:7" x14ac:dyDescent="0.25">
      <c r="A9" s="1">
        <f ca="1">INT(1+6*RAND())</f>
        <v>6</v>
      </c>
      <c r="B9" s="1">
        <f t="shared" ca="1" si="0"/>
        <v>1</v>
      </c>
      <c r="C9" s="1">
        <f t="shared" ca="1" si="0"/>
        <v>3</v>
      </c>
      <c r="D9" s="1">
        <f t="shared" ca="1" si="0"/>
        <v>1</v>
      </c>
      <c r="E9" s="1">
        <f t="shared" ca="1" si="1"/>
        <v>55</v>
      </c>
      <c r="F9" s="1">
        <f t="shared" ca="1" si="2"/>
        <v>29</v>
      </c>
      <c r="G9" s="1" t="str">
        <f ca="1">IF(OR(E9&gt;101, F9&gt;101), "конец игры", "-")</f>
        <v>-</v>
      </c>
    </row>
    <row r="10" spans="1:7" x14ac:dyDescent="0.25">
      <c r="A10" s="1">
        <f ca="1">INT(1+6*RAND())</f>
        <v>5</v>
      </c>
      <c r="B10" s="1">
        <f t="shared" ca="1" si="0"/>
        <v>4</v>
      </c>
      <c r="C10" s="1">
        <f t="shared" ca="1" si="0"/>
        <v>5</v>
      </c>
      <c r="D10" s="1">
        <f t="shared" ca="1" si="0"/>
        <v>3</v>
      </c>
      <c r="E10" s="1">
        <f t="shared" ca="1" si="1"/>
        <v>64</v>
      </c>
      <c r="F10" s="1">
        <f t="shared" ca="1" si="2"/>
        <v>37</v>
      </c>
      <c r="G10" s="1" t="str">
        <f ca="1">IF(OR(E10&gt;101, F10&gt;101), "конец игры", "-")</f>
        <v>-</v>
      </c>
    </row>
    <row r="11" spans="1:7" x14ac:dyDescent="0.25">
      <c r="A11" s="1">
        <f ca="1">INT(1+6*RAND())</f>
        <v>4</v>
      </c>
      <c r="B11" s="1">
        <f t="shared" ca="1" si="0"/>
        <v>6</v>
      </c>
      <c r="C11" s="1">
        <f t="shared" ca="1" si="0"/>
        <v>6</v>
      </c>
      <c r="D11" s="1">
        <f t="shared" ca="1" si="0"/>
        <v>4</v>
      </c>
      <c r="E11" s="1">
        <f t="shared" ca="1" si="1"/>
        <v>74</v>
      </c>
      <c r="F11" s="1">
        <f t="shared" ca="1" si="2"/>
        <v>47</v>
      </c>
      <c r="G11" s="1" t="str">
        <f ca="1">IF(OR(E11&gt;101, F11&gt;101), "конец игры", "-")</f>
        <v>-</v>
      </c>
    </row>
    <row r="12" spans="1:7" x14ac:dyDescent="0.25">
      <c r="A12" s="1">
        <f ca="1">INT(1+6*RAND())</f>
        <v>4</v>
      </c>
      <c r="B12" s="1">
        <f t="shared" ca="1" si="0"/>
        <v>5</v>
      </c>
      <c r="C12" s="1">
        <f t="shared" ca="1" si="0"/>
        <v>5</v>
      </c>
      <c r="D12" s="1">
        <f t="shared" ca="1" si="0"/>
        <v>4</v>
      </c>
      <c r="E12" s="1">
        <f t="shared" ca="1" si="1"/>
        <v>83</v>
      </c>
      <c r="F12" s="1">
        <f t="shared" ca="1" si="2"/>
        <v>56</v>
      </c>
      <c r="G12" s="1" t="str">
        <f ca="1">IF(OR(E12&gt;101, F12&gt;101), "конец игры", "-")</f>
        <v>-</v>
      </c>
    </row>
    <row r="13" spans="1:7" x14ac:dyDescent="0.25">
      <c r="A13" s="1">
        <f ca="1">INT(1+6*RAND())</f>
        <v>1</v>
      </c>
      <c r="B13" s="1">
        <f t="shared" ca="1" si="0"/>
        <v>1</v>
      </c>
      <c r="C13" s="1">
        <f t="shared" ca="1" si="0"/>
        <v>3</v>
      </c>
      <c r="D13" s="1">
        <f t="shared" ca="1" si="0"/>
        <v>4</v>
      </c>
      <c r="E13" s="1">
        <f t="shared" ca="1" si="1"/>
        <v>85</v>
      </c>
      <c r="F13" s="1">
        <f t="shared" ca="1" si="2"/>
        <v>63</v>
      </c>
      <c r="G13" s="1" t="str">
        <f t="shared" ref="G13:G25" ca="1" si="3">IF(OR(E13&gt;101, F13&gt;101), "конец игры", "-")</f>
        <v>-</v>
      </c>
    </row>
    <row r="14" spans="1:7" x14ac:dyDescent="0.25">
      <c r="A14" s="1">
        <f ca="1">INT(1+6*RAND())</f>
        <v>6</v>
      </c>
      <c r="B14" s="1">
        <f t="shared" ca="1" si="0"/>
        <v>1</v>
      </c>
      <c r="C14" s="1">
        <f t="shared" ca="1" si="0"/>
        <v>5</v>
      </c>
      <c r="D14" s="1">
        <f t="shared" ca="1" si="0"/>
        <v>2</v>
      </c>
      <c r="E14" s="1">
        <f t="shared" ref="E14:E25" ca="1" si="4">SUM(A14:B14)+E13</f>
        <v>92</v>
      </c>
      <c r="F14" s="1">
        <f t="shared" ref="F14:F25" ca="1" si="5">SUM(C14:D14)+F13</f>
        <v>70</v>
      </c>
      <c r="G14" s="1" t="str">
        <f t="shared" ca="1" si="3"/>
        <v>-</v>
      </c>
    </row>
    <row r="15" spans="1:7" x14ac:dyDescent="0.25">
      <c r="A15" s="1">
        <f ca="1">INT(1+6*RAND())</f>
        <v>5</v>
      </c>
      <c r="B15" s="1">
        <f t="shared" ca="1" si="0"/>
        <v>1</v>
      </c>
      <c r="C15" s="1">
        <f t="shared" ca="1" si="0"/>
        <v>6</v>
      </c>
      <c r="D15" s="1">
        <f t="shared" ca="1" si="0"/>
        <v>3</v>
      </c>
      <c r="E15" s="1">
        <f t="shared" ca="1" si="4"/>
        <v>98</v>
      </c>
      <c r="F15" s="1">
        <f t="shared" ca="1" si="5"/>
        <v>79</v>
      </c>
      <c r="G15" s="1" t="str">
        <f t="shared" ca="1" si="3"/>
        <v>-</v>
      </c>
    </row>
    <row r="16" spans="1:7" x14ac:dyDescent="0.25">
      <c r="A16" s="1">
        <f t="shared" ca="1" si="0"/>
        <v>2</v>
      </c>
      <c r="B16" s="1">
        <f t="shared" ca="1" si="0"/>
        <v>5</v>
      </c>
      <c r="C16" s="1">
        <f t="shared" ca="1" si="0"/>
        <v>5</v>
      </c>
      <c r="D16" s="1">
        <f t="shared" ca="1" si="0"/>
        <v>2</v>
      </c>
      <c r="E16" s="1">
        <f t="shared" ca="1" si="4"/>
        <v>105</v>
      </c>
      <c r="F16" s="1">
        <f t="shared" ca="1" si="5"/>
        <v>86</v>
      </c>
      <c r="G16" s="1" t="str">
        <f t="shared" ca="1" si="3"/>
        <v>конец игры</v>
      </c>
    </row>
    <row r="17" spans="1:7" x14ac:dyDescent="0.25">
      <c r="A17" s="1">
        <f ca="1">INT(1+6*RAND())</f>
        <v>4</v>
      </c>
      <c r="B17" s="1">
        <f t="shared" ca="1" si="0"/>
        <v>1</v>
      </c>
      <c r="C17" s="1">
        <f t="shared" ca="1" si="0"/>
        <v>5</v>
      </c>
      <c r="D17" s="1">
        <f t="shared" ca="1" si="0"/>
        <v>6</v>
      </c>
      <c r="E17" s="1">
        <f t="shared" ca="1" si="4"/>
        <v>110</v>
      </c>
      <c r="F17" s="1">
        <f t="shared" ca="1" si="5"/>
        <v>97</v>
      </c>
      <c r="G17" s="1" t="str">
        <f t="shared" ca="1" si="3"/>
        <v>конец игры</v>
      </c>
    </row>
    <row r="18" spans="1:7" x14ac:dyDescent="0.25">
      <c r="A18" s="1">
        <f ca="1">INT(1+6*RAND())</f>
        <v>2</v>
      </c>
      <c r="B18" s="1">
        <f t="shared" ca="1" si="0"/>
        <v>2</v>
      </c>
      <c r="C18" s="1">
        <f t="shared" ca="1" si="0"/>
        <v>1</v>
      </c>
      <c r="D18" s="1">
        <f t="shared" ca="1" si="0"/>
        <v>2</v>
      </c>
      <c r="E18" s="1">
        <f t="shared" ca="1" si="4"/>
        <v>114</v>
      </c>
      <c r="F18" s="1">
        <f t="shared" ca="1" si="5"/>
        <v>100</v>
      </c>
      <c r="G18" s="1" t="str">
        <f t="shared" ca="1" si="3"/>
        <v>конец игры</v>
      </c>
    </row>
    <row r="19" spans="1:7" x14ac:dyDescent="0.25">
      <c r="A19" s="1">
        <f ca="1">INT(1+6*RAND())</f>
        <v>4</v>
      </c>
      <c r="B19" s="1">
        <f t="shared" ca="1" si="0"/>
        <v>4</v>
      </c>
      <c r="C19" s="1">
        <f t="shared" ca="1" si="0"/>
        <v>1</v>
      </c>
      <c r="D19" s="1">
        <f t="shared" ca="1" si="0"/>
        <v>2</v>
      </c>
      <c r="E19" s="1">
        <f t="shared" ca="1" si="4"/>
        <v>122</v>
      </c>
      <c r="F19" s="1">
        <f t="shared" ca="1" si="5"/>
        <v>103</v>
      </c>
      <c r="G19" s="1" t="str">
        <f t="shared" ca="1" si="3"/>
        <v>конец игры</v>
      </c>
    </row>
    <row r="20" spans="1:7" x14ac:dyDescent="0.25">
      <c r="A20" s="1">
        <f ca="1">INT(1+6*RAND())</f>
        <v>4</v>
      </c>
      <c r="B20" s="1">
        <f t="shared" ca="1" si="0"/>
        <v>1</v>
      </c>
      <c r="C20" s="1">
        <f t="shared" ca="1" si="0"/>
        <v>3</v>
      </c>
      <c r="D20" s="1">
        <f t="shared" ca="1" si="0"/>
        <v>1</v>
      </c>
      <c r="E20" s="1">
        <f t="shared" ca="1" si="4"/>
        <v>127</v>
      </c>
      <c r="F20" s="1">
        <f t="shared" ca="1" si="5"/>
        <v>107</v>
      </c>
      <c r="G20" s="1" t="str">
        <f t="shared" ca="1" si="3"/>
        <v>конец игры</v>
      </c>
    </row>
    <row r="21" spans="1:7" x14ac:dyDescent="0.25">
      <c r="A21" s="1">
        <f ca="1">INT(1+6*RAND())</f>
        <v>6</v>
      </c>
      <c r="B21" s="1">
        <f t="shared" ca="1" si="0"/>
        <v>1</v>
      </c>
      <c r="C21" s="1">
        <f t="shared" ca="1" si="0"/>
        <v>5</v>
      </c>
      <c r="D21" s="1">
        <f t="shared" ca="1" si="0"/>
        <v>4</v>
      </c>
      <c r="E21" s="1">
        <f t="shared" ca="1" si="4"/>
        <v>134</v>
      </c>
      <c r="F21" s="1">
        <f t="shared" ca="1" si="5"/>
        <v>116</v>
      </c>
      <c r="G21" s="1" t="str">
        <f t="shared" ca="1" si="3"/>
        <v>конец игры</v>
      </c>
    </row>
    <row r="22" spans="1:7" x14ac:dyDescent="0.25">
      <c r="A22" s="1">
        <f ca="1">INT(1+6*RAND())</f>
        <v>1</v>
      </c>
      <c r="B22" s="1">
        <f t="shared" ca="1" si="0"/>
        <v>5</v>
      </c>
      <c r="C22" s="1">
        <f t="shared" ca="1" si="0"/>
        <v>3</v>
      </c>
      <c r="D22" s="1">
        <f t="shared" ca="1" si="0"/>
        <v>2</v>
      </c>
      <c r="E22" s="1">
        <f t="shared" ca="1" si="4"/>
        <v>140</v>
      </c>
      <c r="F22" s="1">
        <f t="shared" ca="1" si="5"/>
        <v>121</v>
      </c>
      <c r="G22" s="1" t="str">
        <f t="shared" ca="1" si="3"/>
        <v>конец игры</v>
      </c>
    </row>
    <row r="23" spans="1:7" x14ac:dyDescent="0.25">
      <c r="A23" s="1">
        <f ca="1">INT(1+6*RAND())</f>
        <v>6</v>
      </c>
      <c r="B23" s="1">
        <f t="shared" ref="A23:D25" ca="1" si="6">INT(1+6*RAND())</f>
        <v>3</v>
      </c>
      <c r="C23" s="1">
        <f t="shared" ca="1" si="6"/>
        <v>2</v>
      </c>
      <c r="D23" s="1">
        <f t="shared" ca="1" si="6"/>
        <v>5</v>
      </c>
      <c r="E23" s="1">
        <f t="shared" ca="1" si="4"/>
        <v>149</v>
      </c>
      <c r="F23" s="1">
        <f t="shared" ca="1" si="5"/>
        <v>128</v>
      </c>
      <c r="G23" s="1" t="str">
        <f t="shared" ca="1" si="3"/>
        <v>конец игры</v>
      </c>
    </row>
    <row r="24" spans="1:7" x14ac:dyDescent="0.25">
      <c r="A24" s="1">
        <f t="shared" ca="1" si="6"/>
        <v>4</v>
      </c>
      <c r="B24" s="1">
        <f t="shared" ca="1" si="6"/>
        <v>4</v>
      </c>
      <c r="C24" s="1">
        <f t="shared" ca="1" si="6"/>
        <v>2</v>
      </c>
      <c r="D24" s="1">
        <f t="shared" ca="1" si="6"/>
        <v>4</v>
      </c>
      <c r="E24" s="1">
        <f t="shared" ca="1" si="4"/>
        <v>157</v>
      </c>
      <c r="F24" s="1">
        <f t="shared" ca="1" si="5"/>
        <v>134</v>
      </c>
      <c r="G24" s="1" t="str">
        <f t="shared" ca="1" si="3"/>
        <v>конец игры</v>
      </c>
    </row>
    <row r="25" spans="1:7" x14ac:dyDescent="0.25">
      <c r="A25" s="1">
        <f t="shared" ca="1" si="6"/>
        <v>4</v>
      </c>
      <c r="B25" s="1">
        <f t="shared" ca="1" si="6"/>
        <v>5</v>
      </c>
      <c r="C25" s="1">
        <f t="shared" ca="1" si="6"/>
        <v>5</v>
      </c>
      <c r="D25" s="1">
        <f t="shared" ca="1" si="6"/>
        <v>6</v>
      </c>
      <c r="E25" s="1">
        <f t="shared" ca="1" si="4"/>
        <v>166</v>
      </c>
      <c r="F25" s="1">
        <f t="shared" ca="1" si="5"/>
        <v>145</v>
      </c>
      <c r="G25" s="1" t="str">
        <f t="shared" ca="1" si="3"/>
        <v>конец игры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</vt:lpstr>
      <vt:lpstr>Задание 1 (график)</vt:lpstr>
      <vt:lpstr>Задание 3</vt:lpstr>
      <vt:lpstr>Задание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G</dc:creator>
  <cp:lastModifiedBy>Vlad G</cp:lastModifiedBy>
  <dcterms:created xsi:type="dcterms:W3CDTF">2025-10-06T12:47:51Z</dcterms:created>
  <dcterms:modified xsi:type="dcterms:W3CDTF">2025-10-06T15:52:55Z</dcterms:modified>
</cp:coreProperties>
</file>