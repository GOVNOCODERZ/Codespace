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space\Файлы\2 курс\3 семестр\Моделирование информационных процессов\Лабораторные работы\Лабораторная работа №2\Влад\"/>
    </mc:Choice>
  </mc:AlternateContent>
  <bookViews>
    <workbookView xWindow="0" yWindow="600" windowWidth="21570" windowHeight="8145" activeTab="9"/>
  </bookViews>
  <sheets>
    <sheet name="1.1" sheetId="1" r:id="rId1"/>
    <sheet name="1.2" sheetId="2" r:id="rId2"/>
    <sheet name="2.1" sheetId="3" r:id="rId3"/>
    <sheet name="3.2" sheetId="5" r:id="rId4"/>
    <sheet name="3.1" sheetId="4" r:id="rId5"/>
    <sheet name="4.1" sheetId="6" r:id="rId6"/>
    <sheet name="4.2" sheetId="7" r:id="rId7"/>
    <sheet name="4.3" sheetId="8" r:id="rId8"/>
    <sheet name="5.1" sheetId="9" r:id="rId9"/>
    <sheet name="5.2" sheetId="10" r:id="rId10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8" l="1"/>
  <c r="B5" i="7"/>
  <c r="B13" i="5"/>
  <c r="D11" i="10" l="1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10" i="10"/>
  <c r="N7" i="9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K7" i="9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E7" i="9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B7" i="9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C7" i="8"/>
  <c r="C8" i="8" s="1"/>
  <c r="B9" i="8"/>
  <c r="B7" i="8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6" i="6"/>
  <c r="B11" i="5"/>
  <c r="B10" i="5"/>
  <c r="B12" i="5" s="1"/>
  <c r="C3" i="4"/>
  <c r="B16" i="4" s="1"/>
  <c r="D4" i="3"/>
  <c r="D5" i="3"/>
  <c r="D6" i="3"/>
  <c r="D7" i="3"/>
  <c r="D8" i="3"/>
  <c r="D9" i="3"/>
  <c r="D10" i="3"/>
  <c r="D11" i="3"/>
  <c r="D3" i="3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6" i="1"/>
  <c r="B7" i="1" s="1"/>
  <c r="B8" i="1" s="1"/>
  <c r="C8" i="1" l="1"/>
  <c r="C9" i="1" s="1"/>
  <c r="C10" i="1" s="1"/>
  <c r="C9" i="8"/>
  <c r="D7" i="8"/>
  <c r="D8" i="8" s="1"/>
  <c r="B99" i="4"/>
  <c r="C98" i="4"/>
  <c r="B98" i="4"/>
  <c r="C88" i="4"/>
  <c r="B88" i="4"/>
  <c r="C87" i="4"/>
  <c r="C85" i="4"/>
  <c r="C83" i="4"/>
  <c r="C62" i="4"/>
  <c r="B62" i="4"/>
  <c r="C61" i="4"/>
  <c r="B61" i="4"/>
  <c r="C60" i="4"/>
  <c r="B60" i="4"/>
  <c r="B52" i="4"/>
  <c r="C51" i="4"/>
  <c r="B51" i="4"/>
  <c r="B48" i="4"/>
  <c r="B100" i="4"/>
  <c r="B29" i="4"/>
  <c r="C99" i="4"/>
  <c r="B83" i="4"/>
  <c r="B41" i="4"/>
  <c r="C40" i="4"/>
  <c r="B40" i="4"/>
  <c r="B75" i="4"/>
  <c r="B39" i="4"/>
  <c r="B74" i="4"/>
  <c r="C108" i="4"/>
  <c r="B38" i="4"/>
  <c r="C35" i="4"/>
  <c r="C107" i="4"/>
  <c r="C63" i="4"/>
  <c r="B35" i="4"/>
  <c r="C82" i="4"/>
  <c r="C12" i="4"/>
  <c r="C75" i="4"/>
  <c r="C11" i="4"/>
  <c r="C39" i="4"/>
  <c r="C10" i="4"/>
  <c r="C74" i="4"/>
  <c r="C9" i="4"/>
  <c r="C38" i="4"/>
  <c r="C73" i="4"/>
  <c r="B108" i="4"/>
  <c r="B64" i="4"/>
  <c r="C105" i="4"/>
  <c r="B63" i="4"/>
  <c r="C29" i="4"/>
  <c r="C37" i="4"/>
  <c r="C28" i="4"/>
  <c r="B28" i="4"/>
  <c r="C23" i="4"/>
  <c r="B85" i="4"/>
  <c r="C59" i="4"/>
  <c r="C14" i="4"/>
  <c r="C84" i="4"/>
  <c r="B59" i="4"/>
  <c r="C13" i="4"/>
  <c r="B84" i="4"/>
  <c r="C52" i="4"/>
  <c r="C16" i="4"/>
  <c r="C97" i="4"/>
  <c r="B73" i="4"/>
  <c r="C50" i="4"/>
  <c r="C27" i="4"/>
  <c r="C95" i="4"/>
  <c r="C72" i="4"/>
  <c r="B50" i="4"/>
  <c r="C25" i="4"/>
  <c r="B95" i="4"/>
  <c r="B72" i="4"/>
  <c r="C49" i="4"/>
  <c r="B25" i="4"/>
  <c r="C94" i="4"/>
  <c r="C71" i="4"/>
  <c r="B49" i="4"/>
  <c r="C24" i="4"/>
  <c r="B94" i="4"/>
  <c r="B71" i="4"/>
  <c r="C48" i="4"/>
  <c r="B24" i="4"/>
  <c r="B105" i="4"/>
  <c r="C70" i="4"/>
  <c r="C34" i="4"/>
  <c r="B93" i="4"/>
  <c r="B34" i="4"/>
  <c r="C92" i="4"/>
  <c r="B58" i="4"/>
  <c r="C33" i="4"/>
  <c r="B22" i="4"/>
  <c r="B13" i="4"/>
  <c r="C103" i="4"/>
  <c r="B92" i="4"/>
  <c r="C80" i="4"/>
  <c r="B69" i="4"/>
  <c r="C57" i="4"/>
  <c r="C44" i="4"/>
  <c r="B33" i="4"/>
  <c r="C21" i="4"/>
  <c r="B82" i="4"/>
  <c r="C47" i="4"/>
  <c r="C81" i="4"/>
  <c r="C22" i="4"/>
  <c r="B104" i="4"/>
  <c r="C69" i="4"/>
  <c r="B12" i="4"/>
  <c r="C91" i="4"/>
  <c r="C68" i="4"/>
  <c r="B44" i="4"/>
  <c r="C32" i="4"/>
  <c r="B21" i="4"/>
  <c r="B70" i="4"/>
  <c r="C45" i="4"/>
  <c r="B14" i="4"/>
  <c r="B81" i="4"/>
  <c r="B45" i="4"/>
  <c r="B103" i="4"/>
  <c r="B80" i="4"/>
  <c r="C55" i="4"/>
  <c r="B11" i="4"/>
  <c r="C102" i="4"/>
  <c r="B91" i="4"/>
  <c r="C79" i="4"/>
  <c r="B68" i="4"/>
  <c r="B55" i="4"/>
  <c r="C43" i="4"/>
  <c r="B32" i="4"/>
  <c r="C20" i="4"/>
  <c r="C93" i="4"/>
  <c r="B23" i="4"/>
  <c r="C104" i="4"/>
  <c r="C58" i="4"/>
  <c r="B10" i="4"/>
  <c r="B102" i="4"/>
  <c r="C90" i="4"/>
  <c r="B79" i="4"/>
  <c r="C67" i="4"/>
  <c r="C54" i="4"/>
  <c r="B43" i="4"/>
  <c r="C31" i="4"/>
  <c r="B20" i="4"/>
  <c r="B9" i="4"/>
  <c r="C101" i="4"/>
  <c r="B90" i="4"/>
  <c r="C78" i="4"/>
  <c r="C65" i="4"/>
  <c r="B54" i="4"/>
  <c r="C42" i="4"/>
  <c r="B31" i="4"/>
  <c r="C19" i="4"/>
  <c r="C8" i="4"/>
  <c r="B101" i="4"/>
  <c r="C89" i="4"/>
  <c r="B78" i="4"/>
  <c r="B65" i="4"/>
  <c r="C53" i="4"/>
  <c r="B42" i="4"/>
  <c r="C30" i="4"/>
  <c r="B18" i="4"/>
  <c r="C15" i="4"/>
  <c r="C100" i="4"/>
  <c r="B89" i="4"/>
  <c r="C77" i="4"/>
  <c r="C64" i="4"/>
  <c r="B53" i="4"/>
  <c r="C41" i="4"/>
  <c r="B30" i="4"/>
  <c r="C17" i="4"/>
  <c r="B19" i="4"/>
  <c r="C18" i="4"/>
  <c r="B107" i="4"/>
  <c r="B97" i="4"/>
  <c r="B87" i="4"/>
  <c r="B77" i="4"/>
  <c r="B67" i="4"/>
  <c r="B57" i="4"/>
  <c r="B47" i="4"/>
  <c r="B37" i="4"/>
  <c r="B27" i="4"/>
  <c r="B17" i="4"/>
  <c r="B8" i="4"/>
  <c r="C106" i="4"/>
  <c r="C96" i="4"/>
  <c r="C86" i="4"/>
  <c r="C76" i="4"/>
  <c r="C66" i="4"/>
  <c r="C56" i="4"/>
  <c r="C46" i="4"/>
  <c r="C36" i="4"/>
  <c r="C26" i="4"/>
  <c r="B15" i="4"/>
  <c r="B106" i="4"/>
  <c r="B96" i="4"/>
  <c r="B86" i="4"/>
  <c r="B76" i="4"/>
  <c r="B66" i="4"/>
  <c r="B56" i="4"/>
  <c r="B46" i="4"/>
  <c r="B36" i="4"/>
  <c r="B26" i="4"/>
  <c r="B9" i="1"/>
  <c r="B10" i="1" s="1"/>
  <c r="D9" i="8" l="1"/>
  <c r="E7" i="8" l="1"/>
  <c r="E8" i="8" s="1"/>
  <c r="E9" i="8"/>
  <c r="F7" i="8" l="1"/>
  <c r="F8" i="8" s="1"/>
  <c r="F9" i="8"/>
</calcChain>
</file>

<file path=xl/sharedStrings.xml><?xml version="1.0" encoding="utf-8"?>
<sst xmlns="http://schemas.openxmlformats.org/spreadsheetml/2006/main" count="288" uniqueCount="137">
  <si>
    <t>Рентабельность производства</t>
  </si>
  <si>
    <t>Исходные данные</t>
  </si>
  <si>
    <t>Выручка (р.)</t>
  </si>
  <si>
    <t>Себестоимость (р.)</t>
  </si>
  <si>
    <t>Прибыль (р.)</t>
  </si>
  <si>
    <t>Рентабельность (%)</t>
  </si>
  <si>
    <t>Налог (р.)</t>
  </si>
  <si>
    <t>Чистая прибыль (р.)</t>
  </si>
  <si>
    <t>Отношение чистой прибыли к вложенным средствам</t>
  </si>
  <si>
    <t>Задача о заготовке древисины</t>
  </si>
  <si>
    <t>Исходные данные:</t>
  </si>
  <si>
    <t>Первоначальный объём(м3)</t>
  </si>
  <si>
    <t>Годовой план заготовки (м3)</t>
  </si>
  <si>
    <t>Объём древисины (м3)</t>
  </si>
  <si>
    <t>Ежегодный прирост (%)</t>
  </si>
  <si>
    <t>Планета</t>
  </si>
  <si>
    <t>Расстояние от Солнца (астр.ед.)</t>
  </si>
  <si>
    <t>Период обращения вокруг Солнца (год)</t>
  </si>
  <si>
    <t>Скорость движения по орбите (астр.ед./год)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</si>
  <si>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</si>
  <si>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</si>
  <si>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</si>
  <si>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</si>
  <si>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</si>
  <si>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</si>
  <si>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</si>
  <si>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</si>
  <si>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</si>
  <si>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Модель Солнечной системы</t>
  </si>
  <si>
    <t>Траектория точки колеса</t>
  </si>
  <si>
    <t>Скорость качения V0</t>
  </si>
  <si>
    <t>Угловая скорость</t>
  </si>
  <si>
    <t>Радиус колеса R0</t>
  </si>
  <si>
    <t>Расстояние до точки r</t>
  </si>
  <si>
    <t>Время</t>
  </si>
  <si>
    <t>x</t>
  </si>
  <si>
    <t>y</t>
  </si>
  <si>
    <t>Полет снаряда</t>
  </si>
  <si>
    <t>α (град.)</t>
  </si>
  <si>
    <t>V</t>
  </si>
  <si>
    <t>S</t>
  </si>
  <si>
    <t>h</t>
  </si>
  <si>
    <t>g</t>
  </si>
  <si>
    <t>α (радианы)</t>
  </si>
  <si>
    <t>L</t>
  </si>
  <si>
    <t>Результат</t>
  </si>
  <si>
    <t>Расчёты</t>
  </si>
  <si>
    <t>S1</t>
  </si>
  <si>
    <t>Задача об использовании вод Байкала</t>
  </si>
  <si>
    <t>V(км3)</t>
  </si>
  <si>
    <t>N (чел)</t>
  </si>
  <si>
    <t>p (л)</t>
  </si>
  <si>
    <t>g (год)</t>
  </si>
  <si>
    <t>Задача о прогнозировании численности популяции</t>
  </si>
  <si>
    <t>смертность (%)</t>
  </si>
  <si>
    <t>рождаемость</t>
  </si>
  <si>
    <t>1 год</t>
  </si>
  <si>
    <t>2 год</t>
  </si>
  <si>
    <t>3 год</t>
  </si>
  <si>
    <t>4 год</t>
  </si>
  <si>
    <t>5 год</t>
  </si>
  <si>
    <t>6 год</t>
  </si>
  <si>
    <t>7 год</t>
  </si>
  <si>
    <t>8 год</t>
  </si>
  <si>
    <t>9 год</t>
  </si>
  <si>
    <t>10 год</t>
  </si>
  <si>
    <t>11 год</t>
  </si>
  <si>
    <t>12 год</t>
  </si>
  <si>
    <t>13 год</t>
  </si>
  <si>
    <t>14 год</t>
  </si>
  <si>
    <t>15 год</t>
  </si>
  <si>
    <t>16 год</t>
  </si>
  <si>
    <t>17 год</t>
  </si>
  <si>
    <t>18 год</t>
  </si>
  <si>
    <t>19 год</t>
  </si>
  <si>
    <t>20 год</t>
  </si>
  <si>
    <t>21 год</t>
  </si>
  <si>
    <t>22 год</t>
  </si>
  <si>
    <t>23 год</t>
  </si>
  <si>
    <t>24 год</t>
  </si>
  <si>
    <t>25 год</t>
  </si>
  <si>
    <t>Задача о прогнозировании плотности популяции голубя</t>
  </si>
  <si>
    <t>Плотность популяции</t>
  </si>
  <si>
    <t>Плодовитость</t>
  </si>
  <si>
    <t>Показатели популяции голубя</t>
  </si>
  <si>
    <t>Плотность</t>
  </si>
  <si>
    <t>Рождаемость</t>
  </si>
  <si>
    <t>Смертность</t>
  </si>
  <si>
    <t>a</t>
  </si>
  <si>
    <t>b</t>
  </si>
  <si>
    <t>m (г.)</t>
  </si>
  <si>
    <t>1 день (г.)</t>
  </si>
  <si>
    <t>2 день (г.)</t>
  </si>
  <si>
    <t>3 день (г.)</t>
  </si>
  <si>
    <t>4 день (г.)</t>
  </si>
  <si>
    <t>5 день (г.)</t>
  </si>
  <si>
    <t>6 день (г.)</t>
  </si>
  <si>
    <t>7 день (г.)</t>
  </si>
  <si>
    <t>8 день (г.)</t>
  </si>
  <si>
    <t>9 день (г.)</t>
  </si>
  <si>
    <t>10 день (г.)</t>
  </si>
  <si>
    <t>11 день (г.)</t>
  </si>
  <si>
    <t>12 день (г.)</t>
  </si>
  <si>
    <t>13 день (г.)</t>
  </si>
  <si>
    <t>14 день (г.)</t>
  </si>
  <si>
    <t>15 день (г.)</t>
  </si>
  <si>
    <t>16 день (г.)</t>
  </si>
  <si>
    <t>17 день (г.)</t>
  </si>
  <si>
    <t>18 день (г.)</t>
  </si>
  <si>
    <t>19 день (г.)</t>
  </si>
  <si>
    <t>20 день (г.)</t>
  </si>
  <si>
    <t>21 день (г.)</t>
  </si>
  <si>
    <t>22 день (г.)</t>
  </si>
  <si>
    <t>23 день (г.)</t>
  </si>
  <si>
    <t>24 день (г.)</t>
  </si>
  <si>
    <t>25 день (г.)</t>
  </si>
  <si>
    <t>26 день (г.)</t>
  </si>
  <si>
    <t>27 день (г.)</t>
  </si>
  <si>
    <t>28 день (г.)</t>
  </si>
  <si>
    <t>29 день (г.)</t>
  </si>
  <si>
    <t>30 день (г.)</t>
  </si>
  <si>
    <t>Задача о производстве вакцины</t>
  </si>
  <si>
    <t>Моделирование биоритмов человека</t>
  </si>
  <si>
    <t>Неуправляемые параметры (константы)</t>
  </si>
  <si>
    <t>Период физического цикла</t>
  </si>
  <si>
    <t>Период эмоцианального цикла</t>
  </si>
  <si>
    <t>Дата рождения человека</t>
  </si>
  <si>
    <t>Дата отсчёта</t>
  </si>
  <si>
    <t>Длительность прогноза</t>
  </si>
  <si>
    <t>Период интелектуального цикла</t>
  </si>
  <si>
    <t>Результаты</t>
  </si>
  <si>
    <t>Физические</t>
  </si>
  <si>
    <t>Эмоциональные</t>
  </si>
  <si>
    <t>Интелектуальные</t>
  </si>
  <si>
    <t>порядковый день</t>
  </si>
  <si>
    <t>Мини. Допустимое значение (м3)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</si>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</sst>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0F111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/>
    <xf numFmtId="0" fontId="0" fillId="0" borderId="0" xfId="0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1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7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center"/>
    </xf>
    <xf numFmtId="0" fontId="3" fillId="0" borderId="0" xfId="0" applyFont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'1.2'!$B$7</c:f>
              <c:strCache>
                <c:ptCount val="1"/>
                <c:pt idx="0">
                  <c:v>Объём древисины (м3)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'1.2'!$A$8:$A$32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'1.2'!$B$8:$B$32</c:f>
              <c:numCache>
                <c:formatCode>0</c:formatCode>
                <c:ptCount val="25"/>
                <c:pt idx="0">
                  <c:v>117665</c:v>
                </c:pt>
                <c:pt idx="1">
                  <c:v>115201.575</c:v>
                </c:pt>
                <c:pt idx="2">
                  <c:v>112602.66162499999</c:v>
                </c:pt>
                <c:pt idx="3">
                  <c:v>109860.808014375</c:v>
                </c:pt>
                <c:pt idx="4">
                  <c:v>106968.15245516562</c:v>
                </c:pt>
                <c:pt idx="5">
                  <c:v>103916.40084019973</c:v>
                </c:pt>
                <c:pt idx="6">
                  <c:v>100696.80288641072</c:v>
                </c:pt>
                <c:pt idx="7">
                  <c:v>97300.127045163303</c:v>
                </c:pt>
                <c:pt idx="8">
                  <c:v>93716.634032647285</c:v>
                </c:pt>
                <c:pt idx="9">
                  <c:v>89936.048904442883</c:v>
                </c:pt>
                <c:pt idx="10">
                  <c:v>85947.53159418724</c:v>
                </c:pt>
                <c:pt idx="11">
                  <c:v>81739.645831867543</c:v>
                </c:pt>
                <c:pt idx="12">
                  <c:v>77300.326352620265</c:v>
                </c:pt>
                <c:pt idx="13">
                  <c:v>72616.844302014375</c:v>
                </c:pt>
                <c:pt idx="14">
                  <c:v>67675.770738625171</c:v>
                </c:pt>
                <c:pt idx="15">
                  <c:v>62462.938129249553</c:v>
                </c:pt>
                <c:pt idx="16">
                  <c:v>56963.399726358271</c:v>
                </c:pt>
                <c:pt idx="17">
                  <c:v>51161.386711307976</c:v>
                </c:pt>
                <c:pt idx="18">
                  <c:v>45040.262980429914</c:v>
                </c:pt>
                <c:pt idx="19">
                  <c:v>38582.477444353557</c:v>
                </c:pt>
                <c:pt idx="20">
                  <c:v>31769.513703793004</c:v>
                </c:pt>
                <c:pt idx="21">
                  <c:v>24581.836957501619</c:v>
                </c:pt>
                <c:pt idx="22">
                  <c:v>16998.837990164207</c:v>
                </c:pt>
                <c:pt idx="23">
                  <c:v>8998.7740796232392</c:v>
                </c:pt>
                <c:pt idx="24">
                  <c:v>558.7066540025171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154048"/>
        <c:axId val="417159488"/>
      </c:lineChart>
      <c:catAx>
        <c:axId val="41715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59488"/>
        <c:crosses val="autoZero"/>
        <c:auto val="1"/>
        <c:lblAlgn val="ctr"/>
        <c:lblOffset val="100"/>
        <c:noMultiLvlLbl val="0"/>
      </c:catAx>
      <c:valAx>
        <c:axId val="41715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 древесины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5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Модель</a:t>
            </a:r>
            <a:r>
              <a:rPr lang="ru-RU" baseline="0"/>
              <a:t> Солнечной системы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'2.1'!$D$2</c:f>
              <c:strCache>
                <c:ptCount val="1"/>
                <c:pt idx="0">
                  <c:v>Скорость движения по орбите (астр.ед./год)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'2.1'!$A$3:$A$11</c:f>
              <c:strCache>
                <c:ptCount val="9"/>
                <c:pt idx="0">
                  <c:v>Меркурий</c:v>
                </c:pt>
                <c:pt idx="1">
                  <c:v>Венера</c:v>
                </c:pt>
                <c:pt idx="2">
                  <c:v>Земля</c:v>
                </c:pt>
                <c:pt idx="3">
                  <c:v>Марс</c:v>
                </c:pt>
                <c:pt idx="4">
                  <c:v>Юпитер</c:v>
                </c:pt>
                <c:pt idx="5">
                  <c:v>Сатурн</c:v>
                </c:pt>
                <c:pt idx="6">
                  <c:v>Уран</c:v>
                </c:pt>
                <c:pt idx="7">
                  <c:v>Нептун</c:v>
                </c:pt>
                <c:pt idx="8">
                  <c:v>Плутон</c:v>
                </c:pt>
              </c:strCache>
            </c:strRef>
          </c:cat>
          <c:val>
            <c:numRef>
              <c:f>'2.1'!$D$3:$D$11</c:f>
              <c:numCache>
                <c:formatCode>0.000</c:formatCode>
                <c:ptCount val="9"/>
                <c:pt idx="0">
                  <c:v>10.131636307827083</c:v>
                </c:pt>
                <c:pt idx="1">
                  <c:v>7.3270048017594203</c:v>
                </c:pt>
                <c:pt idx="2">
                  <c:v>6.2831853071795862</c:v>
                </c:pt>
                <c:pt idx="3">
                  <c:v>5.0933906426285578</c:v>
                </c:pt>
                <c:pt idx="4">
                  <c:v>2.7564429302913482</c:v>
                </c:pt>
                <c:pt idx="5">
                  <c:v>2.0344638372432473</c:v>
                </c:pt>
                <c:pt idx="6">
                  <c:v>1.4343191405820575</c:v>
                </c:pt>
                <c:pt idx="7">
                  <c:v>1.1465221323313926</c:v>
                </c:pt>
                <c:pt idx="8">
                  <c:v>1.000439356137113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599136"/>
        <c:axId val="615583904"/>
      </c:barChart>
      <c:catAx>
        <c:axId val="6155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83904"/>
        <c:crosses val="autoZero"/>
        <c:auto val="1"/>
        <c:lblAlgn val="ctr"/>
        <c:lblOffset val="100"/>
        <c:noMultiLvlLbl val="0"/>
      </c:catAx>
      <c:valAx>
        <c:axId val="6155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9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3247812773403318E-2"/>
          <c:y val="0.17171296296296298"/>
          <c:w val="0.86997440944881888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'3.1'!$C$7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'3.1'!$B$8:$B$108</c:f>
              <c:numCache>
                <c:formatCode>General</c:formatCode>
                <c:ptCount val="101"/>
                <c:pt idx="0">
                  <c:v>0</c:v>
                </c:pt>
                <c:pt idx="1">
                  <c:v>0.39866933079506123</c:v>
                </c:pt>
                <c:pt idx="2">
                  <c:v>0.78941834230865049</c:v>
                </c:pt>
                <c:pt idx="3">
                  <c:v>1.1646424733950353</c:v>
                </c:pt>
                <c:pt idx="4">
                  <c:v>1.5173560908995229</c:v>
                </c:pt>
                <c:pt idx="5">
                  <c:v>1.8414709848078965</c:v>
                </c:pt>
                <c:pt idx="6">
                  <c:v>2.132039085967226</c:v>
                </c:pt>
                <c:pt idx="7">
                  <c:v>2.3854497299884603</c:v>
                </c:pt>
                <c:pt idx="8">
                  <c:v>2.5995736030415051</c:v>
                </c:pt>
                <c:pt idx="9">
                  <c:v>2.773847630878195</c:v>
                </c:pt>
                <c:pt idx="10">
                  <c:v>2.9092974268256819</c:v>
                </c:pt>
                <c:pt idx="11">
                  <c:v>3.0084964038195903</c:v>
                </c:pt>
                <c:pt idx="12">
                  <c:v>3.075463180551151</c:v>
                </c:pt>
                <c:pt idx="13">
                  <c:v>3.1155013718214644</c:v>
                </c:pt>
                <c:pt idx="14">
                  <c:v>3.1349881501559049</c:v>
                </c:pt>
                <c:pt idx="15">
                  <c:v>3.1411200080598674</c:v>
                </c:pt>
                <c:pt idx="16">
                  <c:v>3.14162585657242</c:v>
                </c:pt>
                <c:pt idx="17">
                  <c:v>3.1444588979731689</c:v>
                </c:pt>
                <c:pt idx="18">
                  <c:v>3.1574795567051477</c:v>
                </c:pt>
                <c:pt idx="19">
                  <c:v>3.188142109057281</c:v>
                </c:pt>
                <c:pt idx="20">
                  <c:v>3.2431975046920716</c:v>
                </c:pt>
                <c:pt idx="21">
                  <c:v>3.328424227586412</c:v>
                </c:pt>
                <c:pt idx="22">
                  <c:v>3.4483979261104842</c:v>
                </c:pt>
                <c:pt idx="23">
                  <c:v>3.6063089963665353</c:v>
                </c:pt>
                <c:pt idx="24">
                  <c:v>3.8038353911641591</c:v>
                </c:pt>
                <c:pt idx="25">
                  <c:v>4.0410757253368619</c:v>
                </c:pt>
                <c:pt idx="26">
                  <c:v>4.3165453442798469</c:v>
                </c:pt>
                <c:pt idx="27">
                  <c:v>4.6272355124440132</c:v>
                </c:pt>
                <c:pt idx="28">
                  <c:v>4.9687333621276784</c:v>
                </c:pt>
                <c:pt idx="29">
                  <c:v>5.3353978205862429</c:v>
                </c:pt>
                <c:pt idx="30">
                  <c:v>5.7205845018010741</c:v>
                </c:pt>
                <c:pt idx="31">
                  <c:v>6.1169105971825042</c:v>
                </c:pt>
                <c:pt idx="32">
                  <c:v>6.5165492048504943</c:v>
                </c:pt>
                <c:pt idx="33">
                  <c:v>6.9115413635133773</c:v>
                </c:pt>
                <c:pt idx="34">
                  <c:v>7.2941133511386083</c:v>
                </c:pt>
                <c:pt idx="35">
                  <c:v>7.6569865987187891</c:v>
                </c:pt>
                <c:pt idx="36">
                  <c:v>7.9936678638491534</c:v>
                </c:pt>
                <c:pt idx="37">
                  <c:v>8.2987080958116266</c:v>
                </c:pt>
                <c:pt idx="38">
                  <c:v>8.5679196720314863</c:v>
                </c:pt>
                <c:pt idx="39">
                  <c:v>8.798543345374604</c:v>
                </c:pt>
                <c:pt idx="40">
                  <c:v>8.9893582466233823</c:v>
                </c:pt>
                <c:pt idx="41">
                  <c:v>9.1407305566797721</c:v>
                </c:pt>
                <c:pt idx="42">
                  <c:v>9.2545989080882816</c:v>
                </c:pt>
                <c:pt idx="43">
                  <c:v>9.3343970978741133</c:v>
                </c:pt>
                <c:pt idx="44">
                  <c:v>9.3849171928917627</c:v>
                </c:pt>
                <c:pt idx="45">
                  <c:v>9.4121184852417574</c:v>
                </c:pt>
                <c:pt idx="46">
                  <c:v>9.4228899141002476</c:v>
                </c:pt>
                <c:pt idx="47">
                  <c:v>9.4247754254533582</c:v>
                </c:pt>
                <c:pt idx="48">
                  <c:v>9.4256732187770194</c:v>
                </c:pt>
                <c:pt idx="49">
                  <c:v>9.4335208707480724</c:v>
                </c:pt>
                <c:pt idx="50">
                  <c:v>9.4559788891106304</c:v>
                </c:pt>
                <c:pt idx="51">
                  <c:v>9.5001253124064569</c:v>
                </c:pt>
                <c:pt idx="52">
                  <c:v>9.5721735309143465</c:v>
                </c:pt>
                <c:pt idx="53">
                  <c:v>9.6772245783871931</c:v>
                </c:pt>
                <c:pt idx="54">
                  <c:v>9.8190637699335088</c:v>
                </c:pt>
                <c:pt idx="55">
                  <c:v>10.000009793449296</c:v>
                </c:pt>
                <c:pt idx="56">
                  <c:v>10.220822270848682</c:v>
                </c:pt>
                <c:pt idx="57">
                  <c:v>10.480671474335324</c:v>
                </c:pt>
                <c:pt idx="58">
                  <c:v>10.777171405031291</c:v>
                </c:pt>
                <c:pt idx="59">
                  <c:v>11.106474915222879</c:v>
                </c:pt>
                <c:pt idx="60">
                  <c:v>11.463427081999566</c:v>
                </c:pt>
                <c:pt idx="61">
                  <c:v>11.84177071776317</c:v>
                </c:pt>
                <c:pt idx="62">
                  <c:v>12.23439582455169</c:v>
                </c:pt>
                <c:pt idx="63">
                  <c:v>12.633623047221135</c:v>
                </c:pt>
                <c:pt idx="64">
                  <c:v>13.031509825101539</c:v>
                </c:pt>
                <c:pt idx="65">
                  <c:v>13.420167036826641</c:v>
                </c:pt>
                <c:pt idx="66">
                  <c:v>13.792073514707223</c:v>
                </c:pt>
                <c:pt idx="67">
                  <c:v>14.140375889952448</c:v>
                </c:pt>
                <c:pt idx="68">
                  <c:v>14.459161814856495</c:v>
                </c:pt>
                <c:pt idx="69">
                  <c:v>14.743695669444106</c:v>
                </c:pt>
                <c:pt idx="70">
                  <c:v>14.99060735569487</c:v>
                </c:pt>
                <c:pt idx="71">
                  <c:v>15.198026652716361</c:v>
                </c:pt>
                <c:pt idx="72">
                  <c:v>15.365657776549277</c:v>
                </c:pt>
                <c:pt idx="73">
                  <c:v>15.494791172140504</c:v>
                </c:pt>
                <c:pt idx="74">
                  <c:v>15.588252067375317</c:v>
                </c:pt>
                <c:pt idx="75">
                  <c:v>15.650287840157116</c:v>
                </c:pt>
                <c:pt idx="76">
                  <c:v>15.686398688853799</c:v>
                </c:pt>
                <c:pt idx="77">
                  <c:v>15.703118356745703</c:v>
                </c:pt>
                <c:pt idx="78">
                  <c:v>15.707753652299443</c:v>
                </c:pt>
                <c:pt idx="79">
                  <c:v>15.708093149772319</c:v>
                </c:pt>
                <c:pt idx="80">
                  <c:v>15.712096683334934</c:v>
                </c:pt>
                <c:pt idx="81">
                  <c:v>15.727578013601534</c:v>
                </c:pt>
                <c:pt idx="82">
                  <c:v>15.761893317652051</c:v>
                </c:pt>
                <c:pt idx="83">
                  <c:v>15.821647921465702</c:v>
                </c:pt>
                <c:pt idx="84">
                  <c:v>15.912432966418496</c:v>
                </c:pt>
                <c:pt idx="85">
                  <c:v>16.038602508120444</c:v>
                </c:pt>
                <c:pt idx="86">
                  <c:v>16.203099933958402</c:v>
                </c:pt>
                <c:pt idx="87">
                  <c:v>16.407340619529364</c:v>
                </c:pt>
                <c:pt idx="88">
                  <c:v>16.651155502081878</c:v>
                </c:pt>
                <c:pt idx="89">
                  <c:v>16.93279782051442</c:v>
                </c:pt>
                <c:pt idx="90">
                  <c:v>17.249012753228325</c:v>
                </c:pt>
                <c:pt idx="91">
                  <c:v>17.595167177593716</c:v>
                </c:pt>
                <c:pt idx="92">
                  <c:v>17.965434377928101</c:v>
                </c:pt>
                <c:pt idx="93">
                  <c:v>18.35302633826338</c:v>
                </c:pt>
                <c:pt idx="94">
                  <c:v>18.750464359121633</c:v>
                </c:pt>
                <c:pt idx="95">
                  <c:v>19.149877209662954</c:v>
                </c:pt>
                <c:pt idx="96">
                  <c:v>19.543314928819896</c:v>
                </c:pt>
                <c:pt idx="97">
                  <c:v>19.923065765157695</c:v>
                </c:pt>
                <c:pt idx="98">
                  <c:v>20.281963620068137</c:v>
                </c:pt>
                <c:pt idx="99">
                  <c:v>20.613673737507106</c:v>
                </c:pt>
                <c:pt idx="100">
                  <c:v>20.912945250727628</c:v>
                </c:pt>
              </c:numCache>
            </c:numRef>
          </c:xVal>
          <c:yVal>
            <c:numRef>
              <c:f>'3.1'!$C$8:$C$108</c:f>
              <c:numCache>
                <c:formatCode>General</c:formatCode>
                <c:ptCount val="101"/>
                <c:pt idx="0">
                  <c:v>1</c:v>
                </c:pt>
                <c:pt idx="1">
                  <c:v>0.98006657784124163</c:v>
                </c:pt>
                <c:pt idx="2">
                  <c:v>0.9210609940028851</c:v>
                </c:pt>
                <c:pt idx="3">
                  <c:v>0.82533561490967833</c:v>
                </c:pt>
                <c:pt idx="4">
                  <c:v>0.69670670934716539</c:v>
                </c:pt>
                <c:pt idx="5">
                  <c:v>0.54030230586813977</c:v>
                </c:pt>
                <c:pt idx="6">
                  <c:v>0.36235775447667362</c:v>
                </c:pt>
                <c:pt idx="7">
                  <c:v>0.16996714290024104</c:v>
                </c:pt>
                <c:pt idx="8">
                  <c:v>-2.9199522301288815E-2</c:v>
                </c:pt>
                <c:pt idx="9">
                  <c:v>-0.22720209469308711</c:v>
                </c:pt>
                <c:pt idx="10">
                  <c:v>-0.41614683654714241</c:v>
                </c:pt>
                <c:pt idx="11">
                  <c:v>-0.58850111725534582</c:v>
                </c:pt>
                <c:pt idx="12">
                  <c:v>-0.73739371554124544</c:v>
                </c:pt>
                <c:pt idx="13">
                  <c:v>-0.85688875336894732</c:v>
                </c:pt>
                <c:pt idx="14">
                  <c:v>-0.94222234066865806</c:v>
                </c:pt>
                <c:pt idx="15">
                  <c:v>-0.98999249660044542</c:v>
                </c:pt>
                <c:pt idx="16">
                  <c:v>-0.99829477579475312</c:v>
                </c:pt>
                <c:pt idx="17">
                  <c:v>-0.96679819257946109</c:v>
                </c:pt>
                <c:pt idx="18">
                  <c:v>-0.89675841633414699</c:v>
                </c:pt>
                <c:pt idx="19">
                  <c:v>-0.79096771191441684</c:v>
                </c:pt>
                <c:pt idx="20">
                  <c:v>-0.65364362086361194</c:v>
                </c:pt>
                <c:pt idx="21">
                  <c:v>-0.49026082134069943</c:v>
                </c:pt>
                <c:pt idx="22">
                  <c:v>-0.30733286997841935</c:v>
                </c:pt>
                <c:pt idx="23">
                  <c:v>-0.11215252693505487</c:v>
                </c:pt>
                <c:pt idx="24">
                  <c:v>8.7498983439446398E-2</c:v>
                </c:pt>
                <c:pt idx="25">
                  <c:v>0.28366218546322625</c:v>
                </c:pt>
                <c:pt idx="26">
                  <c:v>0.46851667130037711</c:v>
                </c:pt>
                <c:pt idx="27">
                  <c:v>0.63469287594263468</c:v>
                </c:pt>
                <c:pt idx="28">
                  <c:v>0.77556587851024961</c:v>
                </c:pt>
                <c:pt idx="29">
                  <c:v>0.88551951694131892</c:v>
                </c:pt>
                <c:pt idx="30">
                  <c:v>0.96017028665036597</c:v>
                </c:pt>
                <c:pt idx="31">
                  <c:v>0.9965420970232175</c:v>
                </c:pt>
                <c:pt idx="32">
                  <c:v>0.99318491875819259</c:v>
                </c:pt>
                <c:pt idx="33">
                  <c:v>0.9502325919585296</c:v>
                </c:pt>
                <c:pt idx="34">
                  <c:v>0.86939749034982527</c:v>
                </c:pt>
                <c:pt idx="35">
                  <c:v>0.7539022543433046</c:v>
                </c:pt>
                <c:pt idx="36">
                  <c:v>0.60835131453225455</c:v>
                </c:pt>
                <c:pt idx="37">
                  <c:v>0.43854732757439036</c:v>
                </c:pt>
                <c:pt idx="38">
                  <c:v>0.2512598425822557</c:v>
                </c:pt>
                <c:pt idx="39">
                  <c:v>5.395542056264975E-2</c:v>
                </c:pt>
                <c:pt idx="40">
                  <c:v>-0.14550003380861354</c:v>
                </c:pt>
                <c:pt idx="41">
                  <c:v>-0.33915486098383452</c:v>
                </c:pt>
                <c:pt idx="42">
                  <c:v>-0.51928865411668557</c:v>
                </c:pt>
                <c:pt idx="43">
                  <c:v>-0.67872004732001245</c:v>
                </c:pt>
                <c:pt idx="44">
                  <c:v>-0.81109301406165601</c:v>
                </c:pt>
                <c:pt idx="45">
                  <c:v>-0.91113026188467694</c:v>
                </c:pt>
                <c:pt idx="46">
                  <c:v>-0.97484362140416358</c:v>
                </c:pt>
                <c:pt idx="47">
                  <c:v>-0.99969304203520648</c:v>
                </c:pt>
                <c:pt idx="48">
                  <c:v>-0.98468785579412699</c:v>
                </c:pt>
                <c:pt idx="49">
                  <c:v>-0.93042627210475326</c:v>
                </c:pt>
                <c:pt idx="50">
                  <c:v>-0.83907152907645244</c:v>
                </c:pt>
                <c:pt idx="51">
                  <c:v>-0.71426565202720027</c:v>
                </c:pt>
                <c:pt idx="52">
                  <c:v>-0.56098425742722879</c:v>
                </c:pt>
                <c:pt idx="53">
                  <c:v>-0.38533819077182963</c:v>
                </c:pt>
                <c:pt idx="54">
                  <c:v>-0.19432990645533479</c:v>
                </c:pt>
                <c:pt idx="55">
                  <c:v>4.4256979880507854E-3</c:v>
                </c:pt>
                <c:pt idx="56">
                  <c:v>0.20300486381875041</c:v>
                </c:pt>
                <c:pt idx="57">
                  <c:v>0.39349086634789088</c:v>
                </c:pt>
                <c:pt idx="58">
                  <c:v>0.56828962976797359</c:v>
                </c:pt>
                <c:pt idx="59">
                  <c:v>0.72043247899083873</c:v>
                </c:pt>
                <c:pt idx="60">
                  <c:v>0.84385395873249214</c:v>
                </c:pt>
                <c:pt idx="61">
                  <c:v>0.93363364407463734</c:v>
                </c:pt>
                <c:pt idx="62">
                  <c:v>0.98619230227886368</c:v>
                </c:pt>
                <c:pt idx="63">
                  <c:v>0.99943458550100472</c:v>
                </c:pt>
                <c:pt idx="64">
                  <c:v>0.97283256569743537</c:v>
                </c:pt>
                <c:pt idx="65">
                  <c:v>0.90744678145019619</c:v>
                </c:pt>
                <c:pt idx="66">
                  <c:v>0.80588395764045073</c:v>
                </c:pt>
                <c:pt idx="67">
                  <c:v>0.67219308355346807</c:v>
                </c:pt>
                <c:pt idx="68">
                  <c:v>0.51170399245314901</c:v>
                </c:pt>
                <c:pt idx="69">
                  <c:v>0.33081487794904696</c:v>
                </c:pt>
                <c:pt idx="70">
                  <c:v>0.13673721820783361</c:v>
                </c:pt>
                <c:pt idx="71">
                  <c:v>-6.2791722924081764E-2</c:v>
                </c:pt>
                <c:pt idx="72">
                  <c:v>-0.25981735621375585</c:v>
                </c:pt>
                <c:pt idx="73">
                  <c:v>-0.44648489141226561</c:v>
                </c:pt>
                <c:pt idx="74">
                  <c:v>-0.61535248295472078</c:v>
                </c:pt>
                <c:pt idx="75">
                  <c:v>-0.75968791285882131</c:v>
                </c:pt>
                <c:pt idx="76">
                  <c:v>-0.87373698301108016</c:v>
                </c:pt>
                <c:pt idx="77">
                  <c:v>-0.95295291688718031</c:v>
                </c:pt>
                <c:pt idx="78">
                  <c:v>-0.99417762518381514</c:v>
                </c:pt>
                <c:pt idx="79">
                  <c:v>-0.99576760887328852</c:v>
                </c:pt>
                <c:pt idx="80">
                  <c:v>-0.95765948032338466</c:v>
                </c:pt>
                <c:pt idx="81">
                  <c:v>-0.88137249036223464</c:v>
                </c:pt>
                <c:pt idx="82">
                  <c:v>-0.76994796054207171</c:v>
                </c:pt>
                <c:pt idx="83">
                  <c:v>-0.62782803524638597</c:v>
                </c:pt>
                <c:pt idx="84">
                  <c:v>-0.46067858741136253</c:v>
                </c:pt>
                <c:pt idx="85">
                  <c:v>-0.27516333805159693</c:v>
                </c:pt>
                <c:pt idx="86">
                  <c:v>-7.8678194731840151E-2</c:v>
                </c:pt>
                <c:pt idx="87">
                  <c:v>0.12094359992847414</c:v>
                </c:pt>
                <c:pt idx="88">
                  <c:v>0.31574375491924334</c:v>
                </c:pt>
                <c:pt idx="89">
                  <c:v>0.49795620278841546</c:v>
                </c:pt>
                <c:pt idx="90">
                  <c:v>0.66031670824408017</c:v>
                </c:pt>
                <c:pt idx="91">
                  <c:v>0.79635247029192313</c:v>
                </c:pt>
                <c:pt idx="92">
                  <c:v>0.90064017238476846</c:v>
                </c:pt>
                <c:pt idx="93">
                  <c:v>0.9690221929390499</c:v>
                </c:pt>
                <c:pt idx="94">
                  <c:v>0.9987723565872102</c:v>
                </c:pt>
                <c:pt idx="95">
                  <c:v>0.98870461818666922</c:v>
                </c:pt>
                <c:pt idx="96">
                  <c:v>0.93922034669687082</c:v>
                </c:pt>
                <c:pt idx="97">
                  <c:v>0.85229232386546439</c:v>
                </c:pt>
                <c:pt idx="98">
                  <c:v>0.73138609564549673</c:v>
                </c:pt>
                <c:pt idx="99">
                  <c:v>0.58132181181443565</c:v>
                </c:pt>
                <c:pt idx="100">
                  <c:v>0.40808206181339196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7ED-4E75-8AEA-43EC15C9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879712"/>
        <c:axId val="324870464"/>
      </c:scatterChart>
      <c:valAx>
        <c:axId val="32487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4870464"/>
        <c:crosses val="autoZero"/>
        <c:crossBetween val="midCat"/>
      </c:valAx>
      <c:valAx>
        <c:axId val="3248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487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'4.2'!$A$5:$A$29</c:f>
              <c:strCache>
                <c:ptCount val="25"/>
                <c:pt idx="0">
                  <c:v>1 год</c:v>
                </c:pt>
                <c:pt idx="1">
                  <c:v>2 год</c:v>
                </c:pt>
                <c:pt idx="2">
                  <c:v>3 год</c:v>
                </c:pt>
                <c:pt idx="3">
                  <c:v>4 год</c:v>
                </c:pt>
                <c:pt idx="4">
                  <c:v>5 год</c:v>
                </c:pt>
                <c:pt idx="5">
                  <c:v>6 год</c:v>
                </c:pt>
                <c:pt idx="6">
                  <c:v>7 год</c:v>
                </c:pt>
                <c:pt idx="7">
                  <c:v>8 год</c:v>
                </c:pt>
                <c:pt idx="8">
                  <c:v>9 год</c:v>
                </c:pt>
                <c:pt idx="9">
                  <c:v>10 год</c:v>
                </c:pt>
                <c:pt idx="10">
                  <c:v>11 год</c:v>
                </c:pt>
                <c:pt idx="11">
                  <c:v>12 год</c:v>
                </c:pt>
                <c:pt idx="12">
                  <c:v>13 год</c:v>
                </c:pt>
                <c:pt idx="13">
                  <c:v>14 год</c:v>
                </c:pt>
                <c:pt idx="14">
                  <c:v>15 год</c:v>
                </c:pt>
                <c:pt idx="15">
                  <c:v>16 год</c:v>
                </c:pt>
                <c:pt idx="16">
                  <c:v>17 год</c:v>
                </c:pt>
                <c:pt idx="17">
                  <c:v>18 год</c:v>
                </c:pt>
                <c:pt idx="18">
                  <c:v>19 год</c:v>
                </c:pt>
                <c:pt idx="19">
                  <c:v>20 год</c:v>
                </c:pt>
                <c:pt idx="20">
                  <c:v>21 год</c:v>
                </c:pt>
                <c:pt idx="21">
                  <c:v>22 год</c:v>
                </c:pt>
                <c:pt idx="22">
                  <c:v>23 год</c:v>
                </c:pt>
                <c:pt idx="23">
                  <c:v>24 год</c:v>
                </c:pt>
                <c:pt idx="24">
                  <c:v>25 год</c:v>
                </c:pt>
              </c:strCache>
            </c:strRef>
          </c:cat>
          <c:val>
            <c:numRef>
              <c:f>'4.2'!$B$5:$B$29</c:f>
              <c:numCache>
                <c:formatCode>General</c:formatCode>
                <c:ptCount val="25"/>
                <c:pt idx="0">
                  <c:v>500000</c:v>
                </c:pt>
                <c:pt idx="1">
                  <c:v>300000</c:v>
                </c:pt>
                <c:pt idx="2">
                  <c:v>180000</c:v>
                </c:pt>
                <c:pt idx="3">
                  <c:v>108000</c:v>
                </c:pt>
                <c:pt idx="4">
                  <c:v>64800</c:v>
                </c:pt>
                <c:pt idx="5">
                  <c:v>38880</c:v>
                </c:pt>
                <c:pt idx="6">
                  <c:v>23328</c:v>
                </c:pt>
                <c:pt idx="7">
                  <c:v>13996.8</c:v>
                </c:pt>
                <c:pt idx="8">
                  <c:v>8398.0799999999981</c:v>
                </c:pt>
                <c:pt idx="9">
                  <c:v>5038.8479999999981</c:v>
                </c:pt>
                <c:pt idx="10">
                  <c:v>3023.3087999999989</c:v>
                </c:pt>
                <c:pt idx="11">
                  <c:v>1813.9852799999994</c:v>
                </c:pt>
                <c:pt idx="12">
                  <c:v>1088.3911679999997</c:v>
                </c:pt>
                <c:pt idx="13">
                  <c:v>653.03470079999977</c:v>
                </c:pt>
                <c:pt idx="14">
                  <c:v>391.82082047999984</c:v>
                </c:pt>
                <c:pt idx="15">
                  <c:v>235.0924922879999</c:v>
                </c:pt>
                <c:pt idx="16">
                  <c:v>141.05549537279995</c:v>
                </c:pt>
                <c:pt idx="17">
                  <c:v>84.633297223679975</c:v>
                </c:pt>
                <c:pt idx="18">
                  <c:v>50.779978334207989</c:v>
                </c:pt>
                <c:pt idx="19">
                  <c:v>30.467987000524793</c:v>
                </c:pt>
                <c:pt idx="20">
                  <c:v>18.280792200314878</c:v>
                </c:pt>
                <c:pt idx="21">
                  <c:v>10.968475320188926</c:v>
                </c:pt>
                <c:pt idx="22">
                  <c:v>6.5810851921133553</c:v>
                </c:pt>
                <c:pt idx="23">
                  <c:v>3.9486511152680133</c:v>
                </c:pt>
                <c:pt idx="24">
                  <c:v>2.3691906691608082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38-4409-AB9A-9B8C9008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05248"/>
        <c:axId val="614111232"/>
      </c:barChart>
      <c:catAx>
        <c:axId val="6141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1232"/>
        <c:crosses val="autoZero"/>
        <c:auto val="1"/>
        <c:lblAlgn val="ctr"/>
        <c:lblOffset val="100"/>
        <c:noMultiLvlLbl val="0"/>
      </c:catAx>
      <c:valAx>
        <c:axId val="6141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'4.3'!$A$7</c:f>
              <c:strCache>
                <c:ptCount val="1"/>
                <c:pt idx="0">
                  <c:v>Плотность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'4.3'!$B$6:$F$6</c:f>
              <c:strCache>
                <c:ptCount val="5"/>
                <c:pt idx="0">
                  <c:v>1 год</c:v>
                </c:pt>
                <c:pt idx="1">
                  <c:v>2 год</c:v>
                </c:pt>
                <c:pt idx="2">
                  <c:v>3 год</c:v>
                </c:pt>
                <c:pt idx="3">
                  <c:v>4 год</c:v>
                </c:pt>
                <c:pt idx="4">
                  <c:v>5 год</c:v>
                </c:pt>
              </c:strCache>
            </c:strRef>
          </c:cat>
          <c:val>
            <c:numRef>
              <c:f>'4.3'!$B$7:$F$7</c:f>
              <c:numCache>
                <c:formatCode>0</c:formatCode>
                <c:ptCount val="5"/>
                <c:pt idx="0">
                  <c:v>130</c:v>
                </c:pt>
                <c:pt idx="1">
                  <c:v>179.4</c:v>
                </c:pt>
                <c:pt idx="2">
                  <c:v>247.572</c:v>
                </c:pt>
                <c:pt idx="3">
                  <c:v>341.64936</c:v>
                </c:pt>
                <c:pt idx="4">
                  <c:v>392.89676400000002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AA-4914-8328-17EACEF23FF5}"/>
            </c:ext>
          </c:extLst>
        </c:ser>
        <c:ser>
          <c:idx val="1"/>
          <c:order val="1"/>
          <c:tx>
            <c:strRef>
              <c:f>'4.3'!$A$8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'4.3'!$B$6:$F$6</c:f>
              <c:strCache>
                <c:ptCount val="5"/>
                <c:pt idx="0">
                  <c:v>1 год</c:v>
                </c:pt>
                <c:pt idx="1">
                  <c:v>2 год</c:v>
                </c:pt>
                <c:pt idx="2">
                  <c:v>3 год</c:v>
                </c:pt>
                <c:pt idx="3">
                  <c:v>4 год</c:v>
                </c:pt>
                <c:pt idx="4">
                  <c:v>5 год</c:v>
                </c:pt>
              </c:strCache>
            </c:strRef>
          </c:cat>
          <c:val>
            <c:numRef>
              <c:f>'4.3'!$B$8:$F$8</c:f>
              <c:numCache>
                <c:formatCode>0</c:formatCode>
                <c:ptCount val="5"/>
                <c:pt idx="0">
                  <c:v>84.5</c:v>
                </c:pt>
                <c:pt idx="1">
                  <c:v>116.61000000000001</c:v>
                </c:pt>
                <c:pt idx="2">
                  <c:v>160.92180000000002</c:v>
                </c:pt>
                <c:pt idx="3">
                  <c:v>222.07208400000002</c:v>
                </c:pt>
                <c:pt idx="4">
                  <c:v>255.38289660000001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4AA-4914-8328-17EACEF23FF5}"/>
            </c:ext>
          </c:extLst>
        </c:ser>
        <c:ser>
          <c:idx val="2"/>
          <c:order val="2"/>
          <c:tx>
            <c:strRef>
              <c:f>'4.3'!$A$9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'4.3'!$B$6:$F$6</c:f>
              <c:strCache>
                <c:ptCount val="5"/>
                <c:pt idx="0">
                  <c:v>1 год</c:v>
                </c:pt>
                <c:pt idx="1">
                  <c:v>2 год</c:v>
                </c:pt>
                <c:pt idx="2">
                  <c:v>3 год</c:v>
                </c:pt>
                <c:pt idx="3">
                  <c:v>4 год</c:v>
                </c:pt>
                <c:pt idx="4">
                  <c:v>5 год</c:v>
                </c:pt>
              </c:strCache>
            </c:strRef>
          </c:cat>
          <c:val>
            <c:numRef>
              <c:f>'4.3'!$B$9:$F$9</c:f>
              <c:numCache>
                <c:formatCode>0</c:formatCode>
                <c:ptCount val="5"/>
                <c:pt idx="0">
                  <c:v>35.1</c:v>
                </c:pt>
                <c:pt idx="1">
                  <c:v>48.438000000000002</c:v>
                </c:pt>
                <c:pt idx="2">
                  <c:v>66.844440000000006</c:v>
                </c:pt>
                <c:pt idx="3">
                  <c:v>170.82468</c:v>
                </c:pt>
                <c:pt idx="4">
                  <c:v>196.44838200000001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4AA-4914-8328-17EACEF23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13952"/>
        <c:axId val="614111776"/>
      </c:lineChart>
      <c:catAx>
        <c:axId val="61411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1776"/>
        <c:crosses val="autoZero"/>
        <c:auto val="1"/>
        <c:lblAlgn val="ctr"/>
        <c:lblOffset val="100"/>
        <c:noMultiLvlLbl val="0"/>
      </c:catAx>
      <c:valAx>
        <c:axId val="6141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12000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5531036745406819"/>
          <c:h val="0.6191746864975211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'5.1'!$A$6:$A$35</c:f>
              <c:strCache>
                <c:ptCount val="30"/>
                <c:pt idx="0">
                  <c:v>1 день (г.)</c:v>
                </c:pt>
                <c:pt idx="1">
                  <c:v>2 день (г.)</c:v>
                </c:pt>
                <c:pt idx="2">
                  <c:v>3 день (г.)</c:v>
                </c:pt>
                <c:pt idx="3">
                  <c:v>4 день (г.)</c:v>
                </c:pt>
                <c:pt idx="4">
                  <c:v>5 день (г.)</c:v>
                </c:pt>
                <c:pt idx="5">
                  <c:v>6 день (г.)</c:v>
                </c:pt>
                <c:pt idx="6">
                  <c:v>7 день (г.)</c:v>
                </c:pt>
                <c:pt idx="7">
                  <c:v>8 день (г.)</c:v>
                </c:pt>
                <c:pt idx="8">
                  <c:v>9 день (г.)</c:v>
                </c:pt>
                <c:pt idx="9">
                  <c:v>10 день (г.)</c:v>
                </c:pt>
                <c:pt idx="10">
                  <c:v>11 день (г.)</c:v>
                </c:pt>
                <c:pt idx="11">
                  <c:v>12 день (г.)</c:v>
                </c:pt>
                <c:pt idx="12">
                  <c:v>13 день (г.)</c:v>
                </c:pt>
                <c:pt idx="13">
                  <c:v>14 день (г.)</c:v>
                </c:pt>
                <c:pt idx="14">
                  <c:v>15 день (г.)</c:v>
                </c:pt>
                <c:pt idx="15">
                  <c:v>16 день (г.)</c:v>
                </c:pt>
                <c:pt idx="16">
                  <c:v>17 день (г.)</c:v>
                </c:pt>
                <c:pt idx="17">
                  <c:v>18 день (г.)</c:v>
                </c:pt>
                <c:pt idx="18">
                  <c:v>19 день (г.)</c:v>
                </c:pt>
                <c:pt idx="19">
                  <c:v>20 день (г.)</c:v>
                </c:pt>
                <c:pt idx="20">
                  <c:v>21 день (г.)</c:v>
                </c:pt>
                <c:pt idx="21">
                  <c:v>22 день (г.)</c:v>
                </c:pt>
                <c:pt idx="22">
                  <c:v>23 день (г.)</c:v>
                </c:pt>
                <c:pt idx="23">
                  <c:v>24 день (г.)</c:v>
                </c:pt>
                <c:pt idx="24">
                  <c:v>25 день (г.)</c:v>
                </c:pt>
                <c:pt idx="25">
                  <c:v>26 день (г.)</c:v>
                </c:pt>
                <c:pt idx="26">
                  <c:v>27 день (г.)</c:v>
                </c:pt>
                <c:pt idx="27">
                  <c:v>28 день (г.)</c:v>
                </c:pt>
                <c:pt idx="28">
                  <c:v>29 день (г.)</c:v>
                </c:pt>
                <c:pt idx="29">
                  <c:v>30 день (г.)</c:v>
                </c:pt>
              </c:strCache>
            </c:strRef>
          </c:cat>
          <c:val>
            <c:numRef>
              <c:f>'5.1'!$B$6:$B$35</c:f>
              <c:numCache>
                <c:formatCode>0</c:formatCode>
                <c:ptCount val="30"/>
                <c:pt idx="0">
                  <c:v>12000</c:v>
                </c:pt>
                <c:pt idx="1">
                  <c:v>7600</c:v>
                </c:pt>
                <c:pt idx="2">
                  <c:v>7424</c:v>
                </c:pt>
                <c:pt idx="3">
                  <c:v>7336.4223999999995</c:v>
                </c:pt>
                <c:pt idx="4">
                  <c:v>7290.5354368778226</c:v>
                </c:pt>
                <c:pt idx="5">
                  <c:v>7265.8801781185139</c:v>
                </c:pt>
                <c:pt idx="6">
                  <c:v>7252.4588799594749</c:v>
                </c:pt>
                <c:pt idx="7">
                  <c:v>7245.101779368646</c:v>
                </c:pt>
                <c:pt idx="8">
                  <c:v>7241.053579396219</c:v>
                </c:pt>
                <c:pt idx="9">
                  <c:v>7238.821464823759</c:v>
                </c:pt>
                <c:pt idx="10">
                  <c:v>7237.5893096881991</c:v>
                </c:pt>
                <c:pt idx="11">
                  <c:v>7236.9087178051086</c:v>
                </c:pt>
                <c:pt idx="12">
                  <c:v>7236.5326566258591</c:v>
                </c:pt>
                <c:pt idx="13">
                  <c:v>7236.3248242104673</c:v>
                </c:pt>
                <c:pt idx="14">
                  <c:v>7236.2099522724693</c:v>
                </c:pt>
                <c:pt idx="15">
                  <c:v>7236.1464572082259</c:v>
                </c:pt>
                <c:pt idx="16">
                  <c:v>7236.1113593997361</c:v>
                </c:pt>
                <c:pt idx="17">
                  <c:v>7236.0919582360821</c:v>
                </c:pt>
                <c:pt idx="18">
                  <c:v>7236.0812336672734</c:v>
                </c:pt>
                <c:pt idx="19">
                  <c:v>7236.0753053113767</c:v>
                </c:pt>
                <c:pt idx="20">
                  <c:v>7236.0720282090406</c:v>
                </c:pt>
                <c:pt idx="21">
                  <c:v>7236.0702166751507</c:v>
                </c:pt>
                <c:pt idx="22">
                  <c:v>7236.0692152849842</c:v>
                </c:pt>
                <c:pt idx="23">
                  <c:v>7236.0686617304636</c:v>
                </c:pt>
                <c:pt idx="24">
                  <c:v>7236.0683557331577</c:v>
                </c:pt>
                <c:pt idx="25">
                  <c:v>7236.0681865820388</c:v>
                </c:pt>
                <c:pt idx="26">
                  <c:v>7236.0680930776107</c:v>
                </c:pt>
                <c:pt idx="27">
                  <c:v>7236.0680413896371</c:v>
                </c:pt>
                <c:pt idx="28">
                  <c:v>7236.068012817228</c:v>
                </c:pt>
                <c:pt idx="29">
                  <c:v>7236.0679970227884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959-4631-9C39-B1FD32B8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12320"/>
        <c:axId val="614115040"/>
      </c:lineChart>
      <c:catAx>
        <c:axId val="6141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5040"/>
        <c:crosses val="autoZero"/>
        <c:auto val="1"/>
        <c:lblAlgn val="ctr"/>
        <c:lblOffset val="100"/>
        <c:noMultiLvlLbl val="0"/>
      </c:catAx>
      <c:valAx>
        <c:axId val="6141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13000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'5.1'!$D$6:$D$35</c:f>
              <c:strCache>
                <c:ptCount val="30"/>
                <c:pt idx="0">
                  <c:v>1 день (г.)</c:v>
                </c:pt>
                <c:pt idx="1">
                  <c:v>2 день (г.)</c:v>
                </c:pt>
                <c:pt idx="2">
                  <c:v>3 день (г.)</c:v>
                </c:pt>
                <c:pt idx="3">
                  <c:v>4 день (г.)</c:v>
                </c:pt>
                <c:pt idx="4">
                  <c:v>5 день (г.)</c:v>
                </c:pt>
                <c:pt idx="5">
                  <c:v>6 день (г.)</c:v>
                </c:pt>
                <c:pt idx="6">
                  <c:v>7 день (г.)</c:v>
                </c:pt>
                <c:pt idx="7">
                  <c:v>8 день (г.)</c:v>
                </c:pt>
                <c:pt idx="8">
                  <c:v>9 день (г.)</c:v>
                </c:pt>
                <c:pt idx="9">
                  <c:v>10 день (г.)</c:v>
                </c:pt>
                <c:pt idx="10">
                  <c:v>11 день (г.)</c:v>
                </c:pt>
                <c:pt idx="11">
                  <c:v>12 день (г.)</c:v>
                </c:pt>
                <c:pt idx="12">
                  <c:v>13 день (г.)</c:v>
                </c:pt>
                <c:pt idx="13">
                  <c:v>14 день (г.)</c:v>
                </c:pt>
                <c:pt idx="14">
                  <c:v>15 день (г.)</c:v>
                </c:pt>
                <c:pt idx="15">
                  <c:v>16 день (г.)</c:v>
                </c:pt>
                <c:pt idx="16">
                  <c:v>17 день (г.)</c:v>
                </c:pt>
                <c:pt idx="17">
                  <c:v>18 день (г.)</c:v>
                </c:pt>
                <c:pt idx="18">
                  <c:v>19 день (г.)</c:v>
                </c:pt>
                <c:pt idx="19">
                  <c:v>20 день (г.)</c:v>
                </c:pt>
                <c:pt idx="20">
                  <c:v>21 день (г.)</c:v>
                </c:pt>
                <c:pt idx="21">
                  <c:v>22 день (г.)</c:v>
                </c:pt>
                <c:pt idx="22">
                  <c:v>23 день (г.)</c:v>
                </c:pt>
                <c:pt idx="23">
                  <c:v>24 день (г.)</c:v>
                </c:pt>
                <c:pt idx="24">
                  <c:v>25 день (г.)</c:v>
                </c:pt>
                <c:pt idx="25">
                  <c:v>26 день (г.)</c:v>
                </c:pt>
                <c:pt idx="26">
                  <c:v>27 день (г.)</c:v>
                </c:pt>
                <c:pt idx="27">
                  <c:v>28 день (г.)</c:v>
                </c:pt>
                <c:pt idx="28">
                  <c:v>29 день (г.)</c:v>
                </c:pt>
                <c:pt idx="29">
                  <c:v>30 день (г.)</c:v>
                </c:pt>
              </c:strCache>
            </c:strRef>
          </c:cat>
          <c:val>
            <c:numRef>
              <c:f>'5.1'!$E$6:$E$35</c:f>
              <c:numCache>
                <c:formatCode>0</c:formatCode>
                <c:ptCount val="30"/>
                <c:pt idx="0">
                  <c:v>13000</c:v>
                </c:pt>
                <c:pt idx="1">
                  <c:v>7100</c:v>
                </c:pt>
                <c:pt idx="2">
                  <c:v>7159</c:v>
                </c:pt>
                <c:pt idx="3">
                  <c:v>7192.8719000000001</c:v>
                </c:pt>
                <c:pt idx="4">
                  <c:v>7212.0031830190383</c:v>
                </c:pt>
                <c:pt idx="5">
                  <c:v>7222.7073748504026</c:v>
                </c:pt>
                <c:pt idx="6">
                  <c:v>7228.6645674289648</c:v>
                </c:pt>
                <c:pt idx="7">
                  <c:v>7231.9699920176317</c:v>
                </c:pt>
                <c:pt idx="8">
                  <c:v>7233.800987490913</c:v>
                </c:pt>
                <c:pt idx="9">
                  <c:v>7234.8143023193752</c:v>
                </c:pt>
                <c:pt idx="10">
                  <c:v>7235.3748057342509</c:v>
                </c:pt>
                <c:pt idx="11">
                  <c:v>7235.6847535231063</c:v>
                </c:pt>
                <c:pt idx="12">
                  <c:v>7235.8561218095383</c:v>
                </c:pt>
                <c:pt idx="13">
                  <c:v>7235.95086206622</c:v>
                </c:pt>
                <c:pt idx="14">
                  <c:v>7236.0032363087521</c:v>
                </c:pt>
                <c:pt idx="15">
                  <c:v>7236.0321890304313</c:v>
                </c:pt>
                <c:pt idx="16">
                  <c:v>7236.0481939924084</c:v>
                </c:pt>
                <c:pt idx="17">
                  <c:v>7236.057041406737</c:v>
                </c:pt>
                <c:pt idx="18">
                  <c:v>7236.0619321642716</c:v>
                </c:pt>
                <c:pt idx="19">
                  <c:v>7236.0646357168498</c:v>
                </c:pt>
                <c:pt idx="20">
                  <c:v>7236.0661302064964</c:v>
                </c:pt>
                <c:pt idx="21">
                  <c:v>7236.0669563408301</c:v>
                </c:pt>
                <c:pt idx="22">
                  <c:v>7236.0674130168954</c:v>
                </c:pt>
                <c:pt idx="23">
                  <c:v>7236.0676654612889</c:v>
                </c:pt>
                <c:pt idx="24">
                  <c:v>7236.0678050091392</c:v>
                </c:pt>
                <c:pt idx="25">
                  <c:v>7236.0678821493002</c:v>
                </c:pt>
                <c:pt idx="26">
                  <c:v>7236.067924791334</c:v>
                </c:pt>
                <c:pt idx="27">
                  <c:v>7236.0679483632721</c:v>
                </c:pt>
                <c:pt idx="28">
                  <c:v>7236.067961393519</c:v>
                </c:pt>
                <c:pt idx="29">
                  <c:v>7236.0679685964624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5B-4926-8F4F-C07E6C27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08512"/>
        <c:axId val="614106880"/>
      </c:lineChart>
      <c:catAx>
        <c:axId val="6141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6880"/>
        <c:crosses val="autoZero"/>
        <c:auto val="1"/>
        <c:lblAlgn val="ctr"/>
        <c:lblOffset val="100"/>
        <c:noMultiLvlLbl val="0"/>
      </c:catAx>
      <c:valAx>
        <c:axId val="6141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14000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'5.1'!$G$6:$G$35</c:f>
              <c:strCache>
                <c:ptCount val="30"/>
                <c:pt idx="0">
                  <c:v>1 день (г.)</c:v>
                </c:pt>
                <c:pt idx="1">
                  <c:v>2 день (г.)</c:v>
                </c:pt>
                <c:pt idx="2">
                  <c:v>3 день (г.)</c:v>
                </c:pt>
                <c:pt idx="3">
                  <c:v>4 день (г.)</c:v>
                </c:pt>
                <c:pt idx="4">
                  <c:v>5 день (г.)</c:v>
                </c:pt>
                <c:pt idx="5">
                  <c:v>6 день (г.)</c:v>
                </c:pt>
                <c:pt idx="6">
                  <c:v>7 день (г.)</c:v>
                </c:pt>
                <c:pt idx="7">
                  <c:v>8 день (г.)</c:v>
                </c:pt>
                <c:pt idx="8">
                  <c:v>9 день (г.)</c:v>
                </c:pt>
                <c:pt idx="9">
                  <c:v>10 день (г.)</c:v>
                </c:pt>
                <c:pt idx="10">
                  <c:v>11 день (г.)</c:v>
                </c:pt>
                <c:pt idx="11">
                  <c:v>12 день (г.)</c:v>
                </c:pt>
                <c:pt idx="12">
                  <c:v>13 день (г.)</c:v>
                </c:pt>
                <c:pt idx="13">
                  <c:v>14 день (г.)</c:v>
                </c:pt>
                <c:pt idx="14">
                  <c:v>15 день (г.)</c:v>
                </c:pt>
                <c:pt idx="15">
                  <c:v>16 день (г.)</c:v>
                </c:pt>
                <c:pt idx="16">
                  <c:v>17 день (г.)</c:v>
                </c:pt>
                <c:pt idx="17">
                  <c:v>18 день (г.)</c:v>
                </c:pt>
                <c:pt idx="18">
                  <c:v>19 день (г.)</c:v>
                </c:pt>
                <c:pt idx="19">
                  <c:v>20 день (г.)</c:v>
                </c:pt>
                <c:pt idx="20">
                  <c:v>21 день (г.)</c:v>
                </c:pt>
                <c:pt idx="21">
                  <c:v>22 день (г.)</c:v>
                </c:pt>
                <c:pt idx="22">
                  <c:v>23 день (г.)</c:v>
                </c:pt>
                <c:pt idx="23">
                  <c:v>24 день (г.)</c:v>
                </c:pt>
                <c:pt idx="24">
                  <c:v>25 день (г.)</c:v>
                </c:pt>
                <c:pt idx="25">
                  <c:v>26 день (г.)</c:v>
                </c:pt>
                <c:pt idx="26">
                  <c:v>27 день (г.)</c:v>
                </c:pt>
                <c:pt idx="27">
                  <c:v>28 день (г.)</c:v>
                </c:pt>
                <c:pt idx="28">
                  <c:v>29 день (г.)</c:v>
                </c:pt>
                <c:pt idx="29">
                  <c:v>30 день (г.)</c:v>
                </c:pt>
              </c:strCache>
            </c:strRef>
          </c:cat>
          <c:val>
            <c:numRef>
              <c:f>'5.1'!$H$6:$H$35</c:f>
              <c:numCache>
                <c:formatCode>0</c:formatCode>
                <c:ptCount val="30"/>
                <c:pt idx="0">
                  <c:v>14000</c:v>
                </c:pt>
                <c:pt idx="1">
                  <c:v>6399.9999999999982</c:v>
                </c:pt>
                <c:pt idx="2">
                  <c:v>6703.9999999999982</c:v>
                </c:pt>
                <c:pt idx="3">
                  <c:v>6913.638399999998</c:v>
                </c:pt>
                <c:pt idx="4">
                  <c:v>7047.4372074045423</c:v>
                </c:pt>
                <c:pt idx="5">
                  <c:v>7128.237295578092</c:v>
                </c:pt>
                <c:pt idx="6">
                  <c:v>7175.297896949136</c:v>
                </c:pt>
                <c:pt idx="7">
                  <c:v>7202.1058029020023</c:v>
                </c:pt>
                <c:pt idx="8">
                  <c:v>7217.1788061845346</c:v>
                </c:pt>
                <c:pt idx="9">
                  <c:v>7225.590620325147</c:v>
                </c:pt>
                <c:pt idx="10">
                  <c:v>7230.2652593972198</c:v>
                </c:pt>
                <c:pt idx="11">
                  <c:v>7232.8569466698045</c:v>
                </c:pt>
                <c:pt idx="12">
                  <c:v>7234.2919322406451</c:v>
                </c:pt>
                <c:pt idx="13">
                  <c:v>7235.0858883930814</c:v>
                </c:pt>
                <c:pt idx="14">
                  <c:v>7235.5249955436921</c:v>
                </c:pt>
                <c:pt idx="15">
                  <c:v>7235.767794973628</c:v>
                </c:pt>
                <c:pt idx="16">
                  <c:v>7235.9020316695041</c:v>
                </c:pt>
                <c:pt idx="17">
                  <c:v>7235.9762421471223</c:v>
                </c:pt>
                <c:pt idx="18">
                  <c:v>7236.0172666024846</c:v>
                </c:pt>
                <c:pt idx="19">
                  <c:v>7236.0399449480392</c:v>
                </c:pt>
                <c:pt idx="20">
                  <c:v>7236.0524814077162</c:v>
                </c:pt>
                <c:pt idx="21">
                  <c:v>7236.0594114467549</c:v>
                </c:pt>
                <c:pt idx="22">
                  <c:v>7236.0632422947947</c:v>
                </c:pt>
                <c:pt idx="23">
                  <c:v>7236.0653599406032</c:v>
                </c:pt>
                <c:pt idx="24">
                  <c:v>7236.0665305479743</c:v>
                </c:pt>
                <c:pt idx="25">
                  <c:v>7236.0671776442887</c:v>
                </c:pt>
                <c:pt idx="26">
                  <c:v>7236.0675353504794</c:v>
                </c:pt>
                <c:pt idx="27">
                  <c:v>7236.0677330856415</c:v>
                </c:pt>
                <c:pt idx="28">
                  <c:v>7236.0678423909649</c:v>
                </c:pt>
                <c:pt idx="29">
                  <c:v>7236.0679028134655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DA9-4F9C-AD01-5953748D4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07968"/>
        <c:axId val="614109600"/>
      </c:lineChart>
      <c:catAx>
        <c:axId val="6141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9600"/>
        <c:crosses val="autoZero"/>
        <c:auto val="1"/>
        <c:lblAlgn val="ctr"/>
        <c:lblOffset val="100"/>
        <c:noMultiLvlLbl val="0"/>
      </c:catAx>
      <c:valAx>
        <c:axId val="6141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'5.1'!$J$6:$J$35</c:f>
              <c:strCache>
                <c:ptCount val="30"/>
                <c:pt idx="0">
                  <c:v>1 день (г.)</c:v>
                </c:pt>
                <c:pt idx="1">
                  <c:v>2 день (г.)</c:v>
                </c:pt>
                <c:pt idx="2">
                  <c:v>3 день (г.)</c:v>
                </c:pt>
                <c:pt idx="3">
                  <c:v>4 день (г.)</c:v>
                </c:pt>
                <c:pt idx="4">
                  <c:v>5 день (г.)</c:v>
                </c:pt>
                <c:pt idx="5">
                  <c:v>6 день (г.)</c:v>
                </c:pt>
                <c:pt idx="6">
                  <c:v>7 день (г.)</c:v>
                </c:pt>
                <c:pt idx="7">
                  <c:v>8 день (г.)</c:v>
                </c:pt>
                <c:pt idx="8">
                  <c:v>9 день (г.)</c:v>
                </c:pt>
                <c:pt idx="9">
                  <c:v>10 день (г.)</c:v>
                </c:pt>
                <c:pt idx="10">
                  <c:v>11 день (г.)</c:v>
                </c:pt>
                <c:pt idx="11">
                  <c:v>12 день (г.)</c:v>
                </c:pt>
                <c:pt idx="12">
                  <c:v>13 день (г.)</c:v>
                </c:pt>
                <c:pt idx="13">
                  <c:v>14 день (г.)</c:v>
                </c:pt>
                <c:pt idx="14">
                  <c:v>15 день (г.)</c:v>
                </c:pt>
                <c:pt idx="15">
                  <c:v>16 день (г.)</c:v>
                </c:pt>
                <c:pt idx="16">
                  <c:v>17 день (г.)</c:v>
                </c:pt>
                <c:pt idx="17">
                  <c:v>18 день (г.)</c:v>
                </c:pt>
                <c:pt idx="18">
                  <c:v>19 день (г.)</c:v>
                </c:pt>
                <c:pt idx="19">
                  <c:v>20 день (г.)</c:v>
                </c:pt>
                <c:pt idx="20">
                  <c:v>21 день (г.)</c:v>
                </c:pt>
                <c:pt idx="21">
                  <c:v>22 день (г.)</c:v>
                </c:pt>
                <c:pt idx="22">
                  <c:v>23 день (г.)</c:v>
                </c:pt>
                <c:pt idx="23">
                  <c:v>24 день (г.)</c:v>
                </c:pt>
                <c:pt idx="24">
                  <c:v>25 день (г.)</c:v>
                </c:pt>
                <c:pt idx="25">
                  <c:v>26 день (г.)</c:v>
                </c:pt>
                <c:pt idx="26">
                  <c:v>27 день (г.)</c:v>
                </c:pt>
                <c:pt idx="27">
                  <c:v>28 день (г.)</c:v>
                </c:pt>
                <c:pt idx="28">
                  <c:v>29 день (г.)</c:v>
                </c:pt>
                <c:pt idx="29">
                  <c:v>30 день (г.)</c:v>
                </c:pt>
              </c:strCache>
            </c:strRef>
          </c:cat>
          <c:val>
            <c:numRef>
              <c:f>'5.1'!$K$6:$K$35</c:f>
              <c:numCache>
                <c:formatCode>0</c:formatCode>
                <c:ptCount val="30"/>
                <c:pt idx="0">
                  <c:v>15000</c:v>
                </c:pt>
                <c:pt idx="1">
                  <c:v>5500</c:v>
                </c:pt>
                <c:pt idx="2">
                  <c:v>5975</c:v>
                </c:pt>
                <c:pt idx="3">
                  <c:v>6379.9375</c:v>
                </c:pt>
                <c:pt idx="4">
                  <c:v>6689.5147496093741</c:v>
                </c:pt>
                <c:pt idx="5">
                  <c:v>6904.0687406946108</c:v>
                </c:pt>
                <c:pt idx="6">
                  <c:v>7041.5209637655753</c:v>
                </c:pt>
                <c:pt idx="7">
                  <c:v>7124.7401792161436</c:v>
                </c:pt>
                <c:pt idx="8">
                  <c:v>7173.2880962985982</c:v>
                </c:pt>
                <c:pt idx="9">
                  <c:v>7200.9699813472798</c:v>
                </c:pt>
                <c:pt idx="10">
                  <c:v>7216.5430954680942</c:v>
                </c:pt>
                <c:pt idx="11">
                  <c:v>7225.2367660613654</c:v>
                </c:pt>
                <c:pt idx="12">
                  <c:v>7230.0688995582404</c:v>
                </c:pt>
                <c:pt idx="13">
                  <c:v>7232.7481698805495</c:v>
                </c:pt>
                <c:pt idx="14">
                  <c:v>7234.2317308700549</c:v>
                </c:pt>
                <c:pt idx="15">
                  <c:v>7235.052588147395</c:v>
                </c:pt>
                <c:pt idx="16">
                  <c:v>7235.5065809689586</c:v>
                </c:pt>
                <c:pt idx="17">
                  <c:v>7235.7576136134066</c:v>
                </c:pt>
                <c:pt idx="18">
                  <c:v>7235.8964029303752</c:v>
                </c:pt>
                <c:pt idx="19">
                  <c:v>7235.9731304666766</c:v>
                </c:pt>
                <c:pt idx="20">
                  <c:v>7236.0155464497802</c:v>
                </c:pt>
                <c:pt idx="21">
                  <c:v>7236.0389940532696</c:v>
                </c:pt>
                <c:pt idx="22">
                  <c:v>7236.051955760593</c:v>
                </c:pt>
                <c:pt idx="23">
                  <c:v>7236.0591208745154</c:v>
                </c:pt>
                <c:pt idx="24">
                  <c:v>7236.0630816699031</c:v>
                </c:pt>
                <c:pt idx="25">
                  <c:v>7236.065271149193</c:v>
                </c:pt>
                <c:pt idx="26">
                  <c:v>7236.0664814652409</c:v>
                </c:pt>
                <c:pt idx="27">
                  <c:v>7236.0671505120063</c:v>
                </c:pt>
                <c:pt idx="28">
                  <c:v>7236.0675203521168</c:v>
                </c:pt>
                <c:pt idx="29">
                  <c:v>7236.0677247947497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1C5-41B7-93A8-49CEE953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13408"/>
        <c:axId val="614103072"/>
      </c:lineChart>
      <c:catAx>
        <c:axId val="61411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3072"/>
        <c:crosses val="autoZero"/>
        <c:auto val="1"/>
        <c:lblAlgn val="ctr"/>
        <c:lblOffset val="100"/>
        <c:noMultiLvlLbl val="0"/>
      </c:catAx>
      <c:valAx>
        <c:axId val="6141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1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'5.1'!$M$6:$M$14</c:f>
              <c:strCache>
                <c:ptCount val="9"/>
                <c:pt idx="0">
                  <c:v>1 день (г.)</c:v>
                </c:pt>
                <c:pt idx="1">
                  <c:v>2 день (г.)</c:v>
                </c:pt>
                <c:pt idx="2">
                  <c:v>3 день (г.)</c:v>
                </c:pt>
                <c:pt idx="3">
                  <c:v>4 день (г.)</c:v>
                </c:pt>
                <c:pt idx="4">
                  <c:v>5 день (г.)</c:v>
                </c:pt>
                <c:pt idx="5">
                  <c:v>6 день (г.)</c:v>
                </c:pt>
                <c:pt idx="6">
                  <c:v>7 день (г.)</c:v>
                </c:pt>
                <c:pt idx="7">
                  <c:v>8 день (г.)</c:v>
                </c:pt>
                <c:pt idx="8">
                  <c:v>9 день (г.)</c:v>
                </c:pt>
              </c:strCache>
            </c:strRef>
          </c:cat>
          <c:val>
            <c:numRef>
              <c:f>'5.1'!$N$6:$N$14</c:f>
              <c:numCache>
                <c:formatCode>0</c:formatCode>
                <c:ptCount val="9"/>
                <c:pt idx="0">
                  <c:v>17000</c:v>
                </c:pt>
                <c:pt idx="1">
                  <c:v>3099.9999999999964</c:v>
                </c:pt>
                <c:pt idx="2">
                  <c:v>3238.9999999999945</c:v>
                </c:pt>
                <c:pt idx="3">
                  <c:v>3428.8878999999924</c:v>
                </c:pt>
                <c:pt idx="4">
                  <c:v>3682.0485769233492</c:v>
                </c:pt>
                <c:pt idx="5">
                  <c:v>4008.3489815643725</c:v>
                </c:pt>
                <c:pt idx="6">
                  <c:v>4410.0118073279309</c:v>
                </c:pt>
                <c:pt idx="7">
                  <c:v>4875.203200578685</c:v>
                </c:pt>
                <c:pt idx="8">
                  <c:v>5373.6457764641036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C08-4870-9DC8-B88D252D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00896"/>
        <c:axId val="614101440"/>
      </c:lineChart>
      <c:catAx>
        <c:axId val="6141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1440"/>
        <c:crosses val="autoZero"/>
        <c:auto val="1"/>
        <c:lblAlgn val="ctr"/>
        <c:lblOffset val="100"/>
        <c:noMultiLvlLbl val="0"/>
      </c:catAx>
      <c:valAx>
        <c:axId val="6141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'5.2'!$B$9</c:f>
              <c:strCache>
                <c:ptCount val="1"/>
                <c:pt idx="0">
                  <c:v>Физические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'5.2'!$A$10:$A$40</c:f>
              <c:numCache>
                <c:formatCode>m/d/yyyy</c:formatCode>
                <c:ptCount val="31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45920</c:v>
                </c:pt>
                <c:pt idx="6">
                  <c:v>45921</c:v>
                </c:pt>
                <c:pt idx="7">
                  <c:v>45922</c:v>
                </c:pt>
                <c:pt idx="8">
                  <c:v>45923</c:v>
                </c:pt>
                <c:pt idx="9">
                  <c:v>45924</c:v>
                </c:pt>
                <c:pt idx="10">
                  <c:v>45925</c:v>
                </c:pt>
                <c:pt idx="11">
                  <c:v>45926</c:v>
                </c:pt>
                <c:pt idx="12">
                  <c:v>45927</c:v>
                </c:pt>
                <c:pt idx="13">
                  <c:v>45928</c:v>
                </c:pt>
                <c:pt idx="14">
                  <c:v>45929</c:v>
                </c:pt>
                <c:pt idx="15">
                  <c:v>45930</c:v>
                </c:pt>
                <c:pt idx="16">
                  <c:v>45931</c:v>
                </c:pt>
                <c:pt idx="17">
                  <c:v>45932</c:v>
                </c:pt>
                <c:pt idx="18">
                  <c:v>45933</c:v>
                </c:pt>
                <c:pt idx="19">
                  <c:v>45934</c:v>
                </c:pt>
                <c:pt idx="20">
                  <c:v>45935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45941</c:v>
                </c:pt>
                <c:pt idx="27">
                  <c:v>45942</c:v>
                </c:pt>
                <c:pt idx="28">
                  <c:v>45943</c:v>
                </c:pt>
                <c:pt idx="29">
                  <c:v>45944</c:v>
                </c:pt>
                <c:pt idx="30">
                  <c:v>45945</c:v>
                </c:pt>
              </c:numCache>
            </c:numRef>
          </c:cat>
          <c:val>
            <c:numRef>
              <c:f>'5.2'!$B$10:$B$40</c:f>
              <c:numCache>
                <c:formatCode>General</c:formatCode>
                <c:ptCount val="31"/>
                <c:pt idx="0">
                  <c:v>-0.94226092211877865</c:v>
                </c:pt>
                <c:pt idx="1">
                  <c:v>-0.99766876919053538</c:v>
                </c:pt>
                <c:pt idx="2">
                  <c:v>-0.97908408768236677</c:v>
                </c:pt>
                <c:pt idx="3">
                  <c:v>-0.88788521840233858</c:v>
                </c:pt>
                <c:pt idx="4">
                  <c:v>-0.73083596427817821</c:v>
                </c:pt>
                <c:pt idx="5">
                  <c:v>-0.519583950035443</c:v>
                </c:pt>
                <c:pt idx="6">
                  <c:v>-0.26979677115696921</c:v>
                </c:pt>
                <c:pt idx="7">
                  <c:v>-1.0193061672492121E-13</c:v>
                </c:pt>
                <c:pt idx="8">
                  <c:v>0.26979677115699185</c:v>
                </c:pt>
                <c:pt idx="9">
                  <c:v>0.51958395003526892</c:v>
                </c:pt>
                <c:pt idx="10">
                  <c:v>0.73083596427819431</c:v>
                </c:pt>
                <c:pt idx="11">
                  <c:v>0.88788521840234935</c:v>
                </c:pt>
                <c:pt idx="12">
                  <c:v>0.97908408768227906</c:v>
                </c:pt>
                <c:pt idx="13">
                  <c:v>0.99766876919053371</c:v>
                </c:pt>
                <c:pt idx="14">
                  <c:v>0.94226092211884693</c:v>
                </c:pt>
                <c:pt idx="15">
                  <c:v>0.81696989301044809</c:v>
                </c:pt>
                <c:pt idx="16">
                  <c:v>0.63108794432618442</c:v>
                </c:pt>
                <c:pt idx="17">
                  <c:v>0.39840108984633449</c:v>
                </c:pt>
                <c:pt idx="18">
                  <c:v>0.13616664909627943</c:v>
                </c:pt>
                <c:pt idx="19">
                  <c:v>-0.13616664909605611</c:v>
                </c:pt>
                <c:pt idx="20">
                  <c:v>-0.39840108984633626</c:v>
                </c:pt>
                <c:pt idx="21">
                  <c:v>-0.63108794432600956</c:v>
                </c:pt>
                <c:pt idx="22">
                  <c:v>-0.81696989301031808</c:v>
                </c:pt>
                <c:pt idx="23">
                  <c:v>-0.94226092211877144</c:v>
                </c:pt>
                <c:pt idx="24">
                  <c:v>-0.99766876919053382</c:v>
                </c:pt>
                <c:pt idx="25">
                  <c:v>-0.97908408768232491</c:v>
                </c:pt>
                <c:pt idx="26">
                  <c:v>-0.88788521840245305</c:v>
                </c:pt>
                <c:pt idx="27">
                  <c:v>-0.73083596427803776</c:v>
                </c:pt>
                <c:pt idx="28">
                  <c:v>-0.51958395003546143</c:v>
                </c:pt>
                <c:pt idx="29">
                  <c:v>-0.2697967711572089</c:v>
                </c:pt>
                <c:pt idx="30">
                  <c:v>1.0388174695452612E-13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599-4270-AC2C-8FEC06DFBFAC}"/>
            </c:ext>
          </c:extLst>
        </c:ser>
        <c:ser>
          <c:idx val="1"/>
          <c:order val="1"/>
          <c:tx>
            <c:strRef>
              <c:f>'5.2'!$C$9</c:f>
              <c:strCache>
                <c:ptCount val="1"/>
                <c:pt idx="0">
                  <c:v>Эмоциональные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'5.2'!$A$10:$A$40</c:f>
              <c:numCache>
                <c:formatCode>m/d/yyyy</c:formatCode>
                <c:ptCount val="31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45920</c:v>
                </c:pt>
                <c:pt idx="6">
                  <c:v>45921</c:v>
                </c:pt>
                <c:pt idx="7">
                  <c:v>45922</c:v>
                </c:pt>
                <c:pt idx="8">
                  <c:v>45923</c:v>
                </c:pt>
                <c:pt idx="9">
                  <c:v>45924</c:v>
                </c:pt>
                <c:pt idx="10">
                  <c:v>45925</c:v>
                </c:pt>
                <c:pt idx="11">
                  <c:v>45926</c:v>
                </c:pt>
                <c:pt idx="12">
                  <c:v>45927</c:v>
                </c:pt>
                <c:pt idx="13">
                  <c:v>45928</c:v>
                </c:pt>
                <c:pt idx="14">
                  <c:v>45929</c:v>
                </c:pt>
                <c:pt idx="15">
                  <c:v>45930</c:v>
                </c:pt>
                <c:pt idx="16">
                  <c:v>45931</c:v>
                </c:pt>
                <c:pt idx="17">
                  <c:v>45932</c:v>
                </c:pt>
                <c:pt idx="18">
                  <c:v>45933</c:v>
                </c:pt>
                <c:pt idx="19">
                  <c:v>45934</c:v>
                </c:pt>
                <c:pt idx="20">
                  <c:v>45935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45941</c:v>
                </c:pt>
                <c:pt idx="27">
                  <c:v>45942</c:v>
                </c:pt>
                <c:pt idx="28">
                  <c:v>45943</c:v>
                </c:pt>
                <c:pt idx="29">
                  <c:v>45944</c:v>
                </c:pt>
                <c:pt idx="30">
                  <c:v>45945</c:v>
                </c:pt>
              </c:numCache>
            </c:numRef>
          </c:cat>
          <c:val>
            <c:numRef>
              <c:f>'5.2'!$C$10:$C$40</c:f>
              <c:numCache>
                <c:formatCode>General</c:formatCode>
                <c:ptCount val="31"/>
                <c:pt idx="0">
                  <c:v>0.90096886790236752</c:v>
                </c:pt>
                <c:pt idx="1">
                  <c:v>0.9749279121817952</c:v>
                </c:pt>
                <c:pt idx="2">
                  <c:v>1</c:v>
                </c:pt>
                <c:pt idx="3">
                  <c:v>0.97492791218180541</c:v>
                </c:pt>
                <c:pt idx="4">
                  <c:v>0.9009688679024862</c:v>
                </c:pt>
                <c:pt idx="5">
                  <c:v>0.78183148246798995</c:v>
                </c:pt>
                <c:pt idx="6">
                  <c:v>0.62348980185869041</c:v>
                </c:pt>
                <c:pt idx="7">
                  <c:v>0.43388373911772138</c:v>
                </c:pt>
                <c:pt idx="8">
                  <c:v>0.22252093395627803</c:v>
                </c:pt>
                <c:pt idx="9">
                  <c:v>1.989556523002145E-13</c:v>
                </c:pt>
                <c:pt idx="10">
                  <c:v>-0.22252093395633343</c:v>
                </c:pt>
                <c:pt idx="11">
                  <c:v>-0.43388373911756772</c:v>
                </c:pt>
                <c:pt idx="12">
                  <c:v>-0.62348980185855718</c:v>
                </c:pt>
                <c:pt idx="13">
                  <c:v>-0.78183148246802536</c:v>
                </c:pt>
                <c:pt idx="14">
                  <c:v>-0.90096886790241215</c:v>
                </c:pt>
                <c:pt idx="15">
                  <c:v>-0.97492791218181807</c:v>
                </c:pt>
                <c:pt idx="16">
                  <c:v>-1</c:v>
                </c:pt>
                <c:pt idx="17">
                  <c:v>-0.97492791218188368</c:v>
                </c:pt>
                <c:pt idx="18">
                  <c:v>-0.90096886790244146</c:v>
                </c:pt>
                <c:pt idx="19">
                  <c:v>-0.78183148246806755</c:v>
                </c:pt>
                <c:pt idx="20">
                  <c:v>-0.62348980185878777</c:v>
                </c:pt>
                <c:pt idx="21">
                  <c:v>-0.43388373911762862</c:v>
                </c:pt>
                <c:pt idx="22">
                  <c:v>-0.22252093395639938</c:v>
                </c:pt>
                <c:pt idx="23">
                  <c:v>-9.6049470460490838E-14</c:v>
                </c:pt>
                <c:pt idx="24">
                  <c:v>0.22252093395621209</c:v>
                </c:pt>
                <c:pt idx="25">
                  <c:v>0.43388373911766043</c:v>
                </c:pt>
                <c:pt idx="26">
                  <c:v>0.62348980185863756</c:v>
                </c:pt>
                <c:pt idx="27">
                  <c:v>0.78183148246808953</c:v>
                </c:pt>
                <c:pt idx="28">
                  <c:v>0.90096886790235819</c:v>
                </c:pt>
                <c:pt idx="29">
                  <c:v>0.97492791218179031</c:v>
                </c:pt>
                <c:pt idx="3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599-4270-AC2C-8FEC06DFBFAC}"/>
            </c:ext>
          </c:extLst>
        </c:ser>
        <c:ser>
          <c:idx val="2"/>
          <c:order val="2"/>
          <c:tx>
            <c:strRef>
              <c:f>'5.2'!$D$9</c:f>
              <c:strCache>
                <c:ptCount val="1"/>
                <c:pt idx="0">
                  <c:v>Интелектуальные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'5.2'!$A$10:$A$40</c:f>
              <c:numCache>
                <c:formatCode>m/d/yyyy</c:formatCode>
                <c:ptCount val="31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45920</c:v>
                </c:pt>
                <c:pt idx="6">
                  <c:v>45921</c:v>
                </c:pt>
                <c:pt idx="7">
                  <c:v>45922</c:v>
                </c:pt>
                <c:pt idx="8">
                  <c:v>45923</c:v>
                </c:pt>
                <c:pt idx="9">
                  <c:v>45924</c:v>
                </c:pt>
                <c:pt idx="10">
                  <c:v>45925</c:v>
                </c:pt>
                <c:pt idx="11">
                  <c:v>45926</c:v>
                </c:pt>
                <c:pt idx="12">
                  <c:v>45927</c:v>
                </c:pt>
                <c:pt idx="13">
                  <c:v>45928</c:v>
                </c:pt>
                <c:pt idx="14">
                  <c:v>45929</c:v>
                </c:pt>
                <c:pt idx="15">
                  <c:v>45930</c:v>
                </c:pt>
                <c:pt idx="16">
                  <c:v>45931</c:v>
                </c:pt>
                <c:pt idx="17">
                  <c:v>45932</c:v>
                </c:pt>
                <c:pt idx="18">
                  <c:v>45933</c:v>
                </c:pt>
                <c:pt idx="19">
                  <c:v>45934</c:v>
                </c:pt>
                <c:pt idx="20">
                  <c:v>45935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45941</c:v>
                </c:pt>
                <c:pt idx="27">
                  <c:v>45942</c:v>
                </c:pt>
                <c:pt idx="28">
                  <c:v>45943</c:v>
                </c:pt>
                <c:pt idx="29">
                  <c:v>45944</c:v>
                </c:pt>
                <c:pt idx="30">
                  <c:v>45945</c:v>
                </c:pt>
              </c:numCache>
            </c:numRef>
          </c:cat>
          <c:val>
            <c:numRef>
              <c:f>'5.2'!$D$10:$D$40</c:f>
              <c:numCache>
                <c:formatCode>General</c:formatCode>
                <c:ptCount val="31"/>
                <c:pt idx="0">
                  <c:v>-0.69007901148224982</c:v>
                </c:pt>
                <c:pt idx="1">
                  <c:v>-0.54064081745561343</c:v>
                </c:pt>
                <c:pt idx="2">
                  <c:v>-0.37166245566039685</c:v>
                </c:pt>
                <c:pt idx="3">
                  <c:v>-0.18925124436031501</c:v>
                </c:pt>
                <c:pt idx="4">
                  <c:v>-1.8621432520959935E-13</c:v>
                </c:pt>
                <c:pt idx="5">
                  <c:v>0.18925124436039586</c:v>
                </c:pt>
                <c:pt idx="6">
                  <c:v>0.37166245566026218</c:v>
                </c:pt>
                <c:pt idx="7">
                  <c:v>0.54064081745549142</c:v>
                </c:pt>
                <c:pt idx="8">
                  <c:v>0.6900790114821449</c:v>
                </c:pt>
                <c:pt idx="9">
                  <c:v>0.81457595205032973</c:v>
                </c:pt>
                <c:pt idx="10">
                  <c:v>0.90963199535449091</c:v>
                </c:pt>
                <c:pt idx="11">
                  <c:v>0.9718115683235129</c:v>
                </c:pt>
                <c:pt idx="12">
                  <c:v>0.99886733918299953</c:v>
                </c:pt>
                <c:pt idx="13">
                  <c:v>0.98982144188093357</c:v>
                </c:pt>
                <c:pt idx="14">
                  <c:v>0.94500081871468866</c:v>
                </c:pt>
                <c:pt idx="15">
                  <c:v>0.86602540378438375</c:v>
                </c:pt>
                <c:pt idx="16">
                  <c:v>0.75574957435422296</c:v>
                </c:pt>
                <c:pt idx="17">
                  <c:v>0.61815898622078536</c:v>
                </c:pt>
                <c:pt idx="18">
                  <c:v>0.45822652172746153</c:v>
                </c:pt>
                <c:pt idx="19">
                  <c:v>0.28173255684153842</c:v>
                </c:pt>
                <c:pt idx="20">
                  <c:v>9.5056043304124663E-2</c:v>
                </c:pt>
                <c:pt idx="21">
                  <c:v>-9.5056043304185142E-2</c:v>
                </c:pt>
                <c:pt idx="22">
                  <c:v>-0.2817325568413786</c:v>
                </c:pt>
                <c:pt idx="23">
                  <c:v>-0.45822652172731348</c:v>
                </c:pt>
                <c:pt idx="24">
                  <c:v>-0.6181589862204756</c:v>
                </c:pt>
                <c:pt idx="25">
                  <c:v>-0.75574957435426271</c:v>
                </c:pt>
                <c:pt idx="26">
                  <c:v>-0.86602540378441417</c:v>
                </c:pt>
                <c:pt idx="27">
                  <c:v>-0.94500081871470853</c:v>
                </c:pt>
                <c:pt idx="28">
                  <c:v>-0.98982144188094223</c:v>
                </c:pt>
                <c:pt idx="29">
                  <c:v>-0.99886733918301829</c:v>
                </c:pt>
                <c:pt idx="30">
                  <c:v>-0.9718115683235522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599-4270-AC2C-8FEC06DFB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92608"/>
        <c:axId val="615584448"/>
      </c:lineChart>
      <c:dateAx>
        <c:axId val="615592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84448"/>
        <c:crosses val="autoZero"/>
        <c:auto val="1"/>
        <c:lblOffset val="100"/>
        <c:baseTimeUnit val="days"/>
      </c:dateAx>
      <c:valAx>
        <c:axId val="6155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6</xdr:row>
      <xdr:rowOff>47625</xdr:rowOff>
    </xdr:from>
    <xdr:to>
      <xdr:col>12</xdr:col>
      <xdr:colOff>152400</xdr:colOff>
      <xdr:row>20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171450</xdr:rowOff>
    </xdr:from>
    <xdr:to>
      <xdr:col>12</xdr:col>
      <xdr:colOff>314325</xdr:colOff>
      <xdr:row>12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1</xdr:row>
      <xdr:rowOff>133350</xdr:rowOff>
    </xdr:from>
    <xdr:to>
      <xdr:col>16</xdr:col>
      <xdr:colOff>323850</xdr:colOff>
      <xdr:row>16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CAD60E81-8AF0-4BD9-9E01-287103455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1</xdr:row>
      <xdr:rowOff>156210</xdr:rowOff>
    </xdr:from>
    <xdr:to>
      <xdr:col>11</xdr:col>
      <xdr:colOff>198120</xdr:colOff>
      <xdr:row>16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678B0E99-7664-4C9E-BB9A-21CE241DE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1</xdr:row>
      <xdr:rowOff>41910</xdr:rowOff>
    </xdr:from>
    <xdr:to>
      <xdr:col>14</xdr:col>
      <xdr:colOff>45720</xdr:colOff>
      <xdr:row>12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2436CB6E-48D9-4C9F-A6AA-B026F620D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211157</xdr:colOff>
      <xdr:row>0</xdr:row>
      <xdr:rowOff>74362</xdr:rowOff>
    </xdr:from>
    <xdr:to>
      <xdr:col>21</xdr:col>
      <xdr:colOff>541663</xdr:colOff>
      <xdr:row>15</xdr:row>
      <xdr:rowOff>63345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78D9FC39-9659-4DCB-A747-61334890D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201975</xdr:colOff>
      <xdr:row>15</xdr:row>
      <xdr:rowOff>92725</xdr:rowOff>
    </xdr:from>
    <xdr:to>
      <xdr:col>21</xdr:col>
      <xdr:colOff>532481</xdr:colOff>
      <xdr:row>30</xdr:row>
      <xdr:rowOff>81708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59CEB5DE-74F5-45B7-B46F-0BF73580F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174434</xdr:colOff>
      <xdr:row>30</xdr:row>
      <xdr:rowOff>129446</xdr:rowOff>
    </xdr:from>
    <xdr:to>
      <xdr:col>21</xdr:col>
      <xdr:colOff>504940</xdr:colOff>
      <xdr:row>45</xdr:row>
      <xdr:rowOff>118429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xmlns="" id="{A7426B55-04FB-4A39-B6B1-04CB93E91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0</xdr:row>
      <xdr:rowOff>131619</xdr:rowOff>
    </xdr:from>
    <xdr:to>
      <xdr:col>29</xdr:col>
      <xdr:colOff>304800</xdr:colOff>
      <xdr:row>15</xdr:row>
      <xdr:rowOff>173183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xmlns="" id="{5410B678-B15A-4D23-9B8E-4D93C4148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55419</xdr:colOff>
      <xdr:row>16</xdr:row>
      <xdr:rowOff>62346</xdr:rowOff>
    </xdr:from>
    <xdr:to>
      <xdr:col>29</xdr:col>
      <xdr:colOff>360219</xdr:colOff>
      <xdr:row>31</xdr:row>
      <xdr:rowOff>103909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xmlns="" id="{C814F24B-3C2A-4925-90DD-562AFF052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369570</xdr:colOff>
      <xdr:row>5</xdr:row>
      <xdr:rowOff>85725</xdr:rowOff>
    </xdr:from>
    <xdr:to>
      <xdr:col>13</xdr:col>
      <xdr:colOff>64770</xdr:colOff>
      <xdr:row>20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A868875C-32C0-4855-8C63-E0331E33C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C10"/>
    </sheetView>
  </sheetViews>
  <sheetFormatPr defaultRowHeight="15" x14ac:dyDescent="0.25"/>
  <cols>
    <col min="1" max="1" width="27.5703125" customWidth="1"/>
    <col min="2" max="2" width="15.28515625" customWidth="1"/>
  </cols>
  <sheetData>
    <row r="1" spans="1:3" x14ac:dyDescent="0.25">
      <c r="A1" s="25" t="s">
        <v>0</v>
      </c>
      <c r="B1" s="26"/>
      <c r="C1" s="27"/>
    </row>
    <row r="2" spans="1:3" x14ac:dyDescent="0.25">
      <c r="A2" s="28" t="s">
        <v>1</v>
      </c>
      <c r="B2" s="1"/>
      <c r="C2" s="1"/>
    </row>
    <row r="3" spans="1:3" x14ac:dyDescent="0.25">
      <c r="A3" s="1" t="s">
        <v>2</v>
      </c>
      <c r="B3" s="1">
        <v>5000</v>
      </c>
      <c r="C3" s="1"/>
    </row>
    <row r="4" spans="1:3" x14ac:dyDescent="0.25">
      <c r="A4" s="1" t="s">
        <v>3</v>
      </c>
      <c r="B4" s="1">
        <v>2000</v>
      </c>
      <c r="C4" s="1"/>
    </row>
    <row r="5" spans="1:3" x14ac:dyDescent="0.25">
      <c r="A5" s="1"/>
      <c r="B5" s="1"/>
      <c r="C5" s="1"/>
    </row>
    <row r="6" spans="1:3" x14ac:dyDescent="0.25">
      <c r="A6" s="1" t="s">
        <v>4</v>
      </c>
      <c r="B6" s="1">
        <f>B3-B4</f>
        <v>3000</v>
      </c>
      <c r="C6" s="1"/>
    </row>
    <row r="7" spans="1:3" x14ac:dyDescent="0.25">
      <c r="A7" s="1" t="s">
        <v>5</v>
      </c>
      <c r="B7" s="1">
        <f>B6/B4*100</f>
        <v>150</v>
      </c>
      <c r="C7" s="1"/>
    </row>
    <row r="8" spans="1:3" x14ac:dyDescent="0.25">
      <c r="A8" s="1" t="s">
        <v>6</v>
      </c>
      <c r="B8" s="1">
        <f>IF(B7&lt;=50, B6*0.32,B4/2*0.32+(B6-B4/2)*0.75)</f>
        <v>1820</v>
      </c>
      <c r="C8" s="1">
        <f>IF(B7&lt;=30, B6*0.2,IF(B7&lt;=70, B6*0.4, B6*0.6))</f>
        <v>1800</v>
      </c>
    </row>
    <row r="9" spans="1:3" x14ac:dyDescent="0.25">
      <c r="A9" s="1" t="s">
        <v>7</v>
      </c>
      <c r="B9" s="1">
        <f>B6-B8</f>
        <v>1180</v>
      </c>
      <c r="C9" s="1">
        <f>B6-C8</f>
        <v>1200</v>
      </c>
    </row>
    <row r="10" spans="1:3" ht="30" x14ac:dyDescent="0.25">
      <c r="A10" s="2" t="s">
        <v>8</v>
      </c>
      <c r="B10" s="1">
        <f>B9/B4</f>
        <v>0.59</v>
      </c>
      <c r="C10" s="1">
        <f>C9/B4</f>
        <v>0.6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B21" sqref="B21"/>
    </sheetView>
  </sheetViews>
  <sheetFormatPr defaultRowHeight="15" x14ac:dyDescent="0.25"/>
  <cols>
    <col min="1" max="1" width="32" bestFit="1" customWidth="1"/>
    <col min="2" max="2" width="21.28515625" style="3" bestFit="1" customWidth="1"/>
  </cols>
  <sheetData>
    <row r="1" spans="1:2" x14ac:dyDescent="0.25">
      <c r="A1" s="20" t="s">
        <v>9</v>
      </c>
      <c r="B1" s="20"/>
    </row>
    <row r="2" spans="1:2" x14ac:dyDescent="0.25">
      <c r="A2" s="28" t="s">
        <v>10</v>
      </c>
      <c r="B2" s="18"/>
    </row>
    <row r="3" spans="1:2" x14ac:dyDescent="0.25">
      <c r="A3" s="1" t="s">
        <v>11</v>
      </c>
      <c r="B3" s="18">
        <v>120000</v>
      </c>
    </row>
    <row r="4" spans="1:2" x14ac:dyDescent="0.25">
      <c r="A4" s="1" t="s">
        <v>14</v>
      </c>
      <c r="B4" s="18">
        <v>5.5</v>
      </c>
    </row>
    <row r="5" spans="1:2" x14ac:dyDescent="0.25">
      <c r="A5" s="1" t="s">
        <v>12</v>
      </c>
      <c r="B5" s="18">
        <v>8935</v>
      </c>
    </row>
    <row r="6" spans="1:2" x14ac:dyDescent="0.25">
      <c r="A6" s="1" t="s">
        <v>135</v>
      </c>
      <c r="B6" s="18">
        <v>23000</v>
      </c>
    </row>
    <row r="7" spans="1:2" x14ac:dyDescent="0.25">
      <c r="A7" s="29" t="s">
        <v>136</v>
      </c>
      <c r="B7" s="29" t="s">
        <v>13</v>
      </c>
    </row>
    <row r="8" spans="1:2" x14ac:dyDescent="0.25">
      <c r="A8" s="18">
        <v>1</v>
      </c>
      <c r="B8" s="6">
        <f>B3+B3*B4/100-B5</f>
        <v>117665</v>
      </c>
    </row>
    <row r="9" spans="1:2" x14ac:dyDescent="0.25">
      <c r="A9" s="18">
        <v>2</v>
      </c>
      <c r="B9" s="6">
        <f>B8+B8*$B$4/100-$B$5</f>
        <v>115201.575</v>
      </c>
    </row>
    <row r="10" spans="1:2" x14ac:dyDescent="0.25">
      <c r="A10" s="18">
        <v>3</v>
      </c>
      <c r="B10" s="6">
        <f t="shared" ref="B10:B32" si="0">B9+B9*$B$4/100-$B$5</f>
        <v>112602.66162499999</v>
      </c>
    </row>
    <row r="11" spans="1:2" x14ac:dyDescent="0.25">
      <c r="A11" s="18">
        <v>4</v>
      </c>
      <c r="B11" s="6">
        <f t="shared" si="0"/>
        <v>109860.808014375</v>
      </c>
    </row>
    <row r="12" spans="1:2" x14ac:dyDescent="0.25">
      <c r="A12" s="18">
        <v>5</v>
      </c>
      <c r="B12" s="6">
        <f t="shared" si="0"/>
        <v>106968.15245516562</v>
      </c>
    </row>
    <row r="13" spans="1:2" x14ac:dyDescent="0.25">
      <c r="A13" s="18">
        <v>6</v>
      </c>
      <c r="B13" s="6">
        <f t="shared" si="0"/>
        <v>103916.40084019973</v>
      </c>
    </row>
    <row r="14" spans="1:2" x14ac:dyDescent="0.25">
      <c r="A14" s="18">
        <v>7</v>
      </c>
      <c r="B14" s="6">
        <f t="shared" si="0"/>
        <v>100696.80288641072</v>
      </c>
    </row>
    <row r="15" spans="1:2" x14ac:dyDescent="0.25">
      <c r="A15" s="18">
        <v>8</v>
      </c>
      <c r="B15" s="6">
        <f t="shared" si="0"/>
        <v>97300.127045163303</v>
      </c>
    </row>
    <row r="16" spans="1:2" x14ac:dyDescent="0.25">
      <c r="A16" s="18">
        <v>9</v>
      </c>
      <c r="B16" s="6">
        <f t="shared" si="0"/>
        <v>93716.634032647285</v>
      </c>
    </row>
    <row r="17" spans="1:2" x14ac:dyDescent="0.25">
      <c r="A17" s="18">
        <v>10</v>
      </c>
      <c r="B17" s="6">
        <f t="shared" si="0"/>
        <v>89936.048904442883</v>
      </c>
    </row>
    <row r="18" spans="1:2" x14ac:dyDescent="0.25">
      <c r="A18" s="18">
        <v>11</v>
      </c>
      <c r="B18" s="6">
        <f t="shared" si="0"/>
        <v>85947.53159418724</v>
      </c>
    </row>
    <row r="19" spans="1:2" x14ac:dyDescent="0.25">
      <c r="A19" s="18">
        <v>12</v>
      </c>
      <c r="B19" s="6">
        <f t="shared" si="0"/>
        <v>81739.645831867543</v>
      </c>
    </row>
    <row r="20" spans="1:2" x14ac:dyDescent="0.25">
      <c r="A20" s="18">
        <v>13</v>
      </c>
      <c r="B20" s="6">
        <f t="shared" si="0"/>
        <v>77300.326352620265</v>
      </c>
    </row>
    <row r="21" spans="1:2" x14ac:dyDescent="0.25">
      <c r="A21" s="18">
        <v>14</v>
      </c>
      <c r="B21" s="6">
        <f t="shared" si="0"/>
        <v>72616.844302014375</v>
      </c>
    </row>
    <row r="22" spans="1:2" x14ac:dyDescent="0.25">
      <c r="A22" s="18">
        <v>15</v>
      </c>
      <c r="B22" s="6">
        <f t="shared" si="0"/>
        <v>67675.770738625171</v>
      </c>
    </row>
    <row r="23" spans="1:2" x14ac:dyDescent="0.25">
      <c r="A23" s="18">
        <v>16</v>
      </c>
      <c r="B23" s="6">
        <f t="shared" si="0"/>
        <v>62462.938129249553</v>
      </c>
    </row>
    <row r="24" spans="1:2" x14ac:dyDescent="0.25">
      <c r="A24" s="18">
        <v>17</v>
      </c>
      <c r="B24" s="6">
        <f t="shared" si="0"/>
        <v>56963.399726358271</v>
      </c>
    </row>
    <row r="25" spans="1:2" x14ac:dyDescent="0.25">
      <c r="A25" s="18">
        <v>18</v>
      </c>
      <c r="B25" s="6">
        <f t="shared" si="0"/>
        <v>51161.386711307976</v>
      </c>
    </row>
    <row r="26" spans="1:2" x14ac:dyDescent="0.25">
      <c r="A26" s="18">
        <v>19</v>
      </c>
      <c r="B26" s="6">
        <f t="shared" si="0"/>
        <v>45040.262980429914</v>
      </c>
    </row>
    <row r="27" spans="1:2" x14ac:dyDescent="0.25">
      <c r="A27" s="18">
        <v>20</v>
      </c>
      <c r="B27" s="6">
        <f t="shared" si="0"/>
        <v>38582.477444353557</v>
      </c>
    </row>
    <row r="28" spans="1:2" x14ac:dyDescent="0.25">
      <c r="A28" s="18">
        <v>21</v>
      </c>
      <c r="B28" s="6">
        <f>B27+B27*$B$4/100-$B$5</f>
        <v>31769.513703793004</v>
      </c>
    </row>
    <row r="29" spans="1:2" x14ac:dyDescent="0.25">
      <c r="A29" s="18">
        <v>22</v>
      </c>
      <c r="B29" s="6">
        <f t="shared" si="0"/>
        <v>24581.836957501619</v>
      </c>
    </row>
    <row r="30" spans="1:2" x14ac:dyDescent="0.25">
      <c r="A30" s="18">
        <v>23</v>
      </c>
      <c r="B30" s="6">
        <f t="shared" si="0"/>
        <v>16998.837990164207</v>
      </c>
    </row>
    <row r="31" spans="1:2" x14ac:dyDescent="0.25">
      <c r="A31" s="18">
        <v>24</v>
      </c>
      <c r="B31" s="6">
        <f t="shared" si="0"/>
        <v>8998.7740796232392</v>
      </c>
    </row>
    <row r="32" spans="1:2" x14ac:dyDescent="0.25">
      <c r="A32" s="18">
        <v>25</v>
      </c>
      <c r="B32" s="6">
        <f t="shared" si="0"/>
        <v>558.7066540025171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8" sqref="D8"/>
    </sheetView>
  </sheetViews>
  <sheetFormatPr defaultRowHeight="15" x14ac:dyDescent="0.25"/>
  <cols>
    <col min="1" max="1" width="10.42578125" bestFit="1" customWidth="1"/>
    <col min="2" max="2" width="14" customWidth="1"/>
    <col min="3" max="3" width="18.140625" customWidth="1"/>
    <col min="4" max="4" width="17.7109375" customWidth="1"/>
  </cols>
  <sheetData>
    <row r="1" spans="1:4" x14ac:dyDescent="0.25">
      <c r="A1" s="19" t="s">
        <v>28</v>
      </c>
      <c r="B1" s="19"/>
      <c r="C1" s="19"/>
      <c r="D1" s="19"/>
    </row>
    <row r="2" spans="1:4" ht="60" x14ac:dyDescent="0.25">
      <c r="A2" s="7" t="s">
        <v>15</v>
      </c>
      <c r="B2" s="7" t="s">
        <v>16</v>
      </c>
      <c r="C2" s="7" t="s">
        <v>17</v>
      </c>
      <c r="D2" s="7" t="s">
        <v>18</v>
      </c>
    </row>
    <row r="3" spans="1:4" x14ac:dyDescent="0.25">
      <c r="A3" s="1" t="s">
        <v>19</v>
      </c>
      <c r="B3" s="1">
        <v>0.38700000000000001</v>
      </c>
      <c r="C3" s="1">
        <v>0.24</v>
      </c>
      <c r="D3" s="8">
        <f>2*PI()*B3/C3</f>
        <v>10.131636307827083</v>
      </c>
    </row>
    <row r="4" spans="1:4" x14ac:dyDescent="0.25">
      <c r="A4" s="1" t="s">
        <v>20</v>
      </c>
      <c r="B4" s="1">
        <v>0.72299999999999998</v>
      </c>
      <c r="C4" s="1">
        <v>0.62</v>
      </c>
      <c r="D4" s="8">
        <f t="shared" ref="D4:D11" si="0">2*PI()*B4/C4</f>
        <v>7.3270048017594203</v>
      </c>
    </row>
    <row r="5" spans="1:4" x14ac:dyDescent="0.25">
      <c r="A5" s="1" t="s">
        <v>21</v>
      </c>
      <c r="B5" s="1">
        <v>1</v>
      </c>
      <c r="C5" s="1">
        <v>1</v>
      </c>
      <c r="D5" s="8">
        <f t="shared" si="0"/>
        <v>6.2831853071795862</v>
      </c>
    </row>
    <row r="6" spans="1:4" x14ac:dyDescent="0.25">
      <c r="A6" s="1" t="s">
        <v>22</v>
      </c>
      <c r="B6" s="1">
        <v>1.524</v>
      </c>
      <c r="C6" s="1">
        <v>1.88</v>
      </c>
      <c r="D6" s="8">
        <f t="shared" si="0"/>
        <v>5.0933906426285578</v>
      </c>
    </row>
    <row r="7" spans="1:4" x14ac:dyDescent="0.25">
      <c r="A7" s="1" t="s">
        <v>23</v>
      </c>
      <c r="B7" s="1">
        <v>5.2030000000000003</v>
      </c>
      <c r="C7" s="1">
        <v>11.86</v>
      </c>
      <c r="D7" s="8">
        <f t="shared" si="0"/>
        <v>2.7564429302913482</v>
      </c>
    </row>
    <row r="8" spans="1:4" x14ac:dyDescent="0.25">
      <c r="A8" s="1" t="s">
        <v>24</v>
      </c>
      <c r="B8" s="1">
        <v>9.5389999999999997</v>
      </c>
      <c r="C8" s="1">
        <v>29.46</v>
      </c>
      <c r="D8" s="8">
        <f t="shared" si="0"/>
        <v>2.0344638372432473</v>
      </c>
    </row>
    <row r="9" spans="1:4" x14ac:dyDescent="0.25">
      <c r="A9" s="1" t="s">
        <v>25</v>
      </c>
      <c r="B9" s="1">
        <v>19.18</v>
      </c>
      <c r="C9" s="1">
        <v>84.02</v>
      </c>
      <c r="D9" s="8">
        <f t="shared" si="0"/>
        <v>1.4343191405820575</v>
      </c>
    </row>
    <row r="10" spans="1:4" x14ac:dyDescent="0.25">
      <c r="A10" s="1" t="s">
        <v>26</v>
      </c>
      <c r="B10" s="1">
        <v>30.07</v>
      </c>
      <c r="C10" s="1">
        <v>164.79</v>
      </c>
      <c r="D10" s="8">
        <f t="shared" si="0"/>
        <v>1.1465221323313926</v>
      </c>
    </row>
    <row r="11" spans="1:4" x14ac:dyDescent="0.25">
      <c r="A11" s="1" t="s">
        <v>27</v>
      </c>
      <c r="B11" s="1">
        <v>39.44</v>
      </c>
      <c r="C11" s="1">
        <v>247.7</v>
      </c>
      <c r="D11" s="8">
        <f t="shared" si="0"/>
        <v>1.000439356137113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7" sqref="B7"/>
    </sheetView>
  </sheetViews>
  <sheetFormatPr defaultRowHeight="15" x14ac:dyDescent="0.25"/>
  <cols>
    <col min="1" max="1" width="19" bestFit="1" customWidth="1"/>
    <col min="2" max="2" width="13.7109375" bestFit="1" customWidth="1"/>
  </cols>
  <sheetData>
    <row r="1" spans="1:2" x14ac:dyDescent="0.25">
      <c r="A1" s="25" t="s">
        <v>37</v>
      </c>
      <c r="B1" s="27"/>
    </row>
    <row r="2" spans="1:2" x14ac:dyDescent="0.25">
      <c r="A2" s="28" t="s">
        <v>10</v>
      </c>
      <c r="B2" s="10"/>
    </row>
    <row r="3" spans="1:2" x14ac:dyDescent="0.25">
      <c r="A3" s="10" t="s">
        <v>38</v>
      </c>
      <c r="B3" s="10">
        <v>35</v>
      </c>
    </row>
    <row r="4" spans="1:2" x14ac:dyDescent="0.25">
      <c r="A4" s="10" t="s">
        <v>39</v>
      </c>
      <c r="B4" s="10">
        <v>180</v>
      </c>
    </row>
    <row r="5" spans="1:2" x14ac:dyDescent="0.25">
      <c r="A5" s="10" t="s">
        <v>40</v>
      </c>
      <c r="B5" s="10">
        <v>3000</v>
      </c>
    </row>
    <row r="6" spans="1:2" x14ac:dyDescent="0.25">
      <c r="A6" s="10" t="s">
        <v>41</v>
      </c>
      <c r="B6" s="10">
        <v>6</v>
      </c>
    </row>
    <row r="7" spans="1:2" x14ac:dyDescent="0.25">
      <c r="A7" s="10" t="s">
        <v>42</v>
      </c>
      <c r="B7" s="10">
        <v>9.8000000000000007</v>
      </c>
    </row>
    <row r="8" spans="1:2" x14ac:dyDescent="0.25">
      <c r="A8" s="10"/>
      <c r="B8" s="10"/>
    </row>
    <row r="9" spans="1:2" x14ac:dyDescent="0.25">
      <c r="A9" s="20" t="s">
        <v>46</v>
      </c>
      <c r="B9" s="20"/>
    </row>
    <row r="10" spans="1:2" x14ac:dyDescent="0.25">
      <c r="A10" s="10" t="s">
        <v>43</v>
      </c>
      <c r="B10" s="11">
        <f>B3*PI()/180</f>
        <v>0.6108652381980153</v>
      </c>
    </row>
    <row r="11" spans="1:2" x14ac:dyDescent="0.25">
      <c r="A11" s="10" t="s">
        <v>47</v>
      </c>
      <c r="B11" s="12">
        <f>B4^2*SIN(2*B10)/B7</f>
        <v>3106.7388687207576</v>
      </c>
    </row>
    <row r="12" spans="1:2" x14ac:dyDescent="0.25">
      <c r="A12" s="10" t="s">
        <v>44</v>
      </c>
      <c r="B12" s="11">
        <f>B5*TAN(B10)-B7*B5^2/(2*B4^2*(COS(B10))^2)</f>
        <v>72.171524859145393</v>
      </c>
    </row>
    <row r="13" spans="1:2" x14ac:dyDescent="0.25">
      <c r="A13" s="31" t="s">
        <v>45</v>
      </c>
      <c r="B13" s="32" t="str">
        <f>IF(AND(B12&gt;=0, B12&lt;=B6), "Снаряд попал в стену", IF(B11 &lt; B5, "Недолёт", "Перелёт"))</f>
        <v>Перелёт</v>
      </c>
    </row>
  </sheetData>
  <mergeCells count="2">
    <mergeCell ref="A9:B9"/>
    <mergeCell ref="A1: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workbookViewId="0">
      <selection activeCell="C36" sqref="C36"/>
    </sheetView>
  </sheetViews>
  <sheetFormatPr defaultRowHeight="15" x14ac:dyDescent="0.25"/>
  <cols>
    <col min="1" max="1" width="22.7109375" bestFit="1" customWidth="1"/>
    <col min="2" max="2" width="7" customWidth="1"/>
  </cols>
  <sheetData>
    <row r="1" spans="1:3" x14ac:dyDescent="0.25">
      <c r="A1" s="22" t="s">
        <v>29</v>
      </c>
      <c r="B1" s="23"/>
      <c r="C1" s="24"/>
    </row>
    <row r="2" spans="1:3" x14ac:dyDescent="0.25">
      <c r="A2" s="30" t="s">
        <v>30</v>
      </c>
      <c r="B2" s="1"/>
      <c r="C2" s="1">
        <v>2</v>
      </c>
    </row>
    <row r="3" spans="1:3" x14ac:dyDescent="0.25">
      <c r="A3" s="30" t="s">
        <v>31</v>
      </c>
      <c r="B3" s="1"/>
      <c r="C3" s="1">
        <f>C2/C4</f>
        <v>2</v>
      </c>
    </row>
    <row r="4" spans="1:3" x14ac:dyDescent="0.25">
      <c r="A4" s="30" t="s">
        <v>32</v>
      </c>
      <c r="B4" s="1"/>
      <c r="C4" s="1">
        <v>1</v>
      </c>
    </row>
    <row r="5" spans="1:3" x14ac:dyDescent="0.25">
      <c r="A5" s="30" t="s">
        <v>33</v>
      </c>
      <c r="B5" s="1"/>
      <c r="C5" s="1">
        <v>1</v>
      </c>
    </row>
    <row r="6" spans="1:3" x14ac:dyDescent="0.25">
      <c r="A6" s="9"/>
    </row>
    <row r="7" spans="1:3" x14ac:dyDescent="0.25">
      <c r="A7" s="30" t="s">
        <v>34</v>
      </c>
      <c r="B7" s="1" t="s">
        <v>35</v>
      </c>
      <c r="C7" s="1" t="s">
        <v>36</v>
      </c>
    </row>
    <row r="8" spans="1:3" x14ac:dyDescent="0.25">
      <c r="A8" s="30">
        <v>0</v>
      </c>
      <c r="B8" s="1">
        <f>$C$2*A8+$C$5*SIN($C$3*A8)</f>
        <v>0</v>
      </c>
      <c r="C8" s="1">
        <f>$C$5*COS($C$3*A8)</f>
        <v>1</v>
      </c>
    </row>
    <row r="9" spans="1:3" x14ac:dyDescent="0.25">
      <c r="A9" s="30">
        <v>0.1</v>
      </c>
      <c r="B9" s="1">
        <f t="shared" ref="B9:B72" si="0">$C$2*A9+$C$5*SIN($C$3*A9)</f>
        <v>0.39866933079506123</v>
      </c>
      <c r="C9" s="1">
        <f t="shared" ref="C9:C15" si="1">$C$5*COS($C$3*A9)</f>
        <v>0.98006657784124163</v>
      </c>
    </row>
    <row r="10" spans="1:3" x14ac:dyDescent="0.25">
      <c r="A10" s="30">
        <v>0.2</v>
      </c>
      <c r="B10" s="1">
        <f t="shared" si="0"/>
        <v>0.78941834230865049</v>
      </c>
      <c r="C10" s="1">
        <f t="shared" si="1"/>
        <v>0.9210609940028851</v>
      </c>
    </row>
    <row r="11" spans="1:3" x14ac:dyDescent="0.25">
      <c r="A11" s="30">
        <v>0.3</v>
      </c>
      <c r="B11" s="1">
        <f t="shared" si="0"/>
        <v>1.1646424733950353</v>
      </c>
      <c r="C11" s="1">
        <f t="shared" si="1"/>
        <v>0.82533561490967833</v>
      </c>
    </row>
    <row r="12" spans="1:3" x14ac:dyDescent="0.25">
      <c r="A12" s="30">
        <v>0.4</v>
      </c>
      <c r="B12" s="1">
        <f t="shared" si="0"/>
        <v>1.5173560908995229</v>
      </c>
      <c r="C12" s="1">
        <f t="shared" si="1"/>
        <v>0.69670670934716539</v>
      </c>
    </row>
    <row r="13" spans="1:3" x14ac:dyDescent="0.25">
      <c r="A13" s="30">
        <v>0.5</v>
      </c>
      <c r="B13" s="1">
        <f t="shared" si="0"/>
        <v>1.8414709848078965</v>
      </c>
      <c r="C13" s="1">
        <f t="shared" si="1"/>
        <v>0.54030230586813977</v>
      </c>
    </row>
    <row r="14" spans="1:3" x14ac:dyDescent="0.25">
      <c r="A14" s="30">
        <v>0.6</v>
      </c>
      <c r="B14" s="1">
        <f t="shared" si="0"/>
        <v>2.132039085967226</v>
      </c>
      <c r="C14" s="1">
        <f t="shared" si="1"/>
        <v>0.36235775447667362</v>
      </c>
    </row>
    <row r="15" spans="1:3" x14ac:dyDescent="0.25">
      <c r="A15" s="30">
        <v>0.7</v>
      </c>
      <c r="B15" s="1">
        <f t="shared" si="0"/>
        <v>2.3854497299884603</v>
      </c>
      <c r="C15" s="1">
        <f t="shared" si="1"/>
        <v>0.16996714290024104</v>
      </c>
    </row>
    <row r="16" spans="1:3" x14ac:dyDescent="0.25">
      <c r="A16" s="30">
        <v>0.8</v>
      </c>
      <c r="B16" s="1">
        <f t="shared" si="0"/>
        <v>2.5995736030415051</v>
      </c>
      <c r="C16" s="1">
        <f t="shared" ref="C16:C79" si="2">$C$5*COS($C$3*A16)</f>
        <v>-2.9199522301288815E-2</v>
      </c>
    </row>
    <row r="17" spans="1:3" x14ac:dyDescent="0.25">
      <c r="A17" s="30">
        <v>0.9</v>
      </c>
      <c r="B17" s="1">
        <f t="shared" si="0"/>
        <v>2.773847630878195</v>
      </c>
      <c r="C17" s="1">
        <f t="shared" si="2"/>
        <v>-0.22720209469308711</v>
      </c>
    </row>
    <row r="18" spans="1:3" x14ac:dyDescent="0.25">
      <c r="A18" s="30">
        <v>1</v>
      </c>
      <c r="B18" s="1">
        <f t="shared" si="0"/>
        <v>2.9092974268256819</v>
      </c>
      <c r="C18" s="1">
        <f t="shared" si="2"/>
        <v>-0.41614683654714241</v>
      </c>
    </row>
    <row r="19" spans="1:3" x14ac:dyDescent="0.25">
      <c r="A19" s="30">
        <v>1.1000000000000001</v>
      </c>
      <c r="B19" s="1">
        <f t="shared" si="0"/>
        <v>3.0084964038195903</v>
      </c>
      <c r="C19" s="1">
        <f t="shared" si="2"/>
        <v>-0.58850111725534582</v>
      </c>
    </row>
    <row r="20" spans="1:3" x14ac:dyDescent="0.25">
      <c r="A20" s="30">
        <v>1.2</v>
      </c>
      <c r="B20" s="1">
        <f t="shared" si="0"/>
        <v>3.075463180551151</v>
      </c>
      <c r="C20" s="1">
        <f t="shared" si="2"/>
        <v>-0.73739371554124544</v>
      </c>
    </row>
    <row r="21" spans="1:3" x14ac:dyDescent="0.25">
      <c r="A21" s="30">
        <v>1.3</v>
      </c>
      <c r="B21" s="1">
        <f t="shared" si="0"/>
        <v>3.1155013718214644</v>
      </c>
      <c r="C21" s="1">
        <f t="shared" si="2"/>
        <v>-0.85688875336894732</v>
      </c>
    </row>
    <row r="22" spans="1:3" x14ac:dyDescent="0.25">
      <c r="A22" s="30">
        <v>1.4</v>
      </c>
      <c r="B22" s="1">
        <f t="shared" si="0"/>
        <v>3.1349881501559049</v>
      </c>
      <c r="C22" s="1">
        <f t="shared" si="2"/>
        <v>-0.94222234066865806</v>
      </c>
    </row>
    <row r="23" spans="1:3" x14ac:dyDescent="0.25">
      <c r="A23" s="30">
        <v>1.5</v>
      </c>
      <c r="B23" s="1">
        <f t="shared" si="0"/>
        <v>3.1411200080598674</v>
      </c>
      <c r="C23" s="1">
        <f t="shared" si="2"/>
        <v>-0.98999249660044542</v>
      </c>
    </row>
    <row r="24" spans="1:3" x14ac:dyDescent="0.25">
      <c r="A24" s="30">
        <v>1.6</v>
      </c>
      <c r="B24" s="1">
        <f t="shared" si="0"/>
        <v>3.14162585657242</v>
      </c>
      <c r="C24" s="1">
        <f t="shared" si="2"/>
        <v>-0.99829477579475312</v>
      </c>
    </row>
    <row r="25" spans="1:3" x14ac:dyDescent="0.25">
      <c r="A25" s="30">
        <v>1.7</v>
      </c>
      <c r="B25" s="1">
        <f t="shared" si="0"/>
        <v>3.1444588979731689</v>
      </c>
      <c r="C25" s="1">
        <f t="shared" si="2"/>
        <v>-0.96679819257946109</v>
      </c>
    </row>
    <row r="26" spans="1:3" x14ac:dyDescent="0.25">
      <c r="A26" s="30">
        <v>1.8</v>
      </c>
      <c r="B26" s="1">
        <f t="shared" si="0"/>
        <v>3.1574795567051477</v>
      </c>
      <c r="C26" s="1">
        <f t="shared" si="2"/>
        <v>-0.89675841633414699</v>
      </c>
    </row>
    <row r="27" spans="1:3" x14ac:dyDescent="0.25">
      <c r="A27" s="30">
        <v>1.9</v>
      </c>
      <c r="B27" s="1">
        <f t="shared" si="0"/>
        <v>3.188142109057281</v>
      </c>
      <c r="C27" s="1">
        <f t="shared" si="2"/>
        <v>-0.79096771191441684</v>
      </c>
    </row>
    <row r="28" spans="1:3" x14ac:dyDescent="0.25">
      <c r="A28" s="30">
        <v>2</v>
      </c>
      <c r="B28" s="1">
        <f t="shared" si="0"/>
        <v>3.2431975046920716</v>
      </c>
      <c r="C28" s="1">
        <f t="shared" si="2"/>
        <v>-0.65364362086361194</v>
      </c>
    </row>
    <row r="29" spans="1:3" x14ac:dyDescent="0.25">
      <c r="A29" s="30">
        <v>2.1</v>
      </c>
      <c r="B29" s="1">
        <f t="shared" si="0"/>
        <v>3.328424227586412</v>
      </c>
      <c r="C29" s="1">
        <f t="shared" si="2"/>
        <v>-0.49026082134069943</v>
      </c>
    </row>
    <row r="30" spans="1:3" x14ac:dyDescent="0.25">
      <c r="A30" s="30">
        <v>2.2000000000000002</v>
      </c>
      <c r="B30" s="1">
        <f t="shared" si="0"/>
        <v>3.4483979261104842</v>
      </c>
      <c r="C30" s="1">
        <f t="shared" si="2"/>
        <v>-0.30733286997841935</v>
      </c>
    </row>
    <row r="31" spans="1:3" x14ac:dyDescent="0.25">
      <c r="A31" s="30">
        <v>2.2999999999999998</v>
      </c>
      <c r="B31" s="1">
        <f t="shared" si="0"/>
        <v>3.6063089963665353</v>
      </c>
      <c r="C31" s="1">
        <f t="shared" si="2"/>
        <v>-0.11215252693505487</v>
      </c>
    </row>
    <row r="32" spans="1:3" x14ac:dyDescent="0.25">
      <c r="A32" s="30">
        <v>2.4</v>
      </c>
      <c r="B32" s="1">
        <f t="shared" si="0"/>
        <v>3.8038353911641591</v>
      </c>
      <c r="C32" s="1">
        <f t="shared" si="2"/>
        <v>8.7498983439446398E-2</v>
      </c>
    </row>
    <row r="33" spans="1:3" x14ac:dyDescent="0.25">
      <c r="A33" s="30">
        <v>2.5</v>
      </c>
      <c r="B33" s="1">
        <f t="shared" si="0"/>
        <v>4.0410757253368619</v>
      </c>
      <c r="C33" s="1">
        <f t="shared" si="2"/>
        <v>0.28366218546322625</v>
      </c>
    </row>
    <row r="34" spans="1:3" x14ac:dyDescent="0.25">
      <c r="A34" s="30">
        <v>2.6</v>
      </c>
      <c r="B34" s="1">
        <f t="shared" si="0"/>
        <v>4.3165453442798469</v>
      </c>
      <c r="C34" s="1">
        <f t="shared" si="2"/>
        <v>0.46851667130037711</v>
      </c>
    </row>
    <row r="35" spans="1:3" x14ac:dyDescent="0.25">
      <c r="A35" s="30">
        <v>2.7</v>
      </c>
      <c r="B35" s="1">
        <f t="shared" si="0"/>
        <v>4.6272355124440132</v>
      </c>
      <c r="C35" s="1">
        <f t="shared" si="2"/>
        <v>0.63469287594263468</v>
      </c>
    </row>
    <row r="36" spans="1:3" x14ac:dyDescent="0.25">
      <c r="A36" s="30">
        <v>2.8</v>
      </c>
      <c r="B36" s="1">
        <f t="shared" si="0"/>
        <v>4.9687333621276784</v>
      </c>
      <c r="C36" s="1">
        <f t="shared" si="2"/>
        <v>0.77556587851024961</v>
      </c>
    </row>
    <row r="37" spans="1:3" x14ac:dyDescent="0.25">
      <c r="A37" s="30">
        <v>2.9</v>
      </c>
      <c r="B37" s="1">
        <f t="shared" si="0"/>
        <v>5.3353978205862429</v>
      </c>
      <c r="C37" s="1">
        <f t="shared" si="2"/>
        <v>0.88551951694131892</v>
      </c>
    </row>
    <row r="38" spans="1:3" x14ac:dyDescent="0.25">
      <c r="A38" s="30">
        <v>3</v>
      </c>
      <c r="B38" s="1">
        <f t="shared" si="0"/>
        <v>5.7205845018010741</v>
      </c>
      <c r="C38" s="1">
        <f t="shared" si="2"/>
        <v>0.96017028665036597</v>
      </c>
    </row>
    <row r="39" spans="1:3" x14ac:dyDescent="0.25">
      <c r="A39" s="30">
        <v>3.1</v>
      </c>
      <c r="B39" s="1">
        <f t="shared" si="0"/>
        <v>6.1169105971825042</v>
      </c>
      <c r="C39" s="1">
        <f t="shared" si="2"/>
        <v>0.9965420970232175</v>
      </c>
    </row>
    <row r="40" spans="1:3" x14ac:dyDescent="0.25">
      <c r="A40" s="30">
        <v>3.2</v>
      </c>
      <c r="B40" s="1">
        <f t="shared" si="0"/>
        <v>6.5165492048504943</v>
      </c>
      <c r="C40" s="1">
        <f t="shared" si="2"/>
        <v>0.99318491875819259</v>
      </c>
    </row>
    <row r="41" spans="1:3" x14ac:dyDescent="0.25">
      <c r="A41" s="30">
        <v>3.3</v>
      </c>
      <c r="B41" s="1">
        <f t="shared" si="0"/>
        <v>6.9115413635133773</v>
      </c>
      <c r="C41" s="1">
        <f t="shared" si="2"/>
        <v>0.9502325919585296</v>
      </c>
    </row>
    <row r="42" spans="1:3" x14ac:dyDescent="0.25">
      <c r="A42" s="30">
        <v>3.4</v>
      </c>
      <c r="B42" s="1">
        <f t="shared" si="0"/>
        <v>7.2941133511386083</v>
      </c>
      <c r="C42" s="1">
        <f t="shared" si="2"/>
        <v>0.86939749034982527</v>
      </c>
    </row>
    <row r="43" spans="1:3" x14ac:dyDescent="0.25">
      <c r="A43" s="30">
        <v>3.5</v>
      </c>
      <c r="B43" s="1">
        <f t="shared" si="0"/>
        <v>7.6569865987187891</v>
      </c>
      <c r="C43" s="1">
        <f t="shared" si="2"/>
        <v>0.7539022543433046</v>
      </c>
    </row>
    <row r="44" spans="1:3" x14ac:dyDescent="0.25">
      <c r="A44" s="30">
        <v>3.6</v>
      </c>
      <c r="B44" s="1">
        <f t="shared" si="0"/>
        <v>7.9936678638491534</v>
      </c>
      <c r="C44" s="1">
        <f t="shared" si="2"/>
        <v>0.60835131453225455</v>
      </c>
    </row>
    <row r="45" spans="1:3" x14ac:dyDescent="0.25">
      <c r="A45" s="30">
        <v>3.7</v>
      </c>
      <c r="B45" s="1">
        <f t="shared" si="0"/>
        <v>8.2987080958116266</v>
      </c>
      <c r="C45" s="1">
        <f t="shared" si="2"/>
        <v>0.43854732757439036</v>
      </c>
    </row>
    <row r="46" spans="1:3" x14ac:dyDescent="0.25">
      <c r="A46" s="30">
        <v>3.8</v>
      </c>
      <c r="B46" s="1">
        <f t="shared" si="0"/>
        <v>8.5679196720314863</v>
      </c>
      <c r="C46" s="1">
        <f t="shared" si="2"/>
        <v>0.2512598425822557</v>
      </c>
    </row>
    <row r="47" spans="1:3" x14ac:dyDescent="0.25">
      <c r="A47" s="30">
        <v>3.9</v>
      </c>
      <c r="B47" s="1">
        <f t="shared" si="0"/>
        <v>8.798543345374604</v>
      </c>
      <c r="C47" s="1">
        <f t="shared" si="2"/>
        <v>5.395542056264975E-2</v>
      </c>
    </row>
    <row r="48" spans="1:3" x14ac:dyDescent="0.25">
      <c r="A48" s="30">
        <v>4</v>
      </c>
      <c r="B48" s="1">
        <f t="shared" si="0"/>
        <v>8.9893582466233823</v>
      </c>
      <c r="C48" s="1">
        <f t="shared" si="2"/>
        <v>-0.14550003380861354</v>
      </c>
    </row>
    <row r="49" spans="1:3" x14ac:dyDescent="0.25">
      <c r="A49" s="30">
        <v>4.0999999999999996</v>
      </c>
      <c r="B49" s="1">
        <f t="shared" si="0"/>
        <v>9.1407305566797721</v>
      </c>
      <c r="C49" s="1">
        <f t="shared" si="2"/>
        <v>-0.33915486098383452</v>
      </c>
    </row>
    <row r="50" spans="1:3" x14ac:dyDescent="0.25">
      <c r="A50" s="30">
        <v>4.2</v>
      </c>
      <c r="B50" s="1">
        <f t="shared" si="0"/>
        <v>9.2545989080882816</v>
      </c>
      <c r="C50" s="1">
        <f t="shared" si="2"/>
        <v>-0.51928865411668557</v>
      </c>
    </row>
    <row r="51" spans="1:3" x14ac:dyDescent="0.25">
      <c r="A51" s="30">
        <v>4.3</v>
      </c>
      <c r="B51" s="1">
        <f t="shared" si="0"/>
        <v>9.3343970978741133</v>
      </c>
      <c r="C51" s="1">
        <f t="shared" si="2"/>
        <v>-0.67872004732001245</v>
      </c>
    </row>
    <row r="52" spans="1:3" x14ac:dyDescent="0.25">
      <c r="A52" s="30">
        <v>4.4000000000000004</v>
      </c>
      <c r="B52" s="1">
        <f t="shared" si="0"/>
        <v>9.3849171928917627</v>
      </c>
      <c r="C52" s="1">
        <f t="shared" si="2"/>
        <v>-0.81109301406165601</v>
      </c>
    </row>
    <row r="53" spans="1:3" x14ac:dyDescent="0.25">
      <c r="A53" s="30">
        <v>4.5</v>
      </c>
      <c r="B53" s="1">
        <f t="shared" si="0"/>
        <v>9.4121184852417574</v>
      </c>
      <c r="C53" s="1">
        <f t="shared" si="2"/>
        <v>-0.91113026188467694</v>
      </c>
    </row>
    <row r="54" spans="1:3" x14ac:dyDescent="0.25">
      <c r="A54" s="30">
        <v>4.5999999999999996</v>
      </c>
      <c r="B54" s="1">
        <f t="shared" si="0"/>
        <v>9.4228899141002476</v>
      </c>
      <c r="C54" s="1">
        <f t="shared" si="2"/>
        <v>-0.97484362140416358</v>
      </c>
    </row>
    <row r="55" spans="1:3" x14ac:dyDescent="0.25">
      <c r="A55" s="30">
        <v>4.7</v>
      </c>
      <c r="B55" s="1">
        <f t="shared" si="0"/>
        <v>9.4247754254533582</v>
      </c>
      <c r="C55" s="1">
        <f t="shared" si="2"/>
        <v>-0.99969304203520648</v>
      </c>
    </row>
    <row r="56" spans="1:3" x14ac:dyDescent="0.25">
      <c r="A56" s="30">
        <v>4.8</v>
      </c>
      <c r="B56" s="1">
        <f t="shared" si="0"/>
        <v>9.4256732187770194</v>
      </c>
      <c r="C56" s="1">
        <f t="shared" si="2"/>
        <v>-0.98468785579412699</v>
      </c>
    </row>
    <row r="57" spans="1:3" x14ac:dyDescent="0.25">
      <c r="A57" s="30">
        <v>4.9000000000000004</v>
      </c>
      <c r="B57" s="1">
        <f t="shared" si="0"/>
        <v>9.4335208707480724</v>
      </c>
      <c r="C57" s="1">
        <f t="shared" si="2"/>
        <v>-0.93042627210475326</v>
      </c>
    </row>
    <row r="58" spans="1:3" x14ac:dyDescent="0.25">
      <c r="A58" s="30">
        <v>5</v>
      </c>
      <c r="B58" s="1">
        <f t="shared" si="0"/>
        <v>9.4559788891106304</v>
      </c>
      <c r="C58" s="1">
        <f t="shared" si="2"/>
        <v>-0.83907152907645244</v>
      </c>
    </row>
    <row r="59" spans="1:3" x14ac:dyDescent="0.25">
      <c r="A59" s="30">
        <v>5.0999999999999996</v>
      </c>
      <c r="B59" s="1">
        <f t="shared" si="0"/>
        <v>9.5001253124064569</v>
      </c>
      <c r="C59" s="1">
        <f t="shared" si="2"/>
        <v>-0.71426565202720027</v>
      </c>
    </row>
    <row r="60" spans="1:3" x14ac:dyDescent="0.25">
      <c r="A60" s="30">
        <v>5.2</v>
      </c>
      <c r="B60" s="1">
        <f t="shared" si="0"/>
        <v>9.5721735309143465</v>
      </c>
      <c r="C60" s="1">
        <f t="shared" si="2"/>
        <v>-0.56098425742722879</v>
      </c>
    </row>
    <row r="61" spans="1:3" x14ac:dyDescent="0.25">
      <c r="A61" s="30">
        <v>5.3</v>
      </c>
      <c r="B61" s="1">
        <f t="shared" si="0"/>
        <v>9.6772245783871931</v>
      </c>
      <c r="C61" s="1">
        <f t="shared" si="2"/>
        <v>-0.38533819077182963</v>
      </c>
    </row>
    <row r="62" spans="1:3" x14ac:dyDescent="0.25">
      <c r="A62" s="30">
        <v>5.4</v>
      </c>
      <c r="B62" s="1">
        <f t="shared" si="0"/>
        <v>9.8190637699335088</v>
      </c>
      <c r="C62" s="1">
        <f t="shared" si="2"/>
        <v>-0.19432990645533479</v>
      </c>
    </row>
    <row r="63" spans="1:3" x14ac:dyDescent="0.25">
      <c r="A63" s="30">
        <v>5.5</v>
      </c>
      <c r="B63" s="1">
        <f t="shared" si="0"/>
        <v>10.000009793449296</v>
      </c>
      <c r="C63" s="1">
        <f t="shared" si="2"/>
        <v>4.4256979880507854E-3</v>
      </c>
    </row>
    <row r="64" spans="1:3" x14ac:dyDescent="0.25">
      <c r="A64" s="30">
        <v>5.6</v>
      </c>
      <c r="B64" s="1">
        <f t="shared" si="0"/>
        <v>10.220822270848682</v>
      </c>
      <c r="C64" s="1">
        <f t="shared" si="2"/>
        <v>0.20300486381875041</v>
      </c>
    </row>
    <row r="65" spans="1:3" x14ac:dyDescent="0.25">
      <c r="A65" s="30">
        <v>5.7</v>
      </c>
      <c r="B65" s="1">
        <f t="shared" si="0"/>
        <v>10.480671474335324</v>
      </c>
      <c r="C65" s="1">
        <f t="shared" si="2"/>
        <v>0.39349086634789088</v>
      </c>
    </row>
    <row r="66" spans="1:3" x14ac:dyDescent="0.25">
      <c r="A66" s="30">
        <v>5.8</v>
      </c>
      <c r="B66" s="1">
        <f t="shared" si="0"/>
        <v>10.777171405031291</v>
      </c>
      <c r="C66" s="1">
        <f t="shared" si="2"/>
        <v>0.56828962976797359</v>
      </c>
    </row>
    <row r="67" spans="1:3" x14ac:dyDescent="0.25">
      <c r="A67" s="30">
        <v>5.9</v>
      </c>
      <c r="B67" s="1">
        <f t="shared" si="0"/>
        <v>11.106474915222879</v>
      </c>
      <c r="C67" s="1">
        <f t="shared" si="2"/>
        <v>0.72043247899083873</v>
      </c>
    </row>
    <row r="68" spans="1:3" x14ac:dyDescent="0.25">
      <c r="A68" s="30">
        <v>6</v>
      </c>
      <c r="B68" s="1">
        <f t="shared" si="0"/>
        <v>11.463427081999566</v>
      </c>
      <c r="C68" s="1">
        <f t="shared" si="2"/>
        <v>0.84385395873249214</v>
      </c>
    </row>
    <row r="69" spans="1:3" x14ac:dyDescent="0.25">
      <c r="A69" s="30">
        <v>6.1</v>
      </c>
      <c r="B69" s="1">
        <f t="shared" si="0"/>
        <v>11.84177071776317</v>
      </c>
      <c r="C69" s="1">
        <f t="shared" si="2"/>
        <v>0.93363364407463734</v>
      </c>
    </row>
    <row r="70" spans="1:3" x14ac:dyDescent="0.25">
      <c r="A70" s="30">
        <v>6.2</v>
      </c>
      <c r="B70" s="1">
        <f t="shared" si="0"/>
        <v>12.23439582455169</v>
      </c>
      <c r="C70" s="1">
        <f t="shared" si="2"/>
        <v>0.98619230227886368</v>
      </c>
    </row>
    <row r="71" spans="1:3" x14ac:dyDescent="0.25">
      <c r="A71" s="30">
        <v>6.3</v>
      </c>
      <c r="B71" s="1">
        <f t="shared" si="0"/>
        <v>12.633623047221135</v>
      </c>
      <c r="C71" s="1">
        <f t="shared" si="2"/>
        <v>0.99943458550100472</v>
      </c>
    </row>
    <row r="72" spans="1:3" x14ac:dyDescent="0.25">
      <c r="A72" s="30">
        <v>6.4</v>
      </c>
      <c r="B72" s="1">
        <f t="shared" si="0"/>
        <v>13.031509825101539</v>
      </c>
      <c r="C72" s="1">
        <f t="shared" si="2"/>
        <v>0.97283256569743537</v>
      </c>
    </row>
    <row r="73" spans="1:3" x14ac:dyDescent="0.25">
      <c r="A73" s="30">
        <v>6.5</v>
      </c>
      <c r="B73" s="1">
        <f t="shared" ref="B73:B108" si="3">$C$2*A73+$C$5*SIN($C$3*A73)</f>
        <v>13.420167036826641</v>
      </c>
      <c r="C73" s="1">
        <f t="shared" si="2"/>
        <v>0.90744678145019619</v>
      </c>
    </row>
    <row r="74" spans="1:3" x14ac:dyDescent="0.25">
      <c r="A74" s="30">
        <v>6.6</v>
      </c>
      <c r="B74" s="1">
        <f t="shared" si="3"/>
        <v>13.792073514707223</v>
      </c>
      <c r="C74" s="1">
        <f t="shared" si="2"/>
        <v>0.80588395764045073</v>
      </c>
    </row>
    <row r="75" spans="1:3" x14ac:dyDescent="0.25">
      <c r="A75" s="30">
        <v>6.7</v>
      </c>
      <c r="B75" s="1">
        <f t="shared" si="3"/>
        <v>14.140375889952448</v>
      </c>
      <c r="C75" s="1">
        <f t="shared" si="2"/>
        <v>0.67219308355346807</v>
      </c>
    </row>
    <row r="76" spans="1:3" x14ac:dyDescent="0.25">
      <c r="A76" s="30">
        <v>6.8</v>
      </c>
      <c r="B76" s="1">
        <f t="shared" si="3"/>
        <v>14.459161814856495</v>
      </c>
      <c r="C76" s="1">
        <f t="shared" si="2"/>
        <v>0.51170399245314901</v>
      </c>
    </row>
    <row r="77" spans="1:3" x14ac:dyDescent="0.25">
      <c r="A77" s="30">
        <v>6.9</v>
      </c>
      <c r="B77" s="1">
        <f t="shared" si="3"/>
        <v>14.743695669444106</v>
      </c>
      <c r="C77" s="1">
        <f t="shared" si="2"/>
        <v>0.33081487794904696</v>
      </c>
    </row>
    <row r="78" spans="1:3" x14ac:dyDescent="0.25">
      <c r="A78" s="30">
        <v>7</v>
      </c>
      <c r="B78" s="1">
        <f t="shared" si="3"/>
        <v>14.99060735569487</v>
      </c>
      <c r="C78" s="1">
        <f t="shared" si="2"/>
        <v>0.13673721820783361</v>
      </c>
    </row>
    <row r="79" spans="1:3" x14ac:dyDescent="0.25">
      <c r="A79" s="30">
        <v>7.1</v>
      </c>
      <c r="B79" s="1">
        <f t="shared" si="3"/>
        <v>15.198026652716361</v>
      </c>
      <c r="C79" s="1">
        <f t="shared" si="2"/>
        <v>-6.2791722924081764E-2</v>
      </c>
    </row>
    <row r="80" spans="1:3" x14ac:dyDescent="0.25">
      <c r="A80" s="30">
        <v>7.2</v>
      </c>
      <c r="B80" s="1">
        <f t="shared" si="3"/>
        <v>15.365657776549277</v>
      </c>
      <c r="C80" s="1">
        <f t="shared" ref="C80:C108" si="4">$C$5*COS($C$3*A80)</f>
        <v>-0.25981735621375585</v>
      </c>
    </row>
    <row r="81" spans="1:3" x14ac:dyDescent="0.25">
      <c r="A81" s="30">
        <v>7.3</v>
      </c>
      <c r="B81" s="1">
        <f t="shared" si="3"/>
        <v>15.494791172140504</v>
      </c>
      <c r="C81" s="1">
        <f t="shared" si="4"/>
        <v>-0.44648489141226561</v>
      </c>
    </row>
    <row r="82" spans="1:3" x14ac:dyDescent="0.25">
      <c r="A82" s="30">
        <v>7.4</v>
      </c>
      <c r="B82" s="1">
        <f t="shared" si="3"/>
        <v>15.588252067375317</v>
      </c>
      <c r="C82" s="1">
        <f t="shared" si="4"/>
        <v>-0.61535248295472078</v>
      </c>
    </row>
    <row r="83" spans="1:3" x14ac:dyDescent="0.25">
      <c r="A83" s="30">
        <v>7.5</v>
      </c>
      <c r="B83" s="1">
        <f t="shared" si="3"/>
        <v>15.650287840157116</v>
      </c>
      <c r="C83" s="1">
        <f t="shared" si="4"/>
        <v>-0.75968791285882131</v>
      </c>
    </row>
    <row r="84" spans="1:3" x14ac:dyDescent="0.25">
      <c r="A84" s="30">
        <v>7.6</v>
      </c>
      <c r="B84" s="1">
        <f t="shared" si="3"/>
        <v>15.686398688853799</v>
      </c>
      <c r="C84" s="1">
        <f t="shared" si="4"/>
        <v>-0.87373698301108016</v>
      </c>
    </row>
    <row r="85" spans="1:3" x14ac:dyDescent="0.25">
      <c r="A85" s="30">
        <v>7.7</v>
      </c>
      <c r="B85" s="1">
        <f t="shared" si="3"/>
        <v>15.703118356745703</v>
      </c>
      <c r="C85" s="1">
        <f t="shared" si="4"/>
        <v>-0.95295291688718031</v>
      </c>
    </row>
    <row r="86" spans="1:3" x14ac:dyDescent="0.25">
      <c r="A86" s="30">
        <v>7.8</v>
      </c>
      <c r="B86" s="1">
        <f t="shared" si="3"/>
        <v>15.707753652299443</v>
      </c>
      <c r="C86" s="1">
        <f t="shared" si="4"/>
        <v>-0.99417762518381514</v>
      </c>
    </row>
    <row r="87" spans="1:3" x14ac:dyDescent="0.25">
      <c r="A87" s="30">
        <v>7.9</v>
      </c>
      <c r="B87" s="1">
        <f t="shared" si="3"/>
        <v>15.708093149772319</v>
      </c>
      <c r="C87" s="1">
        <f t="shared" si="4"/>
        <v>-0.99576760887328852</v>
      </c>
    </row>
    <row r="88" spans="1:3" x14ac:dyDescent="0.25">
      <c r="A88" s="30">
        <v>8</v>
      </c>
      <c r="B88" s="1">
        <f t="shared" si="3"/>
        <v>15.712096683334934</v>
      </c>
      <c r="C88" s="1">
        <f t="shared" si="4"/>
        <v>-0.95765948032338466</v>
      </c>
    </row>
    <row r="89" spans="1:3" x14ac:dyDescent="0.25">
      <c r="A89" s="30">
        <v>8.1</v>
      </c>
      <c r="B89" s="1">
        <f t="shared" si="3"/>
        <v>15.727578013601534</v>
      </c>
      <c r="C89" s="1">
        <f t="shared" si="4"/>
        <v>-0.88137249036223464</v>
      </c>
    </row>
    <row r="90" spans="1:3" x14ac:dyDescent="0.25">
      <c r="A90" s="30">
        <v>8.1999999999999993</v>
      </c>
      <c r="B90" s="1">
        <f t="shared" si="3"/>
        <v>15.761893317652051</v>
      </c>
      <c r="C90" s="1">
        <f t="shared" si="4"/>
        <v>-0.76994796054207171</v>
      </c>
    </row>
    <row r="91" spans="1:3" x14ac:dyDescent="0.25">
      <c r="A91" s="30">
        <v>8.3000000000000007</v>
      </c>
      <c r="B91" s="1">
        <f t="shared" si="3"/>
        <v>15.821647921465702</v>
      </c>
      <c r="C91" s="1">
        <f t="shared" si="4"/>
        <v>-0.62782803524638597</v>
      </c>
    </row>
    <row r="92" spans="1:3" x14ac:dyDescent="0.25">
      <c r="A92" s="30">
        <v>8.4</v>
      </c>
      <c r="B92" s="1">
        <f t="shared" si="3"/>
        <v>15.912432966418496</v>
      </c>
      <c r="C92" s="1">
        <f t="shared" si="4"/>
        <v>-0.46067858741136253</v>
      </c>
    </row>
    <row r="93" spans="1:3" x14ac:dyDescent="0.25">
      <c r="A93" s="30">
        <v>8.5</v>
      </c>
      <c r="B93" s="1">
        <f t="shared" si="3"/>
        <v>16.038602508120444</v>
      </c>
      <c r="C93" s="1">
        <f t="shared" si="4"/>
        <v>-0.27516333805159693</v>
      </c>
    </row>
    <row r="94" spans="1:3" x14ac:dyDescent="0.25">
      <c r="A94" s="30">
        <v>8.6</v>
      </c>
      <c r="B94" s="1">
        <f t="shared" si="3"/>
        <v>16.203099933958402</v>
      </c>
      <c r="C94" s="1">
        <f t="shared" si="4"/>
        <v>-7.8678194731840151E-2</v>
      </c>
    </row>
    <row r="95" spans="1:3" x14ac:dyDescent="0.25">
      <c r="A95" s="30">
        <v>8.6999999999999993</v>
      </c>
      <c r="B95" s="1">
        <f t="shared" si="3"/>
        <v>16.407340619529364</v>
      </c>
      <c r="C95" s="1">
        <f t="shared" si="4"/>
        <v>0.12094359992847414</v>
      </c>
    </row>
    <row r="96" spans="1:3" x14ac:dyDescent="0.25">
      <c r="A96" s="30">
        <v>8.8000000000000007</v>
      </c>
      <c r="B96" s="1">
        <f t="shared" si="3"/>
        <v>16.651155502081878</v>
      </c>
      <c r="C96" s="1">
        <f t="shared" si="4"/>
        <v>0.31574375491924334</v>
      </c>
    </row>
    <row r="97" spans="1:3" x14ac:dyDescent="0.25">
      <c r="A97" s="30">
        <v>8.9</v>
      </c>
      <c r="B97" s="1">
        <f t="shared" si="3"/>
        <v>16.93279782051442</v>
      </c>
      <c r="C97" s="1">
        <f t="shared" si="4"/>
        <v>0.49795620278841546</v>
      </c>
    </row>
    <row r="98" spans="1:3" x14ac:dyDescent="0.25">
      <c r="A98" s="30">
        <v>9</v>
      </c>
      <c r="B98" s="1">
        <f t="shared" si="3"/>
        <v>17.249012753228325</v>
      </c>
      <c r="C98" s="1">
        <f t="shared" si="4"/>
        <v>0.66031670824408017</v>
      </c>
    </row>
    <row r="99" spans="1:3" x14ac:dyDescent="0.25">
      <c r="A99" s="30">
        <v>9.1</v>
      </c>
      <c r="B99" s="1">
        <f t="shared" si="3"/>
        <v>17.595167177593716</v>
      </c>
      <c r="C99" s="1">
        <f t="shared" si="4"/>
        <v>0.79635247029192313</v>
      </c>
    </row>
    <row r="100" spans="1:3" x14ac:dyDescent="0.25">
      <c r="A100" s="30">
        <v>9.1999999999999993</v>
      </c>
      <c r="B100" s="1">
        <f t="shared" si="3"/>
        <v>17.965434377928101</v>
      </c>
      <c r="C100" s="1">
        <f t="shared" si="4"/>
        <v>0.90064017238476846</v>
      </c>
    </row>
    <row r="101" spans="1:3" x14ac:dyDescent="0.25">
      <c r="A101" s="30">
        <v>9.3000000000000007</v>
      </c>
      <c r="B101" s="1">
        <f t="shared" si="3"/>
        <v>18.35302633826338</v>
      </c>
      <c r="C101" s="1">
        <f t="shared" si="4"/>
        <v>0.9690221929390499</v>
      </c>
    </row>
    <row r="102" spans="1:3" x14ac:dyDescent="0.25">
      <c r="A102" s="30">
        <v>9.4</v>
      </c>
      <c r="B102" s="1">
        <f t="shared" si="3"/>
        <v>18.750464359121633</v>
      </c>
      <c r="C102" s="1">
        <f t="shared" si="4"/>
        <v>0.9987723565872102</v>
      </c>
    </row>
    <row r="103" spans="1:3" x14ac:dyDescent="0.25">
      <c r="A103" s="30">
        <v>9.5</v>
      </c>
      <c r="B103" s="1">
        <f t="shared" si="3"/>
        <v>19.149877209662954</v>
      </c>
      <c r="C103" s="1">
        <f t="shared" si="4"/>
        <v>0.98870461818666922</v>
      </c>
    </row>
    <row r="104" spans="1:3" x14ac:dyDescent="0.25">
      <c r="A104" s="30">
        <v>9.6</v>
      </c>
      <c r="B104" s="1">
        <f t="shared" si="3"/>
        <v>19.543314928819896</v>
      </c>
      <c r="C104" s="1">
        <f t="shared" si="4"/>
        <v>0.93922034669687082</v>
      </c>
    </row>
    <row r="105" spans="1:3" x14ac:dyDescent="0.25">
      <c r="A105" s="30">
        <v>9.6999999999999993</v>
      </c>
      <c r="B105" s="1">
        <f t="shared" si="3"/>
        <v>19.923065765157695</v>
      </c>
      <c r="C105" s="1">
        <f t="shared" si="4"/>
        <v>0.85229232386546439</v>
      </c>
    </row>
    <row r="106" spans="1:3" x14ac:dyDescent="0.25">
      <c r="A106" s="30">
        <v>9.8000000000000007</v>
      </c>
      <c r="B106" s="1">
        <f t="shared" si="3"/>
        <v>20.281963620068137</v>
      </c>
      <c r="C106" s="1">
        <f t="shared" si="4"/>
        <v>0.73138609564549673</v>
      </c>
    </row>
    <row r="107" spans="1:3" x14ac:dyDescent="0.25">
      <c r="A107" s="30">
        <v>9.9</v>
      </c>
      <c r="B107" s="1">
        <f t="shared" si="3"/>
        <v>20.613673737507106</v>
      </c>
      <c r="C107" s="1">
        <f t="shared" si="4"/>
        <v>0.58132181181443565</v>
      </c>
    </row>
    <row r="108" spans="1:3" x14ac:dyDescent="0.25">
      <c r="A108" s="30">
        <v>10</v>
      </c>
      <c r="B108" s="1">
        <f t="shared" si="3"/>
        <v>20.912945250727628</v>
      </c>
      <c r="C108" s="1">
        <f t="shared" si="4"/>
        <v>0.40808206181339196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5" x14ac:dyDescent="0.25"/>
  <cols>
    <col min="1" max="1" width="20.28515625" customWidth="1"/>
    <col min="2" max="2" width="18.140625" customWidth="1"/>
  </cols>
  <sheetData>
    <row r="1" spans="1:2" x14ac:dyDescent="0.25">
      <c r="A1" s="20" t="s">
        <v>48</v>
      </c>
      <c r="B1" s="20"/>
    </row>
    <row r="2" spans="1:2" x14ac:dyDescent="0.25">
      <c r="A2" s="5" t="s">
        <v>1</v>
      </c>
      <c r="B2" s="4"/>
    </row>
    <row r="3" spans="1:2" x14ac:dyDescent="0.25">
      <c r="A3" s="4" t="s">
        <v>49</v>
      </c>
      <c r="B3" s="4">
        <v>23000</v>
      </c>
    </row>
    <row r="4" spans="1:2" x14ac:dyDescent="0.25">
      <c r="A4" s="4" t="s">
        <v>50</v>
      </c>
      <c r="B4" s="6">
        <v>6000000000</v>
      </c>
    </row>
    <row r="5" spans="1:2" x14ac:dyDescent="0.25">
      <c r="A5" s="4" t="s">
        <v>51</v>
      </c>
      <c r="B5" s="4">
        <v>300</v>
      </c>
    </row>
    <row r="6" spans="1:2" x14ac:dyDescent="0.25">
      <c r="A6" s="4" t="s">
        <v>52</v>
      </c>
      <c r="B6" s="33">
        <f>(B3*1000000000000)/(B4*B5*365)</f>
        <v>35.007610350076106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24" sqref="B24"/>
    </sheetView>
  </sheetViews>
  <sheetFormatPr defaultRowHeight="15" x14ac:dyDescent="0.25"/>
  <cols>
    <col min="1" max="1" width="22.85546875" customWidth="1"/>
    <col min="2" max="2" width="29.5703125" customWidth="1"/>
  </cols>
  <sheetData>
    <row r="1" spans="1:2" x14ac:dyDescent="0.25">
      <c r="A1" s="20" t="s">
        <v>53</v>
      </c>
      <c r="B1" s="20"/>
    </row>
    <row r="2" spans="1:2" x14ac:dyDescent="0.25">
      <c r="A2" s="28" t="s">
        <v>1</v>
      </c>
      <c r="B2" s="1"/>
    </row>
    <row r="3" spans="1:2" x14ac:dyDescent="0.25">
      <c r="A3" s="1" t="s">
        <v>54</v>
      </c>
      <c r="B3" s="1">
        <v>40</v>
      </c>
    </row>
    <row r="4" spans="1:2" x14ac:dyDescent="0.25">
      <c r="A4" s="1" t="s">
        <v>55</v>
      </c>
      <c r="B4" s="1">
        <v>500000</v>
      </c>
    </row>
    <row r="5" spans="1:2" x14ac:dyDescent="0.25">
      <c r="A5" s="1" t="s">
        <v>56</v>
      </c>
      <c r="B5" s="1">
        <f>B4</f>
        <v>500000</v>
      </c>
    </row>
    <row r="6" spans="1:2" x14ac:dyDescent="0.25">
      <c r="A6" s="1" t="s">
        <v>57</v>
      </c>
      <c r="B6" s="1">
        <f>B5-B5*$B$3/100</f>
        <v>300000</v>
      </c>
    </row>
    <row r="7" spans="1:2" x14ac:dyDescent="0.25">
      <c r="A7" s="1" t="s">
        <v>58</v>
      </c>
      <c r="B7" s="1">
        <f>B6-B6*$B$3/100</f>
        <v>180000</v>
      </c>
    </row>
    <row r="8" spans="1:2" x14ac:dyDescent="0.25">
      <c r="A8" s="1" t="s">
        <v>59</v>
      </c>
      <c r="B8" s="1">
        <f t="shared" ref="B8:B22" si="0">B7-B7*$B$3/100</f>
        <v>108000</v>
      </c>
    </row>
    <row r="9" spans="1:2" x14ac:dyDescent="0.25">
      <c r="A9" s="1" t="s">
        <v>60</v>
      </c>
      <c r="B9" s="1">
        <f t="shared" si="0"/>
        <v>64800</v>
      </c>
    </row>
    <row r="10" spans="1:2" x14ac:dyDescent="0.25">
      <c r="A10" s="1" t="s">
        <v>61</v>
      </c>
      <c r="B10" s="1">
        <f t="shared" si="0"/>
        <v>38880</v>
      </c>
    </row>
    <row r="11" spans="1:2" x14ac:dyDescent="0.25">
      <c r="A11" s="1" t="s">
        <v>62</v>
      </c>
      <c r="B11" s="1">
        <f t="shared" si="0"/>
        <v>23328</v>
      </c>
    </row>
    <row r="12" spans="1:2" x14ac:dyDescent="0.25">
      <c r="A12" s="1" t="s">
        <v>63</v>
      </c>
      <c r="B12" s="1">
        <f t="shared" si="0"/>
        <v>13996.8</v>
      </c>
    </row>
    <row r="13" spans="1:2" x14ac:dyDescent="0.25">
      <c r="A13" s="1" t="s">
        <v>64</v>
      </c>
      <c r="B13" s="1">
        <f t="shared" si="0"/>
        <v>8398.0799999999981</v>
      </c>
    </row>
    <row r="14" spans="1:2" x14ac:dyDescent="0.25">
      <c r="A14" s="1" t="s">
        <v>65</v>
      </c>
      <c r="B14" s="1">
        <f t="shared" si="0"/>
        <v>5038.8479999999981</v>
      </c>
    </row>
    <row r="15" spans="1:2" x14ac:dyDescent="0.25">
      <c r="A15" s="1" t="s">
        <v>66</v>
      </c>
      <c r="B15" s="1">
        <f t="shared" si="0"/>
        <v>3023.3087999999989</v>
      </c>
    </row>
    <row r="16" spans="1:2" x14ac:dyDescent="0.25">
      <c r="A16" s="1" t="s">
        <v>67</v>
      </c>
      <c r="B16" s="1">
        <f t="shared" si="0"/>
        <v>1813.9852799999994</v>
      </c>
    </row>
    <row r="17" spans="1:2" x14ac:dyDescent="0.25">
      <c r="A17" s="1" t="s">
        <v>68</v>
      </c>
      <c r="B17" s="1">
        <f t="shared" si="0"/>
        <v>1088.3911679999997</v>
      </c>
    </row>
    <row r="18" spans="1:2" x14ac:dyDescent="0.25">
      <c r="A18" s="1" t="s">
        <v>69</v>
      </c>
      <c r="B18" s="1">
        <f t="shared" si="0"/>
        <v>653.03470079999977</v>
      </c>
    </row>
    <row r="19" spans="1:2" x14ac:dyDescent="0.25">
      <c r="A19" s="1" t="s">
        <v>70</v>
      </c>
      <c r="B19" s="1">
        <f t="shared" si="0"/>
        <v>391.82082047999984</v>
      </c>
    </row>
    <row r="20" spans="1:2" x14ac:dyDescent="0.25">
      <c r="A20" s="1" t="s">
        <v>71</v>
      </c>
      <c r="B20" s="1">
        <f t="shared" si="0"/>
        <v>235.0924922879999</v>
      </c>
    </row>
    <row r="21" spans="1:2" x14ac:dyDescent="0.25">
      <c r="A21" s="1" t="s">
        <v>72</v>
      </c>
      <c r="B21" s="1">
        <f t="shared" si="0"/>
        <v>141.05549537279995</v>
      </c>
    </row>
    <row r="22" spans="1:2" x14ac:dyDescent="0.25">
      <c r="A22" s="1" t="s">
        <v>73</v>
      </c>
      <c r="B22" s="1">
        <f t="shared" si="0"/>
        <v>84.633297223679975</v>
      </c>
    </row>
    <row r="23" spans="1:2" x14ac:dyDescent="0.25">
      <c r="A23" s="1" t="s">
        <v>74</v>
      </c>
      <c r="B23" s="1">
        <f>B22-B22*$B$3/100</f>
        <v>50.779978334207989</v>
      </c>
    </row>
    <row r="24" spans="1:2" x14ac:dyDescent="0.25">
      <c r="A24" s="1" t="s">
        <v>75</v>
      </c>
      <c r="B24" s="1">
        <f t="shared" ref="B24:B29" si="1">B23-B23*$B$3/100</f>
        <v>30.467987000524793</v>
      </c>
    </row>
    <row r="25" spans="1:2" x14ac:dyDescent="0.25">
      <c r="A25" s="1" t="s">
        <v>76</v>
      </c>
      <c r="B25" s="1">
        <f t="shared" si="1"/>
        <v>18.280792200314878</v>
      </c>
    </row>
    <row r="26" spans="1:2" x14ac:dyDescent="0.25">
      <c r="A26" s="1" t="s">
        <v>77</v>
      </c>
      <c r="B26" s="1">
        <f t="shared" si="1"/>
        <v>10.968475320188926</v>
      </c>
    </row>
    <row r="27" spans="1:2" x14ac:dyDescent="0.25">
      <c r="A27" s="1" t="s">
        <v>78</v>
      </c>
      <c r="B27" s="1">
        <f t="shared" si="1"/>
        <v>6.5810851921133553</v>
      </c>
    </row>
    <row r="28" spans="1:2" x14ac:dyDescent="0.25">
      <c r="A28" s="1" t="s">
        <v>79</v>
      </c>
      <c r="B28" s="1">
        <f t="shared" si="1"/>
        <v>3.9486511152680133</v>
      </c>
    </row>
    <row r="29" spans="1:2" x14ac:dyDescent="0.25">
      <c r="A29" s="1" t="s">
        <v>80</v>
      </c>
      <c r="B29" s="1">
        <f t="shared" si="1"/>
        <v>2.3691906691608082</v>
      </c>
    </row>
  </sheetData>
  <mergeCells count="1">
    <mergeCell ref="A1:B1"/>
  </mergeCells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9" sqref="E9"/>
    </sheetView>
  </sheetViews>
  <sheetFormatPr defaultRowHeight="15" x14ac:dyDescent="0.25"/>
  <cols>
    <col min="1" max="1" width="16.140625" customWidth="1"/>
  </cols>
  <sheetData>
    <row r="1" spans="1:6" x14ac:dyDescent="0.25">
      <c r="A1" s="20" t="s">
        <v>81</v>
      </c>
      <c r="B1" s="20"/>
      <c r="C1" s="20"/>
      <c r="D1" s="20"/>
      <c r="E1" s="20"/>
      <c r="F1" s="20"/>
    </row>
    <row r="2" spans="1:6" ht="30" x14ac:dyDescent="0.25">
      <c r="A2" s="14" t="s">
        <v>10</v>
      </c>
      <c r="B2" s="1"/>
      <c r="C2" s="1"/>
      <c r="D2" s="1"/>
      <c r="E2" s="1"/>
      <c r="F2" s="1"/>
    </row>
    <row r="3" spans="1:6" ht="30" x14ac:dyDescent="0.25">
      <c r="A3" s="2" t="s">
        <v>82</v>
      </c>
      <c r="B3" s="1">
        <v>130</v>
      </c>
      <c r="C3" s="1"/>
      <c r="D3" s="1"/>
      <c r="E3" s="1"/>
      <c r="F3" s="1"/>
    </row>
    <row r="4" spans="1:6" x14ac:dyDescent="0.25">
      <c r="A4" s="2" t="s">
        <v>83</v>
      </c>
      <c r="B4" s="1">
        <v>1.3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ht="45" x14ac:dyDescent="0.25">
      <c r="A6" s="14" t="s">
        <v>84</v>
      </c>
      <c r="B6" s="15" t="s">
        <v>56</v>
      </c>
      <c r="C6" s="15" t="s">
        <v>57</v>
      </c>
      <c r="D6" s="15" t="s">
        <v>58</v>
      </c>
      <c r="E6" s="15" t="s">
        <v>59</v>
      </c>
      <c r="F6" s="15" t="s">
        <v>60</v>
      </c>
    </row>
    <row r="7" spans="1:6" x14ac:dyDescent="0.25">
      <c r="A7" s="2" t="s">
        <v>85</v>
      </c>
      <c r="B7" s="16">
        <f>B3</f>
        <v>130</v>
      </c>
      <c r="C7" s="16">
        <f>B7+B8-B9</f>
        <v>179.4</v>
      </c>
      <c r="D7" s="16">
        <f t="shared" ref="D7:F7" si="0">C7+C8-C9</f>
        <v>247.572</v>
      </c>
      <c r="E7" s="16">
        <f>D7+D8-D9</f>
        <v>341.64936</v>
      </c>
      <c r="F7" s="16">
        <f t="shared" si="0"/>
        <v>392.89676400000002</v>
      </c>
    </row>
    <row r="8" spans="1:6" x14ac:dyDescent="0.25">
      <c r="A8" s="2" t="s">
        <v>86</v>
      </c>
      <c r="B8" s="16">
        <f>B7/2*$B$4</f>
        <v>84.5</v>
      </c>
      <c r="C8" s="16">
        <f t="shared" ref="C8:F8" si="1">C7/2*$B$4</f>
        <v>116.61000000000001</v>
      </c>
      <c r="D8" s="16">
        <f t="shared" si="1"/>
        <v>160.92180000000002</v>
      </c>
      <c r="E8" s="16">
        <f t="shared" si="1"/>
        <v>222.07208400000002</v>
      </c>
      <c r="F8" s="16">
        <f t="shared" si="1"/>
        <v>255.38289660000001</v>
      </c>
    </row>
    <row r="9" spans="1:6" x14ac:dyDescent="0.25">
      <c r="A9" s="2" t="s">
        <v>87</v>
      </c>
      <c r="B9" s="16">
        <f>IF(B7&lt;300,B7*0.27,B7*0.5)</f>
        <v>35.1</v>
      </c>
      <c r="C9" s="16">
        <f t="shared" ref="C9:F9" si="2">IF(C7&lt;300,C7*0.27,C7*0.5)</f>
        <v>48.438000000000002</v>
      </c>
      <c r="D9" s="16">
        <f t="shared" si="2"/>
        <v>66.844440000000006</v>
      </c>
      <c r="E9" s="16">
        <f t="shared" si="2"/>
        <v>170.82468</v>
      </c>
      <c r="F9" s="16">
        <f t="shared" si="2"/>
        <v>196.44838200000001</v>
      </c>
    </row>
  </sheetData>
  <mergeCells count="1">
    <mergeCell ref="A1:F1"/>
  </mergeCells>
  <phoneticPr fontId="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85" zoomScaleNormal="85" workbookViewId="0">
      <selection activeCell="N33" sqref="N33"/>
    </sheetView>
  </sheetViews>
  <sheetFormatPr defaultRowHeight="15" x14ac:dyDescent="0.25"/>
  <cols>
    <col min="1" max="1" width="19.7109375" style="3" customWidth="1"/>
    <col min="2" max="2" width="10.140625" customWidth="1"/>
    <col min="4" max="4" width="18" bestFit="1" customWidth="1"/>
    <col min="5" max="5" width="13" customWidth="1"/>
    <col min="7" max="7" width="17" bestFit="1" customWidth="1"/>
    <col min="8" max="8" width="16.140625" customWidth="1"/>
    <col min="10" max="10" width="17" bestFit="1" customWidth="1"/>
    <col min="11" max="11" width="14.5703125" customWidth="1"/>
    <col min="13" max="13" width="17" bestFit="1" customWidth="1"/>
    <col min="14" max="14" width="17.7109375" customWidth="1"/>
  </cols>
  <sheetData>
    <row r="1" spans="1:17" x14ac:dyDescent="0.25">
      <c r="A1" s="19" t="s">
        <v>121</v>
      </c>
      <c r="B1" s="19"/>
      <c r="D1" s="19" t="s">
        <v>121</v>
      </c>
      <c r="E1" s="19"/>
      <c r="G1" s="19" t="s">
        <v>121</v>
      </c>
      <c r="H1" s="19"/>
      <c r="J1" s="19" t="s">
        <v>121</v>
      </c>
      <c r="K1" s="19"/>
      <c r="M1" s="19" t="s">
        <v>121</v>
      </c>
      <c r="N1" s="19"/>
      <c r="P1" s="21"/>
      <c r="Q1" s="21"/>
    </row>
    <row r="2" spans="1:17" x14ac:dyDescent="0.25">
      <c r="A2" s="4" t="s">
        <v>1</v>
      </c>
      <c r="B2" s="1"/>
      <c r="D2" s="4" t="s">
        <v>1</v>
      </c>
      <c r="E2" s="1"/>
      <c r="G2" s="4" t="s">
        <v>1</v>
      </c>
      <c r="H2" s="1"/>
      <c r="J2" s="4" t="s">
        <v>1</v>
      </c>
      <c r="K2" s="1"/>
      <c r="M2" s="4" t="s">
        <v>1</v>
      </c>
      <c r="N2" s="1"/>
      <c r="P2" s="3"/>
    </row>
    <row r="3" spans="1:17" x14ac:dyDescent="0.25">
      <c r="A3" s="4" t="s">
        <v>88</v>
      </c>
      <c r="B3" s="1">
        <v>1</v>
      </c>
      <c r="D3" s="4" t="s">
        <v>88</v>
      </c>
      <c r="E3" s="1">
        <v>1</v>
      </c>
      <c r="G3" s="4" t="s">
        <v>88</v>
      </c>
      <c r="H3" s="1">
        <v>1</v>
      </c>
      <c r="J3" s="4" t="s">
        <v>88</v>
      </c>
      <c r="K3" s="1">
        <v>1</v>
      </c>
      <c r="M3" s="4" t="s">
        <v>88</v>
      </c>
      <c r="N3" s="1">
        <v>1</v>
      </c>
      <c r="P3" s="3"/>
    </row>
    <row r="4" spans="1:17" x14ac:dyDescent="0.25">
      <c r="A4" s="4" t="s">
        <v>89</v>
      </c>
      <c r="B4" s="1">
        <v>1E-4</v>
      </c>
      <c r="D4" s="4" t="s">
        <v>89</v>
      </c>
      <c r="E4" s="1">
        <v>1E-4</v>
      </c>
      <c r="G4" s="4" t="s">
        <v>89</v>
      </c>
      <c r="H4" s="1">
        <v>1E-4</v>
      </c>
      <c r="J4" s="4" t="s">
        <v>89</v>
      </c>
      <c r="K4" s="1">
        <v>1E-4</v>
      </c>
      <c r="M4" s="4" t="s">
        <v>89</v>
      </c>
      <c r="N4" s="1">
        <v>1E-4</v>
      </c>
      <c r="P4" s="3"/>
    </row>
    <row r="5" spans="1:17" x14ac:dyDescent="0.25">
      <c r="A5" s="4" t="s">
        <v>90</v>
      </c>
      <c r="B5" s="1">
        <v>2000</v>
      </c>
      <c r="D5" s="4" t="s">
        <v>90</v>
      </c>
      <c r="E5" s="1">
        <v>2000</v>
      </c>
      <c r="G5" s="4" t="s">
        <v>90</v>
      </c>
      <c r="H5" s="1">
        <v>2000</v>
      </c>
      <c r="J5" s="4" t="s">
        <v>90</v>
      </c>
      <c r="K5" s="1">
        <v>2000</v>
      </c>
      <c r="M5" s="4" t="s">
        <v>90</v>
      </c>
      <c r="N5" s="1">
        <v>2000</v>
      </c>
      <c r="P5" s="3"/>
    </row>
    <row r="6" spans="1:17" x14ac:dyDescent="0.25">
      <c r="A6" s="4" t="s">
        <v>91</v>
      </c>
      <c r="B6" s="16">
        <v>12000</v>
      </c>
      <c r="D6" s="4" t="s">
        <v>91</v>
      </c>
      <c r="E6" s="16">
        <v>13000</v>
      </c>
      <c r="G6" s="4" t="s">
        <v>91</v>
      </c>
      <c r="H6" s="16">
        <v>14000</v>
      </c>
      <c r="J6" s="4" t="s">
        <v>91</v>
      </c>
      <c r="K6" s="16">
        <v>15000</v>
      </c>
      <c r="M6" s="4" t="s">
        <v>91</v>
      </c>
      <c r="N6" s="16">
        <v>17000</v>
      </c>
      <c r="P6" s="3"/>
      <c r="Q6" s="13"/>
    </row>
    <row r="7" spans="1:17" x14ac:dyDescent="0.25">
      <c r="A7" s="4" t="s">
        <v>92</v>
      </c>
      <c r="B7" s="16">
        <f>B6+(B$3-B$4*B6)*B6-B$5</f>
        <v>7600</v>
      </c>
      <c r="D7" s="4" t="s">
        <v>92</v>
      </c>
      <c r="E7" s="16">
        <f>E6+(E$3-E$4*E6)*E6-E$5</f>
        <v>7100</v>
      </c>
      <c r="G7" s="4" t="s">
        <v>92</v>
      </c>
      <c r="H7" s="16">
        <f>H6+(H$3-H$4*H6)*H6-H$5</f>
        <v>6399.9999999999982</v>
      </c>
      <c r="J7" s="4" t="s">
        <v>92</v>
      </c>
      <c r="K7" s="16">
        <f>K6+(K$3-K$4*K6)*K6-K$5</f>
        <v>5500</v>
      </c>
      <c r="M7" s="4" t="s">
        <v>92</v>
      </c>
      <c r="N7" s="16">
        <f>N6+(N$3-N$4*N6)*N6-N$5</f>
        <v>3099.9999999999964</v>
      </c>
      <c r="P7" s="3"/>
      <c r="Q7" s="13"/>
    </row>
    <row r="8" spans="1:17" x14ac:dyDescent="0.25">
      <c r="A8" s="4" t="s">
        <v>93</v>
      </c>
      <c r="B8" s="16">
        <f t="shared" ref="B8:B34" si="0">B7+(B$3-B$4*B7)*B7-B$5</f>
        <v>7424</v>
      </c>
      <c r="D8" s="4" t="s">
        <v>93</v>
      </c>
      <c r="E8" s="16">
        <f t="shared" ref="E8:E34" si="1">E7+(E$3-E$4*E7)*E7-E$5</f>
        <v>7159</v>
      </c>
      <c r="G8" s="4" t="s">
        <v>93</v>
      </c>
      <c r="H8" s="16">
        <f t="shared" ref="H8:H34" si="2">H7+(H$3-H$4*H7)*H7-H$5</f>
        <v>6703.9999999999982</v>
      </c>
      <c r="J8" s="4" t="s">
        <v>93</v>
      </c>
      <c r="K8" s="16">
        <f t="shared" ref="K8:K34" si="3">K7+(K$3-K$4*K7)*K7-K$5</f>
        <v>5975</v>
      </c>
      <c r="M8" s="4" t="s">
        <v>93</v>
      </c>
      <c r="N8" s="16">
        <f t="shared" ref="N8:N34" si="4">N7+(N$3-N$4*N7)*N7-N$5</f>
        <v>3238.9999999999945</v>
      </c>
      <c r="P8" s="3"/>
      <c r="Q8" s="13"/>
    </row>
    <row r="9" spans="1:17" x14ac:dyDescent="0.25">
      <c r="A9" s="4" t="s">
        <v>94</v>
      </c>
      <c r="B9" s="16">
        <f t="shared" si="0"/>
        <v>7336.4223999999995</v>
      </c>
      <c r="D9" s="4" t="s">
        <v>94</v>
      </c>
      <c r="E9" s="16">
        <f t="shared" si="1"/>
        <v>7192.8719000000001</v>
      </c>
      <c r="G9" s="4" t="s">
        <v>94</v>
      </c>
      <c r="H9" s="16">
        <f t="shared" si="2"/>
        <v>6913.638399999998</v>
      </c>
      <c r="J9" s="4" t="s">
        <v>94</v>
      </c>
      <c r="K9" s="16">
        <f t="shared" si="3"/>
        <v>6379.9375</v>
      </c>
      <c r="M9" s="4" t="s">
        <v>94</v>
      </c>
      <c r="N9" s="16">
        <f t="shared" si="4"/>
        <v>3428.8878999999924</v>
      </c>
      <c r="P9" s="3"/>
      <c r="Q9" s="13"/>
    </row>
    <row r="10" spans="1:17" x14ac:dyDescent="0.25">
      <c r="A10" s="4" t="s">
        <v>95</v>
      </c>
      <c r="B10" s="16">
        <f t="shared" si="0"/>
        <v>7290.5354368778226</v>
      </c>
      <c r="D10" s="4" t="s">
        <v>95</v>
      </c>
      <c r="E10" s="16">
        <f t="shared" si="1"/>
        <v>7212.0031830190383</v>
      </c>
      <c r="G10" s="4" t="s">
        <v>95</v>
      </c>
      <c r="H10" s="16">
        <f t="shared" si="2"/>
        <v>7047.4372074045423</v>
      </c>
      <c r="J10" s="4" t="s">
        <v>95</v>
      </c>
      <c r="K10" s="16">
        <f t="shared" si="3"/>
        <v>6689.5147496093741</v>
      </c>
      <c r="M10" s="4" t="s">
        <v>95</v>
      </c>
      <c r="N10" s="16">
        <f t="shared" si="4"/>
        <v>3682.0485769233492</v>
      </c>
      <c r="P10" s="3"/>
      <c r="Q10" s="13"/>
    </row>
    <row r="11" spans="1:17" x14ac:dyDescent="0.25">
      <c r="A11" s="4" t="s">
        <v>96</v>
      </c>
      <c r="B11" s="16">
        <f t="shared" si="0"/>
        <v>7265.8801781185139</v>
      </c>
      <c r="D11" s="4" t="s">
        <v>96</v>
      </c>
      <c r="E11" s="16">
        <f t="shared" si="1"/>
        <v>7222.7073748504026</v>
      </c>
      <c r="G11" s="4" t="s">
        <v>96</v>
      </c>
      <c r="H11" s="16">
        <f t="shared" si="2"/>
        <v>7128.237295578092</v>
      </c>
      <c r="J11" s="4" t="s">
        <v>96</v>
      </c>
      <c r="K11" s="16">
        <f t="shared" si="3"/>
        <v>6904.0687406946108</v>
      </c>
      <c r="M11" s="4" t="s">
        <v>96</v>
      </c>
      <c r="N11" s="16">
        <f t="shared" si="4"/>
        <v>4008.3489815643725</v>
      </c>
      <c r="P11" s="3"/>
      <c r="Q11" s="13"/>
    </row>
    <row r="12" spans="1:17" x14ac:dyDescent="0.25">
      <c r="A12" s="4" t="s">
        <v>97</v>
      </c>
      <c r="B12" s="16">
        <f t="shared" si="0"/>
        <v>7252.4588799594749</v>
      </c>
      <c r="D12" s="4" t="s">
        <v>97</v>
      </c>
      <c r="E12" s="16">
        <f t="shared" si="1"/>
        <v>7228.6645674289648</v>
      </c>
      <c r="G12" s="4" t="s">
        <v>97</v>
      </c>
      <c r="H12" s="16">
        <f t="shared" si="2"/>
        <v>7175.297896949136</v>
      </c>
      <c r="J12" s="4" t="s">
        <v>97</v>
      </c>
      <c r="K12" s="16">
        <f t="shared" si="3"/>
        <v>7041.5209637655753</v>
      </c>
      <c r="M12" s="4" t="s">
        <v>97</v>
      </c>
      <c r="N12" s="16">
        <f t="shared" si="4"/>
        <v>4410.0118073279309</v>
      </c>
      <c r="P12" s="3"/>
      <c r="Q12" s="13"/>
    </row>
    <row r="13" spans="1:17" x14ac:dyDescent="0.25">
      <c r="A13" s="4" t="s">
        <v>98</v>
      </c>
      <c r="B13" s="16">
        <f t="shared" si="0"/>
        <v>7245.101779368646</v>
      </c>
      <c r="D13" s="4" t="s">
        <v>98</v>
      </c>
      <c r="E13" s="16">
        <f t="shared" si="1"/>
        <v>7231.9699920176317</v>
      </c>
      <c r="G13" s="4" t="s">
        <v>98</v>
      </c>
      <c r="H13" s="16">
        <f t="shared" si="2"/>
        <v>7202.1058029020023</v>
      </c>
      <c r="J13" s="4" t="s">
        <v>98</v>
      </c>
      <c r="K13" s="16">
        <f t="shared" si="3"/>
        <v>7124.7401792161436</v>
      </c>
      <c r="M13" s="4" t="s">
        <v>98</v>
      </c>
      <c r="N13" s="16">
        <f t="shared" si="4"/>
        <v>4875.203200578685</v>
      </c>
      <c r="P13" s="3"/>
      <c r="Q13" s="13"/>
    </row>
    <row r="14" spans="1:17" x14ac:dyDescent="0.25">
      <c r="A14" s="4" t="s">
        <v>99</v>
      </c>
      <c r="B14" s="16">
        <f t="shared" si="0"/>
        <v>7241.053579396219</v>
      </c>
      <c r="D14" s="4" t="s">
        <v>99</v>
      </c>
      <c r="E14" s="16">
        <f t="shared" si="1"/>
        <v>7233.800987490913</v>
      </c>
      <c r="G14" s="4" t="s">
        <v>99</v>
      </c>
      <c r="H14" s="16">
        <f t="shared" si="2"/>
        <v>7217.1788061845346</v>
      </c>
      <c r="J14" s="4" t="s">
        <v>99</v>
      </c>
      <c r="K14" s="16">
        <f t="shared" si="3"/>
        <v>7173.2880962985982</v>
      </c>
      <c r="M14" s="4" t="s">
        <v>99</v>
      </c>
      <c r="N14" s="16">
        <f t="shared" si="4"/>
        <v>5373.6457764641036</v>
      </c>
      <c r="P14" s="3"/>
      <c r="Q14" s="13"/>
    </row>
    <row r="15" spans="1:17" x14ac:dyDescent="0.25">
      <c r="A15" s="4" t="s">
        <v>100</v>
      </c>
      <c r="B15" s="16">
        <f t="shared" si="0"/>
        <v>7238.821464823759</v>
      </c>
      <c r="D15" s="4" t="s">
        <v>100</v>
      </c>
      <c r="E15" s="16">
        <f t="shared" si="1"/>
        <v>7234.8143023193752</v>
      </c>
      <c r="G15" s="4" t="s">
        <v>100</v>
      </c>
      <c r="H15" s="16">
        <f t="shared" si="2"/>
        <v>7225.590620325147</v>
      </c>
      <c r="J15" s="4" t="s">
        <v>100</v>
      </c>
      <c r="K15" s="16">
        <f t="shared" si="3"/>
        <v>7200.9699813472798</v>
      </c>
      <c r="M15" s="4" t="s">
        <v>100</v>
      </c>
      <c r="N15" s="16">
        <f t="shared" si="4"/>
        <v>5859.6846598371576</v>
      </c>
      <c r="P15" s="3"/>
      <c r="Q15" s="13"/>
    </row>
    <row r="16" spans="1:17" x14ac:dyDescent="0.25">
      <c r="A16" s="4" t="s">
        <v>101</v>
      </c>
      <c r="B16" s="16">
        <f t="shared" si="0"/>
        <v>7237.5893096881991</v>
      </c>
      <c r="D16" s="4" t="s">
        <v>101</v>
      </c>
      <c r="E16" s="16">
        <f t="shared" si="1"/>
        <v>7235.3748057342509</v>
      </c>
      <c r="G16" s="4" t="s">
        <v>101</v>
      </c>
      <c r="H16" s="16">
        <f t="shared" si="2"/>
        <v>7230.2652593972198</v>
      </c>
      <c r="J16" s="4" t="s">
        <v>101</v>
      </c>
      <c r="K16" s="16">
        <f t="shared" si="3"/>
        <v>7216.5430954680942</v>
      </c>
      <c r="M16" s="4" t="s">
        <v>101</v>
      </c>
      <c r="N16" s="16">
        <f t="shared" si="4"/>
        <v>6285.7788884012243</v>
      </c>
      <c r="P16" s="3"/>
      <c r="Q16" s="13"/>
    </row>
    <row r="17" spans="1:17" x14ac:dyDescent="0.25">
      <c r="A17" s="4" t="s">
        <v>102</v>
      </c>
      <c r="B17" s="16">
        <f t="shared" si="0"/>
        <v>7236.9087178051086</v>
      </c>
      <c r="D17" s="4" t="s">
        <v>102</v>
      </c>
      <c r="E17" s="16">
        <f t="shared" si="1"/>
        <v>7235.6847535231063</v>
      </c>
      <c r="G17" s="4" t="s">
        <v>102</v>
      </c>
      <c r="H17" s="16">
        <f t="shared" si="2"/>
        <v>7232.8569466698045</v>
      </c>
      <c r="J17" s="4" t="s">
        <v>102</v>
      </c>
      <c r="K17" s="16">
        <f t="shared" si="3"/>
        <v>7225.2367660613654</v>
      </c>
      <c r="M17" s="4" t="s">
        <v>102</v>
      </c>
      <c r="N17" s="16">
        <f t="shared" si="4"/>
        <v>6620.4561534153945</v>
      </c>
      <c r="P17" s="3"/>
      <c r="Q17" s="13"/>
    </row>
    <row r="18" spans="1:17" x14ac:dyDescent="0.25">
      <c r="A18" s="4" t="s">
        <v>103</v>
      </c>
      <c r="B18" s="16">
        <f t="shared" si="0"/>
        <v>7236.5326566258591</v>
      </c>
      <c r="D18" s="4" t="s">
        <v>103</v>
      </c>
      <c r="E18" s="16">
        <f t="shared" si="1"/>
        <v>7235.8561218095383</v>
      </c>
      <c r="G18" s="4" t="s">
        <v>103</v>
      </c>
      <c r="H18" s="16">
        <f t="shared" si="2"/>
        <v>7234.2919322406451</v>
      </c>
      <c r="J18" s="4" t="s">
        <v>103</v>
      </c>
      <c r="K18" s="16">
        <f t="shared" si="3"/>
        <v>7230.0688995582404</v>
      </c>
      <c r="M18" s="4" t="s">
        <v>103</v>
      </c>
      <c r="N18" s="16">
        <f t="shared" si="4"/>
        <v>6857.8683389012131</v>
      </c>
      <c r="P18" s="3"/>
      <c r="Q18" s="13"/>
    </row>
    <row r="19" spans="1:17" x14ac:dyDescent="0.25">
      <c r="A19" s="4" t="s">
        <v>104</v>
      </c>
      <c r="B19" s="16">
        <f t="shared" si="0"/>
        <v>7236.3248242104673</v>
      </c>
      <c r="D19" s="4" t="s">
        <v>104</v>
      </c>
      <c r="E19" s="16">
        <f t="shared" si="1"/>
        <v>7235.95086206622</v>
      </c>
      <c r="G19" s="4" t="s">
        <v>104</v>
      </c>
      <c r="H19" s="16">
        <f t="shared" si="2"/>
        <v>7235.0858883930814</v>
      </c>
      <c r="J19" s="4" t="s">
        <v>104</v>
      </c>
      <c r="K19" s="16">
        <f t="shared" si="3"/>
        <v>7232.7481698805495</v>
      </c>
      <c r="M19" s="4" t="s">
        <v>104</v>
      </c>
      <c r="N19" s="16">
        <f t="shared" si="4"/>
        <v>7012.7008624320588</v>
      </c>
      <c r="P19" s="3"/>
      <c r="Q19" s="13"/>
    </row>
    <row r="20" spans="1:17" x14ac:dyDescent="0.25">
      <c r="A20" s="4" t="s">
        <v>105</v>
      </c>
      <c r="B20" s="16">
        <f t="shared" si="0"/>
        <v>7236.2099522724693</v>
      </c>
      <c r="D20" s="4" t="s">
        <v>105</v>
      </c>
      <c r="E20" s="16">
        <f t="shared" si="1"/>
        <v>7236.0032363087521</v>
      </c>
      <c r="G20" s="4" t="s">
        <v>105</v>
      </c>
      <c r="H20" s="16">
        <f t="shared" si="2"/>
        <v>7235.5249955436921</v>
      </c>
      <c r="J20" s="4" t="s">
        <v>105</v>
      </c>
      <c r="K20" s="16">
        <f t="shared" si="3"/>
        <v>7234.2317308700549</v>
      </c>
      <c r="M20" s="4" t="s">
        <v>105</v>
      </c>
      <c r="N20" s="16">
        <f t="shared" si="4"/>
        <v>7107.6043862685838</v>
      </c>
      <c r="P20" s="3"/>
      <c r="Q20" s="13"/>
    </row>
    <row r="21" spans="1:17" x14ac:dyDescent="0.25">
      <c r="A21" s="4" t="s">
        <v>106</v>
      </c>
      <c r="B21" s="16">
        <f t="shared" si="0"/>
        <v>7236.1464572082259</v>
      </c>
      <c r="D21" s="4" t="s">
        <v>106</v>
      </c>
      <c r="E21" s="16">
        <f t="shared" si="1"/>
        <v>7236.0321890304313</v>
      </c>
      <c r="G21" s="4" t="s">
        <v>106</v>
      </c>
      <c r="H21" s="16">
        <f t="shared" si="2"/>
        <v>7235.767794973628</v>
      </c>
      <c r="J21" s="4" t="s">
        <v>106</v>
      </c>
      <c r="K21" s="16">
        <f t="shared" si="3"/>
        <v>7235.052588147395</v>
      </c>
      <c r="M21" s="4" t="s">
        <v>106</v>
      </c>
      <c r="N21" s="16">
        <f t="shared" si="4"/>
        <v>7163.4047613667262</v>
      </c>
      <c r="P21" s="3"/>
      <c r="Q21" s="13"/>
    </row>
    <row r="22" spans="1:17" x14ac:dyDescent="0.25">
      <c r="A22" s="4" t="s">
        <v>107</v>
      </c>
      <c r="B22" s="16">
        <f t="shared" si="0"/>
        <v>7236.1113593997361</v>
      </c>
      <c r="D22" s="4" t="s">
        <v>107</v>
      </c>
      <c r="E22" s="16">
        <f t="shared" si="1"/>
        <v>7236.0481939924084</v>
      </c>
      <c r="G22" s="4" t="s">
        <v>107</v>
      </c>
      <c r="H22" s="16">
        <f t="shared" si="2"/>
        <v>7235.9020316695041</v>
      </c>
      <c r="J22" s="4" t="s">
        <v>107</v>
      </c>
      <c r="K22" s="16">
        <f t="shared" si="3"/>
        <v>7235.5065809689586</v>
      </c>
      <c r="M22" s="4" t="s">
        <v>107</v>
      </c>
      <c r="N22" s="16">
        <f t="shared" si="4"/>
        <v>7195.3727452163039</v>
      </c>
      <c r="P22" s="3"/>
      <c r="Q22" s="13"/>
    </row>
    <row r="23" spans="1:17" x14ac:dyDescent="0.25">
      <c r="A23" s="4" t="s">
        <v>108</v>
      </c>
      <c r="B23" s="16">
        <f t="shared" si="0"/>
        <v>7236.0919582360821</v>
      </c>
      <c r="D23" s="4" t="s">
        <v>108</v>
      </c>
      <c r="E23" s="16">
        <f t="shared" si="1"/>
        <v>7236.057041406737</v>
      </c>
      <c r="G23" s="4" t="s">
        <v>108</v>
      </c>
      <c r="H23" s="16">
        <f t="shared" si="2"/>
        <v>7235.9762421471223</v>
      </c>
      <c r="J23" s="4" t="s">
        <v>108</v>
      </c>
      <c r="K23" s="16">
        <f t="shared" si="3"/>
        <v>7235.7576136134066</v>
      </c>
      <c r="M23" s="4" t="s">
        <v>108</v>
      </c>
      <c r="N23" s="16">
        <f t="shared" si="4"/>
        <v>7213.4065961724464</v>
      </c>
      <c r="P23" s="3"/>
      <c r="Q23" s="13"/>
    </row>
    <row r="24" spans="1:17" x14ac:dyDescent="0.25">
      <c r="A24" s="4" t="s">
        <v>109</v>
      </c>
      <c r="B24" s="16">
        <f t="shared" si="0"/>
        <v>7236.0812336672734</v>
      </c>
      <c r="D24" s="4" t="s">
        <v>109</v>
      </c>
      <c r="E24" s="16">
        <f t="shared" si="1"/>
        <v>7236.0619321642716</v>
      </c>
      <c r="G24" s="4" t="s">
        <v>109</v>
      </c>
      <c r="H24" s="16">
        <f t="shared" si="2"/>
        <v>7236.0172666024846</v>
      </c>
      <c r="J24" s="4" t="s">
        <v>109</v>
      </c>
      <c r="K24" s="16">
        <f t="shared" si="3"/>
        <v>7235.8964029303752</v>
      </c>
      <c r="M24" s="4" t="s">
        <v>109</v>
      </c>
      <c r="N24" s="16">
        <f t="shared" si="4"/>
        <v>7223.489720174477</v>
      </c>
      <c r="P24" s="3"/>
      <c r="Q24" s="13"/>
    </row>
    <row r="25" spans="1:17" x14ac:dyDescent="0.25">
      <c r="A25" s="4" t="s">
        <v>110</v>
      </c>
      <c r="B25" s="16">
        <f t="shared" si="0"/>
        <v>7236.0753053113767</v>
      </c>
      <c r="D25" s="4" t="s">
        <v>110</v>
      </c>
      <c r="E25" s="16">
        <f t="shared" si="1"/>
        <v>7236.0646357168498</v>
      </c>
      <c r="G25" s="4" t="s">
        <v>110</v>
      </c>
      <c r="H25" s="16">
        <f t="shared" si="2"/>
        <v>7236.0399449480392</v>
      </c>
      <c r="J25" s="4" t="s">
        <v>110</v>
      </c>
      <c r="K25" s="16">
        <f t="shared" si="3"/>
        <v>7235.9731304666766</v>
      </c>
      <c r="M25" s="4" t="s">
        <v>110</v>
      </c>
      <c r="N25" s="16">
        <f t="shared" si="4"/>
        <v>7229.099066602319</v>
      </c>
      <c r="P25" s="3"/>
      <c r="Q25" s="13"/>
    </row>
    <row r="26" spans="1:17" x14ac:dyDescent="0.25">
      <c r="A26" s="4" t="s">
        <v>111</v>
      </c>
      <c r="B26" s="16">
        <f t="shared" si="0"/>
        <v>7236.0720282090406</v>
      </c>
      <c r="D26" s="4" t="s">
        <v>111</v>
      </c>
      <c r="E26" s="16">
        <f t="shared" si="1"/>
        <v>7236.0661302064964</v>
      </c>
      <c r="G26" s="4" t="s">
        <v>111</v>
      </c>
      <c r="H26" s="16">
        <f t="shared" si="2"/>
        <v>7236.0524814077162</v>
      </c>
      <c r="J26" s="4" t="s">
        <v>111</v>
      </c>
      <c r="K26" s="16">
        <f t="shared" si="3"/>
        <v>7236.0155464497802</v>
      </c>
      <c r="M26" s="4" t="s">
        <v>111</v>
      </c>
      <c r="N26" s="16">
        <f t="shared" si="4"/>
        <v>7232.2108017295868</v>
      </c>
      <c r="P26" s="3"/>
      <c r="Q26" s="13"/>
    </row>
    <row r="27" spans="1:17" x14ac:dyDescent="0.25">
      <c r="A27" s="4" t="s">
        <v>112</v>
      </c>
      <c r="B27" s="16">
        <f t="shared" si="0"/>
        <v>7236.0702166751507</v>
      </c>
      <c r="D27" s="4" t="s">
        <v>112</v>
      </c>
      <c r="E27" s="16">
        <f t="shared" si="1"/>
        <v>7236.0669563408301</v>
      </c>
      <c r="G27" s="4" t="s">
        <v>112</v>
      </c>
      <c r="H27" s="16">
        <f t="shared" si="2"/>
        <v>7236.0594114467549</v>
      </c>
      <c r="J27" s="4" t="s">
        <v>112</v>
      </c>
      <c r="K27" s="16">
        <f t="shared" si="3"/>
        <v>7236.0389940532696</v>
      </c>
      <c r="M27" s="4" t="s">
        <v>112</v>
      </c>
      <c r="N27" s="16">
        <f t="shared" si="4"/>
        <v>7233.934295393763</v>
      </c>
      <c r="P27" s="3"/>
      <c r="Q27" s="13"/>
    </row>
    <row r="28" spans="1:17" x14ac:dyDescent="0.25">
      <c r="A28" s="4" t="s">
        <v>113</v>
      </c>
      <c r="B28" s="16">
        <f t="shared" si="0"/>
        <v>7236.0692152849842</v>
      </c>
      <c r="D28" s="4" t="s">
        <v>113</v>
      </c>
      <c r="E28" s="16">
        <f t="shared" si="1"/>
        <v>7236.0674130168954</v>
      </c>
      <c r="G28" s="4" t="s">
        <v>113</v>
      </c>
      <c r="H28" s="16">
        <f t="shared" si="2"/>
        <v>7236.0632422947947</v>
      </c>
      <c r="J28" s="4" t="s">
        <v>113</v>
      </c>
      <c r="K28" s="16">
        <f t="shared" si="3"/>
        <v>7236.051955760593</v>
      </c>
      <c r="M28" s="4" t="s">
        <v>113</v>
      </c>
      <c r="N28" s="16">
        <f t="shared" si="4"/>
        <v>7234.888051780119</v>
      </c>
      <c r="P28" s="3"/>
      <c r="Q28" s="13"/>
    </row>
    <row r="29" spans="1:17" x14ac:dyDescent="0.25">
      <c r="A29" s="4" t="s">
        <v>114</v>
      </c>
      <c r="B29" s="16">
        <f t="shared" si="0"/>
        <v>7236.0686617304636</v>
      </c>
      <c r="D29" s="4" t="s">
        <v>114</v>
      </c>
      <c r="E29" s="16">
        <f t="shared" si="1"/>
        <v>7236.0676654612889</v>
      </c>
      <c r="G29" s="4" t="s">
        <v>114</v>
      </c>
      <c r="H29" s="16">
        <f t="shared" si="2"/>
        <v>7236.0653599406032</v>
      </c>
      <c r="J29" s="4" t="s">
        <v>114</v>
      </c>
      <c r="K29" s="16">
        <f t="shared" si="3"/>
        <v>7236.0591208745154</v>
      </c>
      <c r="M29" s="4" t="s">
        <v>114</v>
      </c>
      <c r="N29" s="16">
        <f t="shared" si="4"/>
        <v>7235.4155913811646</v>
      </c>
      <c r="P29" s="3"/>
      <c r="Q29" s="13"/>
    </row>
    <row r="30" spans="1:17" x14ac:dyDescent="0.25">
      <c r="A30" s="4" t="s">
        <v>115</v>
      </c>
      <c r="B30" s="16">
        <f t="shared" si="0"/>
        <v>7236.0683557331577</v>
      </c>
      <c r="D30" s="4" t="s">
        <v>115</v>
      </c>
      <c r="E30" s="16">
        <f t="shared" si="1"/>
        <v>7236.0678050091392</v>
      </c>
      <c r="G30" s="4" t="s">
        <v>115</v>
      </c>
      <c r="H30" s="16">
        <f t="shared" si="2"/>
        <v>7236.0665305479743</v>
      </c>
      <c r="J30" s="4" t="s">
        <v>115</v>
      </c>
      <c r="K30" s="16">
        <f t="shared" si="3"/>
        <v>7236.0630816699031</v>
      </c>
      <c r="M30" s="4" t="s">
        <v>115</v>
      </c>
      <c r="N30" s="16">
        <f t="shared" si="4"/>
        <v>7235.7073047621652</v>
      </c>
      <c r="P30" s="3"/>
      <c r="Q30" s="13"/>
    </row>
    <row r="31" spans="1:17" x14ac:dyDescent="0.25">
      <c r="A31" s="4" t="s">
        <v>116</v>
      </c>
      <c r="B31" s="16">
        <f t="shared" si="0"/>
        <v>7236.0681865820388</v>
      </c>
      <c r="D31" s="4" t="s">
        <v>116</v>
      </c>
      <c r="E31" s="16">
        <f t="shared" si="1"/>
        <v>7236.0678821493002</v>
      </c>
      <c r="G31" s="4" t="s">
        <v>116</v>
      </c>
      <c r="H31" s="16">
        <f t="shared" si="2"/>
        <v>7236.0671776442887</v>
      </c>
      <c r="J31" s="4" t="s">
        <v>116</v>
      </c>
      <c r="K31" s="16">
        <f t="shared" si="3"/>
        <v>7236.065271149193</v>
      </c>
      <c r="M31" s="4" t="s">
        <v>116</v>
      </c>
      <c r="N31" s="16">
        <f t="shared" si="4"/>
        <v>7235.868589505475</v>
      </c>
      <c r="P31" s="3"/>
      <c r="Q31" s="13"/>
    </row>
    <row r="32" spans="1:17" x14ac:dyDescent="0.25">
      <c r="A32" s="4" t="s">
        <v>117</v>
      </c>
      <c r="B32" s="16">
        <f t="shared" si="0"/>
        <v>7236.0680930776107</v>
      </c>
      <c r="D32" s="4" t="s">
        <v>117</v>
      </c>
      <c r="E32" s="16">
        <f t="shared" si="1"/>
        <v>7236.067924791334</v>
      </c>
      <c r="G32" s="4" t="s">
        <v>117</v>
      </c>
      <c r="H32" s="16">
        <f t="shared" si="2"/>
        <v>7236.0675353504794</v>
      </c>
      <c r="J32" s="4" t="s">
        <v>117</v>
      </c>
      <c r="K32" s="16">
        <f t="shared" si="3"/>
        <v>7236.0664814652409</v>
      </c>
      <c r="M32" s="4" t="s">
        <v>117</v>
      </c>
      <c r="N32" s="16">
        <f t="shared" si="4"/>
        <v>7235.957754551755</v>
      </c>
      <c r="P32" s="3"/>
      <c r="Q32" s="13"/>
    </row>
    <row r="33" spans="1:17" x14ac:dyDescent="0.25">
      <c r="A33" s="4" t="s">
        <v>118</v>
      </c>
      <c r="B33" s="16">
        <f t="shared" si="0"/>
        <v>7236.0680413896371</v>
      </c>
      <c r="D33" s="4" t="s">
        <v>118</v>
      </c>
      <c r="E33" s="16">
        <f t="shared" si="1"/>
        <v>7236.0679483632721</v>
      </c>
      <c r="G33" s="4" t="s">
        <v>118</v>
      </c>
      <c r="H33" s="16">
        <f t="shared" si="2"/>
        <v>7236.0677330856415</v>
      </c>
      <c r="J33" s="4" t="s">
        <v>118</v>
      </c>
      <c r="K33" s="16">
        <f t="shared" si="3"/>
        <v>7236.0671505120063</v>
      </c>
      <c r="M33" s="4" t="s">
        <v>118</v>
      </c>
      <c r="N33" s="16">
        <f t="shared" si="4"/>
        <v>7236.007046537743</v>
      </c>
      <c r="P33" s="3"/>
      <c r="Q33" s="13"/>
    </row>
    <row r="34" spans="1:17" x14ac:dyDescent="0.25">
      <c r="A34" s="4" t="s">
        <v>119</v>
      </c>
      <c r="B34" s="16">
        <f t="shared" si="0"/>
        <v>7236.068012817228</v>
      </c>
      <c r="D34" s="4" t="s">
        <v>119</v>
      </c>
      <c r="E34" s="16">
        <f t="shared" si="1"/>
        <v>7236.067961393519</v>
      </c>
      <c r="G34" s="4" t="s">
        <v>119</v>
      </c>
      <c r="H34" s="16">
        <f t="shared" si="2"/>
        <v>7236.0678423909649</v>
      </c>
      <c r="J34" s="4" t="s">
        <v>119</v>
      </c>
      <c r="K34" s="16">
        <f t="shared" si="3"/>
        <v>7236.0675203521168</v>
      </c>
      <c r="M34" s="4" t="s">
        <v>119</v>
      </c>
      <c r="N34" s="16">
        <f t="shared" si="4"/>
        <v>7236.0342953210984</v>
      </c>
      <c r="P34" s="3"/>
      <c r="Q34" s="13"/>
    </row>
    <row r="35" spans="1:17" x14ac:dyDescent="0.25">
      <c r="A35" s="4" t="s">
        <v>120</v>
      </c>
      <c r="B35" s="16">
        <f>B34+(B$3-B$4*B34)*B34-B$5</f>
        <v>7236.0679970227884</v>
      </c>
      <c r="D35" s="4" t="s">
        <v>120</v>
      </c>
      <c r="E35" s="16">
        <f>E34+(E$3-E$4*E34)*E34-E$5</f>
        <v>7236.0679685964624</v>
      </c>
      <c r="G35" s="4" t="s">
        <v>120</v>
      </c>
      <c r="H35" s="16">
        <f>H34+(H$3-H$4*H34)*H34-H$5</f>
        <v>7236.0679028134655</v>
      </c>
      <c r="J35" s="4" t="s">
        <v>120</v>
      </c>
      <c r="K35" s="16">
        <f>K34+(K$3-K$4*K34)*K34-K$5</f>
        <v>7236.0677247947497</v>
      </c>
      <c r="M35" s="4" t="s">
        <v>120</v>
      </c>
      <c r="N35" s="16">
        <f>N34+(N$3-N$4*N34)*N34-N$5</f>
        <v>7236.0493583358857</v>
      </c>
      <c r="P35" s="3"/>
      <c r="Q35" s="13"/>
    </row>
  </sheetData>
  <mergeCells count="6">
    <mergeCell ref="P1:Q1"/>
    <mergeCell ref="A1:B1"/>
    <mergeCell ref="D1:E1"/>
    <mergeCell ref="G1:H1"/>
    <mergeCell ref="J1:K1"/>
    <mergeCell ref="M1:N1"/>
  </mergeCells>
  <phoneticPr fontId="6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H30" sqref="H30"/>
    </sheetView>
  </sheetViews>
  <sheetFormatPr defaultRowHeight="15" x14ac:dyDescent="0.25"/>
  <cols>
    <col min="1" max="1" width="39.7109375" bestFit="1" customWidth="1"/>
    <col min="2" max="2" width="11.7109375" bestFit="1" customWidth="1"/>
    <col min="3" max="3" width="23" bestFit="1" customWidth="1"/>
    <col min="4" max="4" width="17.85546875" bestFit="1" customWidth="1"/>
  </cols>
  <sheetData>
    <row r="1" spans="1:4" x14ac:dyDescent="0.25">
      <c r="A1" s="34" t="s">
        <v>122</v>
      </c>
    </row>
    <row r="3" spans="1:4" x14ac:dyDescent="0.25">
      <c r="A3" s="34" t="s">
        <v>1</v>
      </c>
    </row>
    <row r="4" spans="1:4" x14ac:dyDescent="0.25">
      <c r="A4" s="34" t="s">
        <v>123</v>
      </c>
    </row>
    <row r="5" spans="1:4" x14ac:dyDescent="0.25">
      <c r="A5" t="s">
        <v>124</v>
      </c>
      <c r="B5">
        <v>23</v>
      </c>
      <c r="C5" t="s">
        <v>126</v>
      </c>
      <c r="D5" s="17">
        <v>39022</v>
      </c>
    </row>
    <row r="6" spans="1:4" x14ac:dyDescent="0.25">
      <c r="A6" t="s">
        <v>125</v>
      </c>
      <c r="B6">
        <v>28</v>
      </c>
      <c r="C6" t="s">
        <v>127</v>
      </c>
      <c r="D6" s="17">
        <v>45915</v>
      </c>
    </row>
    <row r="7" spans="1:4" x14ac:dyDescent="0.25">
      <c r="A7" t="s">
        <v>129</v>
      </c>
      <c r="B7">
        <v>33</v>
      </c>
      <c r="C7" t="s">
        <v>128</v>
      </c>
      <c r="D7">
        <v>30</v>
      </c>
    </row>
    <row r="8" spans="1:4" x14ac:dyDescent="0.25">
      <c r="A8" t="s">
        <v>130</v>
      </c>
    </row>
    <row r="9" spans="1:4" x14ac:dyDescent="0.25">
      <c r="A9" s="1" t="s">
        <v>134</v>
      </c>
      <c r="B9" s="1" t="s">
        <v>131</v>
      </c>
      <c r="C9" s="1" t="s">
        <v>132</v>
      </c>
      <c r="D9" s="1" t="s">
        <v>133</v>
      </c>
    </row>
    <row r="10" spans="1:4" x14ac:dyDescent="0.25">
      <c r="A10" s="35">
        <v>45915</v>
      </c>
      <c r="B10" s="1">
        <f>SIN(2*PI()*(A10-$D$5)/$B$5)</f>
        <v>-0.94226092211877865</v>
      </c>
      <c r="C10" s="1">
        <f>SIN(2*PI()*(A10-$D$5)/$B$6)</f>
        <v>0.90096886790236752</v>
      </c>
      <c r="D10" s="1">
        <f>SIN(2*PI()*(A10-$D$5)/$B$7)</f>
        <v>-0.69007901148224982</v>
      </c>
    </row>
    <row r="11" spans="1:4" x14ac:dyDescent="0.25">
      <c r="A11" s="35">
        <v>45916</v>
      </c>
      <c r="B11" s="1">
        <f t="shared" ref="B11:B40" si="0">SIN(2*PI()*(A11-$D$5)/$B$5)</f>
        <v>-0.99766876919053538</v>
      </c>
      <c r="C11" s="1">
        <f t="shared" ref="C11:C40" si="1">SIN(2*PI()*(A11-$D$5)/$B$6)</f>
        <v>0.9749279121817952</v>
      </c>
      <c r="D11" s="1">
        <f t="shared" ref="D11:D40" si="2">SIN(2*PI()*(A11-$D$5)/$B$7)</f>
        <v>-0.54064081745561343</v>
      </c>
    </row>
    <row r="12" spans="1:4" x14ac:dyDescent="0.25">
      <c r="A12" s="35">
        <v>45917</v>
      </c>
      <c r="B12" s="1">
        <f t="shared" si="0"/>
        <v>-0.97908408768236677</v>
      </c>
      <c r="C12" s="1">
        <f t="shared" si="1"/>
        <v>1</v>
      </c>
      <c r="D12" s="1">
        <f t="shared" si="2"/>
        <v>-0.37166245566039685</v>
      </c>
    </row>
    <row r="13" spans="1:4" x14ac:dyDescent="0.25">
      <c r="A13" s="35">
        <v>45918</v>
      </c>
      <c r="B13" s="1">
        <f t="shared" si="0"/>
        <v>-0.88788521840233858</v>
      </c>
      <c r="C13" s="1">
        <f t="shared" si="1"/>
        <v>0.97492791218180541</v>
      </c>
      <c r="D13" s="1">
        <f t="shared" si="2"/>
        <v>-0.18925124436031501</v>
      </c>
    </row>
    <row r="14" spans="1:4" x14ac:dyDescent="0.25">
      <c r="A14" s="35">
        <v>45919</v>
      </c>
      <c r="B14" s="1">
        <f t="shared" si="0"/>
        <v>-0.73083596427817821</v>
      </c>
      <c r="C14" s="1">
        <f t="shared" si="1"/>
        <v>0.9009688679024862</v>
      </c>
      <c r="D14" s="1">
        <f t="shared" si="2"/>
        <v>-1.8621432520959935E-13</v>
      </c>
    </row>
    <row r="15" spans="1:4" x14ac:dyDescent="0.25">
      <c r="A15" s="35">
        <v>45920</v>
      </c>
      <c r="B15" s="1">
        <f t="shared" si="0"/>
        <v>-0.519583950035443</v>
      </c>
      <c r="C15" s="1">
        <f t="shared" si="1"/>
        <v>0.78183148246798995</v>
      </c>
      <c r="D15" s="1">
        <f t="shared" si="2"/>
        <v>0.18925124436039586</v>
      </c>
    </row>
    <row r="16" spans="1:4" x14ac:dyDescent="0.25">
      <c r="A16" s="35">
        <v>45921</v>
      </c>
      <c r="B16" s="1">
        <f t="shared" si="0"/>
        <v>-0.26979677115696921</v>
      </c>
      <c r="C16" s="1">
        <f t="shared" si="1"/>
        <v>0.62348980185869041</v>
      </c>
      <c r="D16" s="1">
        <f t="shared" si="2"/>
        <v>0.37166245566026218</v>
      </c>
    </row>
    <row r="17" spans="1:4" x14ac:dyDescent="0.25">
      <c r="A17" s="35">
        <v>45922</v>
      </c>
      <c r="B17" s="1">
        <f t="shared" si="0"/>
        <v>-1.0193061672492121E-13</v>
      </c>
      <c r="C17" s="1">
        <f t="shared" si="1"/>
        <v>0.43388373911772138</v>
      </c>
      <c r="D17" s="1">
        <f t="shared" si="2"/>
        <v>0.54064081745549142</v>
      </c>
    </row>
    <row r="18" spans="1:4" x14ac:dyDescent="0.25">
      <c r="A18" s="35">
        <v>45923</v>
      </c>
      <c r="B18" s="1">
        <f t="shared" si="0"/>
        <v>0.26979677115699185</v>
      </c>
      <c r="C18" s="1">
        <f t="shared" si="1"/>
        <v>0.22252093395627803</v>
      </c>
      <c r="D18" s="1">
        <f t="shared" si="2"/>
        <v>0.6900790114821449</v>
      </c>
    </row>
    <row r="19" spans="1:4" x14ac:dyDescent="0.25">
      <c r="A19" s="35">
        <v>45924</v>
      </c>
      <c r="B19" s="1">
        <f t="shared" si="0"/>
        <v>0.51958395003526892</v>
      </c>
      <c r="C19" s="1">
        <f t="shared" si="1"/>
        <v>1.989556523002145E-13</v>
      </c>
      <c r="D19" s="1">
        <f t="shared" si="2"/>
        <v>0.81457595205032973</v>
      </c>
    </row>
    <row r="20" spans="1:4" x14ac:dyDescent="0.25">
      <c r="A20" s="35">
        <v>45925</v>
      </c>
      <c r="B20" s="1">
        <f t="shared" si="0"/>
        <v>0.73083596427819431</v>
      </c>
      <c r="C20" s="1">
        <f t="shared" si="1"/>
        <v>-0.22252093395633343</v>
      </c>
      <c r="D20" s="1">
        <f t="shared" si="2"/>
        <v>0.90963199535449091</v>
      </c>
    </row>
    <row r="21" spans="1:4" x14ac:dyDescent="0.25">
      <c r="A21" s="35">
        <v>45926</v>
      </c>
      <c r="B21" s="1">
        <f t="shared" si="0"/>
        <v>0.88788521840234935</v>
      </c>
      <c r="C21" s="1">
        <f t="shared" si="1"/>
        <v>-0.43388373911756772</v>
      </c>
      <c r="D21" s="1">
        <f t="shared" si="2"/>
        <v>0.9718115683235129</v>
      </c>
    </row>
    <row r="22" spans="1:4" x14ac:dyDescent="0.25">
      <c r="A22" s="35">
        <v>45927</v>
      </c>
      <c r="B22" s="1">
        <f t="shared" si="0"/>
        <v>0.97908408768227906</v>
      </c>
      <c r="C22" s="1">
        <f t="shared" si="1"/>
        <v>-0.62348980185855718</v>
      </c>
      <c r="D22" s="1">
        <f t="shared" si="2"/>
        <v>0.99886733918299953</v>
      </c>
    </row>
    <row r="23" spans="1:4" x14ac:dyDescent="0.25">
      <c r="A23" s="35">
        <v>45928</v>
      </c>
      <c r="B23" s="1">
        <f t="shared" si="0"/>
        <v>0.99766876919053371</v>
      </c>
      <c r="C23" s="1">
        <f t="shared" si="1"/>
        <v>-0.78183148246802536</v>
      </c>
      <c r="D23" s="1">
        <f t="shared" si="2"/>
        <v>0.98982144188093357</v>
      </c>
    </row>
    <row r="24" spans="1:4" x14ac:dyDescent="0.25">
      <c r="A24" s="35">
        <v>45929</v>
      </c>
      <c r="B24" s="1">
        <f t="shared" si="0"/>
        <v>0.94226092211884693</v>
      </c>
      <c r="C24" s="1">
        <f t="shared" si="1"/>
        <v>-0.90096886790241215</v>
      </c>
      <c r="D24" s="1">
        <f t="shared" si="2"/>
        <v>0.94500081871468866</v>
      </c>
    </row>
    <row r="25" spans="1:4" x14ac:dyDescent="0.25">
      <c r="A25" s="35">
        <v>45930</v>
      </c>
      <c r="B25" s="1">
        <f t="shared" si="0"/>
        <v>0.81696989301044809</v>
      </c>
      <c r="C25" s="1">
        <f t="shared" si="1"/>
        <v>-0.97492791218181807</v>
      </c>
      <c r="D25" s="1">
        <f t="shared" si="2"/>
        <v>0.86602540378438375</v>
      </c>
    </row>
    <row r="26" spans="1:4" x14ac:dyDescent="0.25">
      <c r="A26" s="35">
        <v>45931</v>
      </c>
      <c r="B26" s="1">
        <f t="shared" si="0"/>
        <v>0.63108794432618442</v>
      </c>
      <c r="C26" s="1">
        <f t="shared" si="1"/>
        <v>-1</v>
      </c>
      <c r="D26" s="1">
        <f t="shared" si="2"/>
        <v>0.75574957435422296</v>
      </c>
    </row>
    <row r="27" spans="1:4" x14ac:dyDescent="0.25">
      <c r="A27" s="35">
        <v>45932</v>
      </c>
      <c r="B27" s="1">
        <f t="shared" si="0"/>
        <v>0.39840108984633449</v>
      </c>
      <c r="C27" s="1">
        <f t="shared" si="1"/>
        <v>-0.97492791218188368</v>
      </c>
      <c r="D27" s="1">
        <f t="shared" si="2"/>
        <v>0.61815898622078536</v>
      </c>
    </row>
    <row r="28" spans="1:4" x14ac:dyDescent="0.25">
      <c r="A28" s="35">
        <v>45933</v>
      </c>
      <c r="B28" s="1">
        <f t="shared" si="0"/>
        <v>0.13616664909627943</v>
      </c>
      <c r="C28" s="1">
        <f t="shared" si="1"/>
        <v>-0.90096886790244146</v>
      </c>
      <c r="D28" s="1">
        <f t="shared" si="2"/>
        <v>0.45822652172746153</v>
      </c>
    </row>
    <row r="29" spans="1:4" x14ac:dyDescent="0.25">
      <c r="A29" s="35">
        <v>45934</v>
      </c>
      <c r="B29" s="1">
        <f t="shared" si="0"/>
        <v>-0.13616664909605611</v>
      </c>
      <c r="C29" s="1">
        <f t="shared" si="1"/>
        <v>-0.78183148246806755</v>
      </c>
      <c r="D29" s="1">
        <f t="shared" si="2"/>
        <v>0.28173255684153842</v>
      </c>
    </row>
    <row r="30" spans="1:4" x14ac:dyDescent="0.25">
      <c r="A30" s="35">
        <v>45935</v>
      </c>
      <c r="B30" s="1">
        <f t="shared" si="0"/>
        <v>-0.39840108984633626</v>
      </c>
      <c r="C30" s="1">
        <f t="shared" si="1"/>
        <v>-0.62348980185878777</v>
      </c>
      <c r="D30" s="1">
        <f t="shared" si="2"/>
        <v>9.5056043304124663E-2</v>
      </c>
    </row>
    <row r="31" spans="1:4" x14ac:dyDescent="0.25">
      <c r="A31" s="35">
        <v>45936</v>
      </c>
      <c r="B31" s="1">
        <f t="shared" si="0"/>
        <v>-0.63108794432600956</v>
      </c>
      <c r="C31" s="1">
        <f t="shared" si="1"/>
        <v>-0.43388373911762862</v>
      </c>
      <c r="D31" s="1">
        <f t="shared" si="2"/>
        <v>-9.5056043304185142E-2</v>
      </c>
    </row>
    <row r="32" spans="1:4" x14ac:dyDescent="0.25">
      <c r="A32" s="35">
        <v>45937</v>
      </c>
      <c r="B32" s="1">
        <f t="shared" si="0"/>
        <v>-0.81696989301031808</v>
      </c>
      <c r="C32" s="1">
        <f t="shared" si="1"/>
        <v>-0.22252093395639938</v>
      </c>
      <c r="D32" s="1">
        <f t="shared" si="2"/>
        <v>-0.2817325568413786</v>
      </c>
    </row>
    <row r="33" spans="1:4" x14ac:dyDescent="0.25">
      <c r="A33" s="35">
        <v>45938</v>
      </c>
      <c r="B33" s="1">
        <f t="shared" si="0"/>
        <v>-0.94226092211877144</v>
      </c>
      <c r="C33" s="1">
        <f t="shared" si="1"/>
        <v>-9.6049470460490838E-14</v>
      </c>
      <c r="D33" s="1">
        <f t="shared" si="2"/>
        <v>-0.45822652172731348</v>
      </c>
    </row>
    <row r="34" spans="1:4" x14ac:dyDescent="0.25">
      <c r="A34" s="35">
        <v>45939</v>
      </c>
      <c r="B34" s="1">
        <f t="shared" si="0"/>
        <v>-0.99766876919053382</v>
      </c>
      <c r="C34" s="1">
        <f t="shared" si="1"/>
        <v>0.22252093395621209</v>
      </c>
      <c r="D34" s="1">
        <f t="shared" si="2"/>
        <v>-0.6181589862204756</v>
      </c>
    </row>
    <row r="35" spans="1:4" x14ac:dyDescent="0.25">
      <c r="A35" s="35">
        <v>45940</v>
      </c>
      <c r="B35" s="1">
        <f t="shared" si="0"/>
        <v>-0.97908408768232491</v>
      </c>
      <c r="C35" s="1">
        <f t="shared" si="1"/>
        <v>0.43388373911766043</v>
      </c>
      <c r="D35" s="1">
        <f t="shared" si="2"/>
        <v>-0.75574957435426271</v>
      </c>
    </row>
    <row r="36" spans="1:4" x14ac:dyDescent="0.25">
      <c r="A36" s="35">
        <v>45941</v>
      </c>
      <c r="B36" s="1">
        <f t="shared" si="0"/>
        <v>-0.88788521840245305</v>
      </c>
      <c r="C36" s="1">
        <f t="shared" si="1"/>
        <v>0.62348980185863756</v>
      </c>
      <c r="D36" s="1">
        <f t="shared" si="2"/>
        <v>-0.86602540378441417</v>
      </c>
    </row>
    <row r="37" spans="1:4" x14ac:dyDescent="0.25">
      <c r="A37" s="35">
        <v>45942</v>
      </c>
      <c r="B37" s="1">
        <f t="shared" si="0"/>
        <v>-0.73083596427803776</v>
      </c>
      <c r="C37" s="1">
        <f t="shared" si="1"/>
        <v>0.78183148246808953</v>
      </c>
      <c r="D37" s="1">
        <f t="shared" si="2"/>
        <v>-0.94500081871470853</v>
      </c>
    </row>
    <row r="38" spans="1:4" x14ac:dyDescent="0.25">
      <c r="A38" s="35">
        <v>45943</v>
      </c>
      <c r="B38" s="1">
        <f t="shared" si="0"/>
        <v>-0.51958395003546143</v>
      </c>
      <c r="C38" s="1">
        <f t="shared" si="1"/>
        <v>0.90096886790235819</v>
      </c>
      <c r="D38" s="1">
        <f t="shared" si="2"/>
        <v>-0.98982144188094223</v>
      </c>
    </row>
    <row r="39" spans="1:4" x14ac:dyDescent="0.25">
      <c r="A39" s="35">
        <v>45944</v>
      </c>
      <c r="B39" s="1">
        <f t="shared" si="0"/>
        <v>-0.2697967711572089</v>
      </c>
      <c r="C39" s="1">
        <f t="shared" si="1"/>
        <v>0.97492791218179031</v>
      </c>
      <c r="D39" s="1">
        <f t="shared" si="2"/>
        <v>-0.99886733918301829</v>
      </c>
    </row>
    <row r="40" spans="1:4" x14ac:dyDescent="0.25">
      <c r="A40" s="35">
        <v>45945</v>
      </c>
      <c r="B40" s="1">
        <f t="shared" si="0"/>
        <v>1.0388174695452612E-13</v>
      </c>
      <c r="C40" s="1">
        <f t="shared" si="1"/>
        <v>1</v>
      </c>
      <c r="D40" s="1">
        <f t="shared" si="2"/>
        <v>-0.9718115683235522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1.1</vt:lpstr>
      <vt:lpstr>1.2</vt:lpstr>
      <vt:lpstr>2.1</vt:lpstr>
      <vt:lpstr>3.2</vt:lpstr>
      <vt:lpstr>3.1</vt:lpstr>
      <vt:lpstr>4.1</vt:lpstr>
      <vt:lpstr>4.2</vt:lpstr>
      <vt:lpstr>4.3</vt:lpstr>
      <vt:lpstr>5.1</vt:lpstr>
      <vt:lpstr>5.2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Пользователь</cp:lastModifiedBy>
  <dcterms:created xsi:type="dcterms:W3CDTF">2015-06-05T18:19:34Z</dcterms:created>
  <dcterms:modified xsi:type="dcterms:W3CDTF">2025-10-07T02:21:47Z</dcterms:modified>
</cp:coreProperties>
</file>